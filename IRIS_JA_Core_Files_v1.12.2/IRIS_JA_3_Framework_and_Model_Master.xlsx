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ables/table1.xml" ContentType="application/vnd.openxmlformats-officedocument.spreadsheetml.table+xml"/>
  <Override PartName="/xl/worksheets/sheet29.xml" ContentType="application/vnd.openxmlformats-officedocument.spreadsheetml.worksheet+xml"/>
  <Override PartName="/xl/tables/table2.xml" ContentType="application/vnd.openxmlformats-officedocument.spreadsheetml.table+xml"/>
  <Override PartName="/xl/worksheets/sheet30.xml" ContentType="application/vnd.openxmlformats-officedocument.spreadsheetml.worksheet+xml"/>
  <Override PartName="/xl/worksheets/sheet3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 How It Works" sheetId="1" state="visible" r:id="rId1"/>
    <sheet xmlns:r="http://schemas.openxmlformats.org/officeDocument/2006/relationships" name="Contents" sheetId="2" state="visible" r:id="rId2"/>
    <sheet xmlns:r="http://schemas.openxmlformats.org/officeDocument/2006/relationships" name="A. What We Have Done" sheetId="3" state="visible" r:id="rId3"/>
    <sheet xmlns:r="http://schemas.openxmlformats.org/officeDocument/2006/relationships" name="B. End-to-End Workflow" sheetId="4" state="visible" r:id="rId4"/>
    <sheet xmlns:r="http://schemas.openxmlformats.org/officeDocument/2006/relationships" name="C. How the Model Works" sheetId="5" state="visible" r:id="rId5"/>
    <sheet xmlns:r="http://schemas.openxmlformats.org/officeDocument/2006/relationships" name="D. Scores, Bands &amp; Departments" sheetId="6" state="visible" r:id="rId6"/>
    <sheet xmlns:r="http://schemas.openxmlformats.org/officeDocument/2006/relationships" name="E. Model vs Market Methods" sheetId="7" state="visible" r:id="rId7"/>
    <sheet xmlns:r="http://schemas.openxmlformats.org/officeDocument/2006/relationships" name="F. Decision Log" sheetId="8" state="visible" r:id="rId8"/>
    <sheet xmlns:r="http://schemas.openxmlformats.org/officeDocument/2006/relationships" name="G. Files &amp; Review Loop" sheetId="9" state="visible" r:id="rId9"/>
    <sheet xmlns:r="http://schemas.openxmlformats.org/officeDocument/2006/relationships" name="0. Overview" sheetId="10" state="visible" r:id="rId10"/>
    <sheet xmlns:r="http://schemas.openxmlformats.org/officeDocument/2006/relationships" name="1. Principles" sheetId="11" state="visible" r:id="rId11"/>
    <sheet xmlns:r="http://schemas.openxmlformats.org/officeDocument/2006/relationships" name="2. How It Works" sheetId="12" state="visible" r:id="rId12"/>
    <sheet xmlns:r="http://schemas.openxmlformats.org/officeDocument/2006/relationships" name="3. Architecture" sheetId="13" state="visible" r:id="rId13"/>
    <sheet xmlns:r="http://schemas.openxmlformats.org/officeDocument/2006/relationships" name="4. Levels &amp; Bands" sheetId="14" state="visible" r:id="rId14"/>
    <sheet xmlns:r="http://schemas.openxmlformats.org/officeDocument/2006/relationships" name="5. Tracks &amp; Titles" sheetId="15" state="visible" r:id="rId15"/>
    <sheet xmlns:r="http://schemas.openxmlformats.org/officeDocument/2006/relationships" name="6. Factors &amp; Ratings" sheetId="16" state="visible" r:id="rId16"/>
    <sheet xmlns:r="http://schemas.openxmlformats.org/officeDocument/2006/relationships" name="7. Weights" sheetId="17" state="visible" r:id="rId17"/>
    <sheet xmlns:r="http://schemas.openxmlformats.org/officeDocument/2006/relationships" name="8. Score → Level" sheetId="18" state="visible" r:id="rId18"/>
    <sheet xmlns:r="http://schemas.openxmlformats.org/officeDocument/2006/relationships" name="9. Competencies" sheetId="19" state="visible" r:id="rId19"/>
    <sheet xmlns:r="http://schemas.openxmlformats.org/officeDocument/2006/relationships" name="10. Department Structures" sheetId="20" state="visible" r:id="rId20"/>
    <sheet xmlns:r="http://schemas.openxmlformats.org/officeDocument/2006/relationships" name="11. Career Paths" sheetId="21" state="visible" r:id="rId21"/>
    <sheet xmlns:r="http://schemas.openxmlformats.org/officeDocument/2006/relationships" name="12. Governance &amp; Change" sheetId="22" state="visible" r:id="rId22"/>
    <sheet xmlns:r="http://schemas.openxmlformats.org/officeDocument/2006/relationships" name="13. Glossary" sheetId="23" state="visible" r:id="rId23"/>
    <sheet xmlns:r="http://schemas.openxmlformats.org/officeDocument/2006/relationships" name="14. Master Framework" sheetId="24" state="visible" r:id="rId24"/>
    <sheet xmlns:r="http://schemas.openxmlformats.org/officeDocument/2006/relationships" name="15. References &amp; Benchmarks" sheetId="25" state="visible" r:id="rId25"/>
    <sheet xmlns:r="http://schemas.openxmlformats.org/officeDocument/2006/relationships" name="16. Catalogue — Read Me" sheetId="26" state="visible" r:id="rId26"/>
    <sheet xmlns:r="http://schemas.openxmlformats.org/officeDocument/2006/relationships" name="17. Role Catalogue" sheetId="27" state="visible" r:id="rId27"/>
    <sheet xmlns:r="http://schemas.openxmlformats.org/officeDocument/2006/relationships" name="18. Catalogue Index" sheetId="28" state="visible" r:id="rId28"/>
    <sheet xmlns:r="http://schemas.openxmlformats.org/officeDocument/2006/relationships" name="19. Career Lanes" sheetId="29" state="visible" r:id="rId29"/>
    <sheet xmlns:r="http://schemas.openxmlformats.org/officeDocument/2006/relationships" name="20. Competency Library" sheetId="30" state="visible" r:id="rId30"/>
    <sheet xmlns:r="http://schemas.openxmlformats.org/officeDocument/2006/relationships" name="21. Weight Benchmark" sheetId="31" state="visible" r:id="rId31"/>
  </sheets>
  <definedNames>
    <definedName name="_xlnm._FilterDatabase" localSheetId="26" hidden="1">'17. Role Catalogue'!$A$6:$AV$201</definedName>
    <definedName name="_xlnm.Print_Titles" localSheetId="26">'17. Role Catalogue'!$5:$6</definedName>
    <definedName name="_xlnm.Print_Titles" localSheetId="27">'18. Catalogue Index'!$4:$5</definedName>
    <definedName name="_xlnm.Print_Titles" localSheetId="28">'19. Career Lanes'!$4:$5</definedName>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Calibri"/>
      <b val="1"/>
      <color rgb="00FFFFFF"/>
      <sz val="18"/>
    </font>
    <font>
      <name val="Calibri"/>
      <i val="1"/>
      <color rgb="00404040"/>
      <sz val="10"/>
    </font>
    <font>
      <name val="Calibri"/>
      <color rgb="007F7F7F"/>
      <sz val="8"/>
    </font>
    <font>
      <name val="Calibri"/>
      <b val="1"/>
      <color rgb="00FFFFFF"/>
      <sz val="12"/>
    </font>
    <font>
      <name val="Calibri"/>
      <b val="1"/>
      <color rgb="00FFFFFF"/>
      <sz val="10"/>
    </font>
    <font>
      <name val="Calibri"/>
      <b val="1"/>
      <sz val="10"/>
    </font>
    <font>
      <name val="Calibri"/>
      <sz val="10"/>
    </font>
    <font>
      <name val="Calibri"/>
      <i val="1"/>
      <color rgb="00595959"/>
      <sz val="10"/>
    </font>
    <font>
      <name val="Calibri"/>
      <b val="1"/>
      <color rgb="001F3864"/>
      <sz val="10"/>
    </font>
    <font>
      <name val="Calibri"/>
      <color rgb="000563C1"/>
      <sz val="10"/>
      <u val="single"/>
    </font>
    <font>
      <name val="Calibri"/>
      <b val="1"/>
      <color rgb="001F4E79"/>
      <sz val="10"/>
      <u val="single"/>
    </font>
    <font>
      <name val="Calibri"/>
      <b val="1"/>
      <color rgb="001F3864"/>
      <sz val="20"/>
    </font>
    <font>
      <name val="Calibri"/>
      <b val="1"/>
      <color rgb="000563C1"/>
      <sz val="11"/>
      <u val="single"/>
    </font>
    <font>
      <name val="Calibri"/>
      <b val="1"/>
      <color rgb="000563C1"/>
      <sz val="10"/>
      <u val="single"/>
    </font>
  </fonts>
  <fills count="22">
    <fill>
      <patternFill/>
    </fill>
    <fill>
      <patternFill patternType="gray125"/>
    </fill>
    <fill>
      <patternFill patternType="solid">
        <fgColor rgb="001F3864"/>
      </patternFill>
    </fill>
    <fill>
      <patternFill patternType="solid">
        <fgColor rgb="00D9E1F2"/>
      </patternFill>
    </fill>
    <fill>
      <patternFill patternType="solid">
        <fgColor rgb="002E75B6"/>
      </patternFill>
    </fill>
    <fill>
      <patternFill patternType="solid">
        <fgColor rgb="00DDEBF7"/>
      </patternFill>
    </fill>
    <fill>
      <patternFill patternType="solid">
        <fgColor rgb="00E2EFDA"/>
      </patternFill>
    </fill>
    <fill>
      <patternFill patternType="solid">
        <fgColor rgb="00C6E0B4"/>
      </patternFill>
    </fill>
    <fill>
      <patternFill patternType="solid">
        <fgColor rgb="00D0E8E5"/>
      </patternFill>
    </fill>
    <fill>
      <patternFill patternType="solid">
        <fgColor rgb="00A9D08E"/>
      </patternFill>
    </fill>
    <fill>
      <patternFill patternType="solid">
        <fgColor rgb="00E4DFEC"/>
      </patternFill>
    </fill>
    <fill>
      <patternFill patternType="solid">
        <fgColor rgb="00E8DCC8"/>
      </patternFill>
    </fill>
    <fill>
      <patternFill patternType="solid">
        <fgColor rgb="00EDEDED"/>
      </patternFill>
    </fill>
    <fill>
      <patternFill patternType="solid">
        <fgColor rgb="00F2F2F2"/>
      </patternFill>
    </fill>
    <fill>
      <patternFill patternType="solid">
        <fgColor rgb="00FFF2CC"/>
      </patternFill>
    </fill>
    <fill>
      <patternFill patternType="solid">
        <fgColor rgb="00548235"/>
      </patternFill>
    </fill>
    <fill>
      <patternFill patternType="solid">
        <fgColor rgb="007030A0"/>
      </patternFill>
    </fill>
    <fill>
      <patternFill patternType="solid">
        <fgColor rgb="00C55A11"/>
      </patternFill>
    </fill>
    <fill>
      <patternFill patternType="solid">
        <fgColor rgb="00806000"/>
      </patternFill>
    </fill>
    <fill>
      <patternFill patternType="solid">
        <fgColor rgb="00375623"/>
      </patternFill>
    </fill>
    <fill>
      <patternFill patternType="solid">
        <fgColor rgb="00843C0C"/>
      </patternFill>
    </fill>
    <fill>
      <patternFill patternType="solid">
        <fgColor rgb="00FCE4D6"/>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left/>
      <right/>
      <top style="thin">
        <color rgb="00BFBFBF"/>
      </top>
      <bottom style="thin">
        <color rgb="00BFBFBF"/>
      </bottom>
      <diagonal/>
    </border>
  </borders>
  <cellStyleXfs count="1">
    <xf numFmtId="0" fontId="0" fillId="0" borderId="0"/>
  </cellStyleXfs>
  <cellXfs count="102">
    <xf numFmtId="0" fontId="0" fillId="0" borderId="0" pivotButton="0" quotePrefix="0" xfId="0"/>
    <xf numFmtId="0" fontId="1" fillId="2" borderId="0" applyAlignment="1" pivotButton="0" quotePrefix="0" xfId="0">
      <alignment vertical="center" indent="1"/>
    </xf>
    <xf numFmtId="0" fontId="0" fillId="2" borderId="0" pivotButton="0" quotePrefix="0" xfId="0"/>
    <xf numFmtId="0" fontId="2" fillId="0" borderId="0" applyAlignment="1" pivotButton="0" quotePrefix="0" xfId="0">
      <alignment vertical="top" wrapText="1" indent="1"/>
    </xf>
    <xf numFmtId="0" fontId="3" fillId="3" borderId="0" applyAlignment="1" pivotButton="0" quotePrefix="0" xfId="0">
      <alignment indent="1"/>
    </xf>
    <xf numFmtId="0" fontId="0" fillId="3" borderId="0" pivotButton="0" quotePrefix="0" xfId="0"/>
    <xf numFmtId="0" fontId="4" fillId="2" borderId="0" applyAlignment="1" pivotButton="0" quotePrefix="0" xfId="0">
      <alignment vertical="center"/>
    </xf>
    <xf numFmtId="0" fontId="5" fillId="4" borderId="1" applyAlignment="1" pivotButton="0" quotePrefix="0" xfId="0">
      <alignment horizontal="center" vertical="top" wrapText="1"/>
    </xf>
    <xf numFmtId="0" fontId="7" fillId="0" borderId="1" applyAlignment="1" pivotButton="0" quotePrefix="0" xfId="0">
      <alignment horizontal="center" vertical="top" wrapText="1"/>
    </xf>
    <xf numFmtId="0" fontId="7" fillId="0" borderId="1" applyAlignment="1" pivotButton="0" quotePrefix="0" xfId="0">
      <alignment vertical="top" wrapText="1"/>
    </xf>
    <xf numFmtId="0" fontId="10" fillId="0" borderId="1" applyAlignment="1" pivotButton="0" quotePrefix="0" xfId="0">
      <alignment horizontal="center" vertical="top" wrapText="1"/>
    </xf>
    <xf numFmtId="0" fontId="7" fillId="0" borderId="0" applyAlignment="1" pivotButton="0" quotePrefix="0" xfId="0">
      <alignment vertical="top" wrapText="1"/>
    </xf>
    <xf numFmtId="0" fontId="8" fillId="0" borderId="0" applyAlignment="1" pivotButton="0" quotePrefix="0" xfId="0">
      <alignment vertical="top" wrapText="1"/>
    </xf>
    <xf numFmtId="0" fontId="0" fillId="4" borderId="1" pivotButton="0" quotePrefix="0" xfId="0"/>
    <xf numFmtId="0" fontId="6" fillId="0" borderId="1" applyAlignment="1" pivotButton="0" quotePrefix="0" xfId="0">
      <alignment vertical="top" wrapText="1"/>
    </xf>
    <xf numFmtId="0" fontId="0" fillId="0" borderId="1" pivotButton="0" quotePrefix="0" xfId="0"/>
    <xf numFmtId="0" fontId="6" fillId="0" borderId="0" applyAlignment="1" pivotButton="0" quotePrefix="0" xfId="0">
      <alignment vertical="top" wrapText="1"/>
    </xf>
    <xf numFmtId="0" fontId="6" fillId="0" borderId="1" applyAlignment="1" pivotButton="0" quotePrefix="0" xfId="0">
      <alignment horizontal="center" vertical="top" wrapText="1"/>
    </xf>
    <xf numFmtId="0" fontId="6" fillId="5" borderId="1" applyAlignment="1" pivotButton="0" quotePrefix="0" xfId="0">
      <alignment horizontal="center" vertical="top" wrapText="1"/>
    </xf>
    <xf numFmtId="0" fontId="7" fillId="5" borderId="1" applyAlignment="1" pivotButton="0" quotePrefix="0" xfId="0">
      <alignment vertical="top" wrapText="1"/>
    </xf>
    <xf numFmtId="0" fontId="0" fillId="5" borderId="1" pivotButton="0" quotePrefix="0" xfId="0"/>
    <xf numFmtId="0" fontId="6" fillId="6" borderId="1" applyAlignment="1" pivotButton="0" quotePrefix="0" xfId="0">
      <alignment horizontal="center" vertical="top" wrapText="1"/>
    </xf>
    <xf numFmtId="0" fontId="7" fillId="6" borderId="1" applyAlignment="1" pivotButton="0" quotePrefix="0" xfId="0">
      <alignment vertical="top" wrapText="1"/>
    </xf>
    <xf numFmtId="0" fontId="0" fillId="6" borderId="1" pivotButton="0" quotePrefix="0" xfId="0"/>
    <xf numFmtId="0" fontId="6" fillId="7" borderId="1" applyAlignment="1" pivotButton="0" quotePrefix="0" xfId="0">
      <alignment horizontal="center" vertical="top" wrapText="1"/>
    </xf>
    <xf numFmtId="0" fontId="7" fillId="7" borderId="1" applyAlignment="1" pivotButton="0" quotePrefix="0" xfId="0">
      <alignment vertical="top" wrapText="1"/>
    </xf>
    <xf numFmtId="0" fontId="0" fillId="7" borderId="1" pivotButton="0" quotePrefix="0" xfId="0"/>
    <xf numFmtId="0" fontId="6" fillId="8" borderId="1" applyAlignment="1" pivotButton="0" quotePrefix="0" xfId="0">
      <alignment horizontal="center" vertical="top" wrapText="1"/>
    </xf>
    <xf numFmtId="0" fontId="7" fillId="8" borderId="1" applyAlignment="1" pivotButton="0" quotePrefix="0" xfId="0">
      <alignment vertical="top" wrapText="1"/>
    </xf>
    <xf numFmtId="0" fontId="0" fillId="8" borderId="1" pivotButton="0" quotePrefix="0" xfId="0"/>
    <xf numFmtId="0" fontId="6" fillId="9" borderId="1" applyAlignment="1" pivotButton="0" quotePrefix="0" xfId="0">
      <alignment horizontal="center" vertical="top" wrapText="1"/>
    </xf>
    <xf numFmtId="0" fontId="7" fillId="9" borderId="1" applyAlignment="1" pivotButton="0" quotePrefix="0" xfId="0">
      <alignment vertical="top" wrapText="1"/>
    </xf>
    <xf numFmtId="0" fontId="0" fillId="9" borderId="1" pivotButton="0" quotePrefix="0" xfId="0"/>
    <xf numFmtId="0" fontId="6" fillId="10" borderId="1" applyAlignment="1" pivotButton="0" quotePrefix="0" xfId="0">
      <alignment horizontal="center" vertical="top" wrapText="1"/>
    </xf>
    <xf numFmtId="0" fontId="7" fillId="10" borderId="1" applyAlignment="1" pivotButton="0" quotePrefix="0" xfId="0">
      <alignment vertical="top" wrapText="1"/>
    </xf>
    <xf numFmtId="0" fontId="0" fillId="10" borderId="1" pivotButton="0" quotePrefix="0" xfId="0"/>
    <xf numFmtId="0" fontId="6" fillId="11" borderId="1" applyAlignment="1" pivotButton="0" quotePrefix="0" xfId="0">
      <alignment horizontal="center" vertical="top" wrapText="1"/>
    </xf>
    <xf numFmtId="0" fontId="7" fillId="11" borderId="1" applyAlignment="1" pivotButton="0" quotePrefix="0" xfId="0">
      <alignment vertical="top" wrapText="1"/>
    </xf>
    <xf numFmtId="0" fontId="0" fillId="11" borderId="1" pivotButton="0" quotePrefix="0" xfId="0"/>
    <xf numFmtId="0" fontId="6" fillId="12" borderId="1" applyAlignment="1" pivotButton="0" quotePrefix="0" xfId="0">
      <alignment horizontal="center" vertical="top" wrapText="1"/>
    </xf>
    <xf numFmtId="0" fontId="7" fillId="12" borderId="1" applyAlignment="1" pivotButton="0" quotePrefix="0" xfId="0">
      <alignment vertical="top" wrapText="1"/>
    </xf>
    <xf numFmtId="0" fontId="0" fillId="12" borderId="1" pivotButton="0" quotePrefix="0" xfId="0"/>
    <xf numFmtId="0" fontId="7" fillId="5" borderId="1" applyAlignment="1" pivotButton="0" quotePrefix="0" xfId="0">
      <alignment horizontal="center" vertical="top" wrapText="1"/>
    </xf>
    <xf numFmtId="0" fontId="7" fillId="6" borderId="1" applyAlignment="1" pivotButton="0" quotePrefix="0" xfId="0">
      <alignment horizontal="center" vertical="top" wrapText="1"/>
    </xf>
    <xf numFmtId="0" fontId="7" fillId="7" borderId="1" applyAlignment="1" pivotButton="0" quotePrefix="0" xfId="0">
      <alignment horizontal="center" vertical="top" wrapText="1"/>
    </xf>
    <xf numFmtId="0" fontId="7" fillId="8" borderId="1" applyAlignment="1" pivotButton="0" quotePrefix="0" xfId="0">
      <alignment horizontal="center" vertical="top" wrapText="1"/>
    </xf>
    <xf numFmtId="0" fontId="7" fillId="9" borderId="1" applyAlignment="1" pivotButton="0" quotePrefix="0" xfId="0">
      <alignment horizontal="center" vertical="top" wrapText="1"/>
    </xf>
    <xf numFmtId="0" fontId="7" fillId="10" borderId="1" applyAlignment="1" pivotButton="0" quotePrefix="0" xfId="0">
      <alignment horizontal="center" vertical="top" wrapText="1"/>
    </xf>
    <xf numFmtId="0" fontId="7" fillId="11" borderId="1" applyAlignment="1" pivotButton="0" quotePrefix="0" xfId="0">
      <alignment horizontal="center" vertical="top" wrapText="1"/>
    </xf>
    <xf numFmtId="0" fontId="7" fillId="12" borderId="1" applyAlignment="1" pivotButton="0" quotePrefix="0" xfId="0">
      <alignment horizontal="center" vertical="top" wrapText="1"/>
    </xf>
    <xf numFmtId="0" fontId="9" fillId="5" borderId="1" applyAlignment="1" pivotButton="0" quotePrefix="0" xfId="0">
      <alignment horizontal="center" vertical="top" wrapText="1"/>
    </xf>
    <xf numFmtId="0" fontId="9" fillId="6" borderId="1" applyAlignment="1" pivotButton="0" quotePrefix="0" xfId="0">
      <alignment horizontal="center" vertical="top" wrapText="1"/>
    </xf>
    <xf numFmtId="0" fontId="9" fillId="7" borderId="1" applyAlignment="1" pivotButton="0" quotePrefix="0" xfId="0">
      <alignment horizontal="center" vertical="top" wrapText="1"/>
    </xf>
    <xf numFmtId="0" fontId="9" fillId="8" borderId="1" applyAlignment="1" pivotButton="0" quotePrefix="0" xfId="0">
      <alignment horizontal="center" vertical="top" wrapText="1"/>
    </xf>
    <xf numFmtId="0" fontId="9" fillId="10" borderId="1" applyAlignment="1" pivotButton="0" quotePrefix="0" xfId="0">
      <alignment horizontal="center" vertical="top" wrapText="1"/>
    </xf>
    <xf numFmtId="0" fontId="9" fillId="11" borderId="1" applyAlignment="1" pivotButton="0" quotePrefix="0" xfId="0">
      <alignment horizontal="center" vertical="top" wrapText="1"/>
    </xf>
    <xf numFmtId="0" fontId="9" fillId="12" borderId="1" applyAlignment="1" pivotButton="0" quotePrefix="0" xfId="0">
      <alignment horizontal="center" vertical="top" wrapText="1"/>
    </xf>
    <xf numFmtId="0" fontId="7" fillId="13" borderId="1" applyAlignment="1" pivotButton="0" quotePrefix="0" xfId="0">
      <alignment vertical="top" wrapText="1"/>
    </xf>
    <xf numFmtId="0" fontId="7" fillId="13" borderId="1" applyAlignment="1" pivotButton="0" quotePrefix="0" xfId="0">
      <alignment horizontal="center" vertical="top" wrapText="1"/>
    </xf>
    <xf numFmtId="0" fontId="5" fillId="4" borderId="1" applyAlignment="1" pivotButton="0" quotePrefix="0" xfId="0">
      <alignment vertical="top" wrapText="1"/>
    </xf>
    <xf numFmtId="0" fontId="9" fillId="9" borderId="1" applyAlignment="1" pivotButton="0" quotePrefix="0" xfId="0">
      <alignment horizontal="center" vertical="top" wrapText="1"/>
    </xf>
    <xf numFmtId="0" fontId="6" fillId="3" borderId="1" applyAlignment="1" pivotButton="0" quotePrefix="0" xfId="0">
      <alignment vertical="top" wrapText="1"/>
    </xf>
    <xf numFmtId="0" fontId="0" fillId="3" borderId="1" pivotButton="0" quotePrefix="0" xfId="0"/>
    <xf numFmtId="0" fontId="0" fillId="0" borderId="4" pivotButton="0" quotePrefix="0" xfId="0"/>
    <xf numFmtId="0" fontId="0" fillId="0" borderId="5" pivotButton="0" quotePrefix="0" xfId="0"/>
    <xf numFmtId="0" fontId="11" fillId="0" borderId="1" applyAlignment="1" pivotButton="0" quotePrefix="0" xfId="0">
      <alignment vertical="top" wrapText="1"/>
    </xf>
    <xf numFmtId="0" fontId="6" fillId="5" borderId="1" applyAlignment="1" pivotButton="0" quotePrefix="0" xfId="0">
      <alignment vertical="top" wrapText="1"/>
    </xf>
    <xf numFmtId="0" fontId="6" fillId="6" borderId="1" applyAlignment="1" pivotButton="0" quotePrefix="0" xfId="0">
      <alignment vertical="top" wrapText="1"/>
    </xf>
    <xf numFmtId="0" fontId="6" fillId="8" borderId="1" applyAlignment="1" pivotButton="0" quotePrefix="0" xfId="0">
      <alignment vertical="top" wrapText="1"/>
    </xf>
    <xf numFmtId="0" fontId="6" fillId="10" borderId="1" applyAlignment="1" pivotButton="0" quotePrefix="0" xfId="0">
      <alignment vertical="top" wrapText="1"/>
    </xf>
    <xf numFmtId="0" fontId="6" fillId="11" borderId="1" applyAlignment="1" pivotButton="0" quotePrefix="0" xfId="0">
      <alignment vertical="top" wrapText="1"/>
    </xf>
    <xf numFmtId="0" fontId="6" fillId="12" borderId="1" applyAlignment="1" pivotButton="0" quotePrefix="0" xfId="0">
      <alignment vertical="top" wrapText="1"/>
    </xf>
    <xf numFmtId="0" fontId="6" fillId="7" borderId="1" applyAlignment="1" pivotButton="0" quotePrefix="0" xfId="0">
      <alignment vertical="top" wrapText="1"/>
    </xf>
    <xf numFmtId="0" fontId="6" fillId="9" borderId="1" applyAlignment="1" pivotButton="0" quotePrefix="0" xfId="0">
      <alignment vertical="top" wrapText="1"/>
    </xf>
    <xf numFmtId="0" fontId="6" fillId="13" borderId="1" applyAlignment="1" pivotButton="0" quotePrefix="0" xfId="0">
      <alignment vertical="top" wrapText="1"/>
    </xf>
    <xf numFmtId="0" fontId="7" fillId="14" borderId="1" applyAlignment="1" pivotButton="0" quotePrefix="0" xfId="0">
      <alignment horizontal="center" vertical="top" wrapText="1"/>
    </xf>
    <xf numFmtId="0" fontId="5" fillId="2" borderId="1" applyAlignment="1" pivotButton="0" quotePrefix="0" xfId="0">
      <alignment horizontal="center" vertical="top" wrapText="1"/>
    </xf>
    <xf numFmtId="0" fontId="6" fillId="14" borderId="1" applyAlignment="1" pivotButton="0" quotePrefix="0" xfId="0">
      <alignment vertical="top" wrapText="1"/>
    </xf>
    <xf numFmtId="0" fontId="7" fillId="14" borderId="1" applyAlignment="1" pivotButton="0" quotePrefix="0" xfId="0">
      <alignment vertical="top" wrapText="1"/>
    </xf>
    <xf numFmtId="0" fontId="4" fillId="4" borderId="0" applyAlignment="1" pivotButton="0" quotePrefix="0" xfId="0">
      <alignment vertical="center"/>
    </xf>
    <xf numFmtId="0" fontId="4" fillId="2" borderId="0" applyAlignment="1" pivotButton="0" quotePrefix="0" xfId="0">
      <alignment vertical="center" wrapText="1"/>
    </xf>
    <xf numFmtId="0" fontId="4" fillId="4" borderId="0" applyAlignment="1" pivotButton="0" quotePrefix="0" xfId="0">
      <alignment vertical="center" wrapText="1"/>
    </xf>
    <xf numFmtId="0" fontId="4" fillId="15" borderId="0" applyAlignment="1" pivotButton="0" quotePrefix="0" xfId="0">
      <alignment vertical="center" wrapText="1"/>
    </xf>
    <xf numFmtId="0" fontId="4" fillId="16" borderId="0" applyAlignment="1" pivotButton="0" quotePrefix="0" xfId="0">
      <alignment vertical="center" wrapText="1"/>
    </xf>
    <xf numFmtId="0" fontId="4" fillId="17" borderId="0" applyAlignment="1" pivotButton="0" quotePrefix="0" xfId="0">
      <alignment vertical="center" wrapText="1"/>
    </xf>
    <xf numFmtId="0" fontId="4" fillId="18" borderId="0" applyAlignment="1" pivotButton="0" quotePrefix="0" xfId="0">
      <alignment vertical="center" wrapText="1"/>
    </xf>
    <xf numFmtId="0" fontId="4" fillId="19" borderId="0" applyAlignment="1" pivotButton="0" quotePrefix="0" xfId="0">
      <alignment vertical="center" wrapText="1"/>
    </xf>
    <xf numFmtId="0" fontId="4" fillId="20" borderId="0" applyAlignment="1" pivotButton="0" quotePrefix="0" xfId="0">
      <alignment vertical="center" wrapText="1"/>
    </xf>
    <xf numFmtId="0" fontId="5" fillId="15" borderId="1" applyAlignment="1" pivotButton="0" quotePrefix="0" xfId="0">
      <alignment horizontal="center" vertical="top" wrapText="1"/>
    </xf>
    <xf numFmtId="0" fontId="5" fillId="16" borderId="1" applyAlignment="1" pivotButton="0" quotePrefix="0" xfId="0">
      <alignment horizontal="center" vertical="top" wrapText="1"/>
    </xf>
    <xf numFmtId="0" fontId="5" fillId="17" borderId="1" applyAlignment="1" pivotButton="0" quotePrefix="0" xfId="0">
      <alignment horizontal="center" vertical="top" wrapText="1"/>
    </xf>
    <xf numFmtId="0" fontId="5" fillId="18" borderId="1" applyAlignment="1" pivotButton="0" quotePrefix="0" xfId="0">
      <alignment horizontal="center" vertical="top" wrapText="1"/>
    </xf>
    <xf numFmtId="0" fontId="5" fillId="19" borderId="1" applyAlignment="1" pivotButton="0" quotePrefix="0" xfId="0">
      <alignment horizontal="center" vertical="top" wrapText="1"/>
    </xf>
    <xf numFmtId="0" fontId="5" fillId="20" borderId="1" applyAlignment="1" pivotButton="0" quotePrefix="0" xfId="0">
      <alignment horizontal="center" vertical="top" wrapText="1"/>
    </xf>
    <xf numFmtId="0" fontId="4" fillId="4" borderId="0" pivotButton="0" quotePrefix="0" xfId="0"/>
    <xf numFmtId="0" fontId="12" fillId="13" borderId="1" applyAlignment="1" pivotButton="0" quotePrefix="0" xfId="0">
      <alignment horizontal="center" vertical="top" wrapText="1"/>
    </xf>
    <xf numFmtId="0" fontId="0" fillId="13" borderId="1" pivotButton="0" quotePrefix="0" xfId="0"/>
    <xf numFmtId="0" fontId="0" fillId="15" borderId="1" pivotButton="0" quotePrefix="0" xfId="0"/>
    <xf numFmtId="0" fontId="7" fillId="21" borderId="1" applyAlignment="1" pivotButton="0" quotePrefix="0" xfId="0">
      <alignment horizontal="center" vertical="top" wrapText="1"/>
    </xf>
    <xf numFmtId="0" fontId="14" fillId="0" borderId="0" applyAlignment="1" pivotButton="0" quotePrefix="0" xfId="0">
      <alignment vertical="center"/>
    </xf>
    <xf numFmtId="0" fontId="0" fillId="0" borderId="1" applyAlignment="1" pivotButton="0" quotePrefix="0" xfId="0">
      <alignment horizontal="center" vertical="top"/>
    </xf>
    <xf numFmtId="0" fontId="13"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styles" Target="styles.xml" Id="rId32"/><Relationship Type="http://schemas.openxmlformats.org/officeDocument/2006/relationships/theme" Target="theme/theme1.xml" Id="rId33"/></Relationships>
</file>

<file path=xl/tables/table1.xml><?xml version="1.0" encoding="utf-8"?>
<table xmlns="http://schemas.openxmlformats.org/spreadsheetml/2006/main" id="1" name="T_18__Catalogue_Index_5" displayName="T_18__Catalogue_Index_5" ref="A5:R67" headerRowCount="1">
  <autoFilter ref="A5:R67"/>
  <tableColumns count="18">
    <tableColumn id="1" name="Job family"/>
    <tableColumn id="2" name="Sub-family"/>
    <tableColumn id="3" name="A1"/>
    <tableColumn id="4" name="A2"/>
    <tableColumn id="5" name="A3"/>
    <tableColumn id="6" name="B1"/>
    <tableColumn id="7" name="B2"/>
    <tableColumn id="8" name="B3"/>
    <tableColumn id="9" name="B+"/>
    <tableColumn id="10" name="C1"/>
    <tableColumn id="11" name="C2"/>
    <tableColumn id="12" name="D1"/>
    <tableColumn id="13" name="D2"/>
    <tableColumn id="14" name="E1"/>
    <tableColumn id="15" name="E2"/>
    <tableColumn id="16" name="X1"/>
    <tableColumn id="17" name="X2"/>
    <tableColumn id="18" name="X3"/>
  </tableColumns>
  <tableStyleInfo name="TableStyleLight1" showRowStripes="1" showColumnStripes="0"/>
</table>
</file>

<file path=xl/tables/table2.xml><?xml version="1.0" encoding="utf-8"?>
<table xmlns="http://schemas.openxmlformats.org/spreadsheetml/2006/main" id="2" name="T_19__Career_Lanes_5" displayName="T_19__Career_Lanes_5" ref="A5:O40" headerRowCount="1">
  <autoFilter ref="A5:O40"/>
  <tableColumns count="15">
    <tableColumn id="1" name="Job family"/>
    <tableColumn id="2" name="Lane"/>
    <tableColumn id="3" name="A1"/>
    <tableColumn id="4" name="A2"/>
    <tableColumn id="5" name="A3"/>
    <tableColumn id="6" name="B1"/>
    <tableColumn id="7" name="B2"/>
    <tableColumn id="8" name="B3"/>
    <tableColumn id="9" name="B+"/>
    <tableColumn id="10" name="C1"/>
    <tableColumn id="11" name="C2"/>
    <tableColumn id="12" name="D1"/>
    <tableColumn id="13" name="D2"/>
    <tableColumn id="14" name="E1"/>
    <tableColumn id="15" name="E2"/>
  </tableColumns>
  <tableStyleInfo name="TableStyleLight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Contents'!A1" TargetMode="External" Id="rId1"/></Relationships>
</file>

<file path=xl/worksheets/_rels/sheet2.xml.rels><Relationships xmlns="http://schemas.openxmlformats.org/package/2006/relationships"><Relationship Type="http://schemas.openxmlformats.org/officeDocument/2006/relationships/hyperlink" Target="#'Start &#8212; How It Works'!A1" TargetMode="External" Id="rId1"/><Relationship Type="http://schemas.openxmlformats.org/officeDocument/2006/relationships/hyperlink" Target="#'A. What We Have Done'!A1" TargetMode="External" Id="rId2"/><Relationship Type="http://schemas.openxmlformats.org/officeDocument/2006/relationships/hyperlink" Target="#'B. End-to-End Workflow'!A1" TargetMode="External" Id="rId3"/><Relationship Type="http://schemas.openxmlformats.org/officeDocument/2006/relationships/hyperlink" Target="#'C. How the Model Works'!A1" TargetMode="External" Id="rId4"/><Relationship Type="http://schemas.openxmlformats.org/officeDocument/2006/relationships/hyperlink" Target="#'D. Scores, Bands &amp; Departments'!A1" TargetMode="External" Id="rId5"/><Relationship Type="http://schemas.openxmlformats.org/officeDocument/2006/relationships/hyperlink" Target="#'E. Model vs Market Methods'!A1" TargetMode="External" Id="rId6"/><Relationship Type="http://schemas.openxmlformats.org/officeDocument/2006/relationships/hyperlink" Target="#'F. Decision Log'!A1" TargetMode="External" Id="rId7"/><Relationship Type="http://schemas.openxmlformats.org/officeDocument/2006/relationships/hyperlink" Target="#'G. Files &amp; Review Loop'!A1" TargetMode="External" Id="rId8"/><Relationship Type="http://schemas.openxmlformats.org/officeDocument/2006/relationships/hyperlink" Target="#'0. Overview'!A1" TargetMode="External" Id="rId9"/><Relationship Type="http://schemas.openxmlformats.org/officeDocument/2006/relationships/hyperlink" Target="#'1. Principles'!A1" TargetMode="External" Id="rId10"/><Relationship Type="http://schemas.openxmlformats.org/officeDocument/2006/relationships/hyperlink" Target="#'2. How It Works'!A1" TargetMode="External" Id="rId11"/><Relationship Type="http://schemas.openxmlformats.org/officeDocument/2006/relationships/hyperlink" Target="#'3. Architecture'!A1" TargetMode="External" Id="rId12"/><Relationship Type="http://schemas.openxmlformats.org/officeDocument/2006/relationships/hyperlink" Target="#'4. Levels &amp; Bands'!A1" TargetMode="External" Id="rId13"/><Relationship Type="http://schemas.openxmlformats.org/officeDocument/2006/relationships/hyperlink" Target="#'5. Tracks &amp; Titles'!A1" TargetMode="External" Id="rId14"/><Relationship Type="http://schemas.openxmlformats.org/officeDocument/2006/relationships/hyperlink" Target="#'6. Factors &amp; Ratings'!A1" TargetMode="External" Id="rId15"/><Relationship Type="http://schemas.openxmlformats.org/officeDocument/2006/relationships/hyperlink" Target="#'7. Weights'!A1" TargetMode="External" Id="rId16"/><Relationship Type="http://schemas.openxmlformats.org/officeDocument/2006/relationships/hyperlink" Target="#'8. Score &#8594; Level'!A1" TargetMode="External" Id="rId17"/><Relationship Type="http://schemas.openxmlformats.org/officeDocument/2006/relationships/hyperlink" Target="#'9. Competencies'!A1" TargetMode="External" Id="rId18"/><Relationship Type="http://schemas.openxmlformats.org/officeDocument/2006/relationships/hyperlink" Target="#'10. Department Structures'!A1" TargetMode="External" Id="rId19"/><Relationship Type="http://schemas.openxmlformats.org/officeDocument/2006/relationships/hyperlink" Target="#'11. Career Paths'!A1" TargetMode="External" Id="rId20"/><Relationship Type="http://schemas.openxmlformats.org/officeDocument/2006/relationships/hyperlink" Target="#'12. Governance &amp; Change'!A1" TargetMode="External" Id="rId21"/><Relationship Type="http://schemas.openxmlformats.org/officeDocument/2006/relationships/hyperlink" Target="#'13. Glossary'!A1" TargetMode="External" Id="rId22"/><Relationship Type="http://schemas.openxmlformats.org/officeDocument/2006/relationships/hyperlink" Target="#'14. Master Framework'!A1" TargetMode="External" Id="rId23"/><Relationship Type="http://schemas.openxmlformats.org/officeDocument/2006/relationships/hyperlink" Target="#'15. References &amp; Benchmarks'!A1" TargetMode="External" Id="rId24"/><Relationship Type="http://schemas.openxmlformats.org/officeDocument/2006/relationships/hyperlink" Target="#'16. Catalogue &#8212; Read Me'!A1" TargetMode="External" Id="rId25"/><Relationship Type="http://schemas.openxmlformats.org/officeDocument/2006/relationships/hyperlink" Target="#'17. Role Catalogue'!A1" TargetMode="External" Id="rId26"/><Relationship Type="http://schemas.openxmlformats.org/officeDocument/2006/relationships/hyperlink" Target="#'18. Catalogue Index'!A1" TargetMode="External" Id="rId27"/><Relationship Type="http://schemas.openxmlformats.org/officeDocument/2006/relationships/hyperlink" Target="#'19. Career Lanes'!A1" TargetMode="External" Id="rId28"/><Relationship Type="http://schemas.openxmlformats.org/officeDocument/2006/relationships/hyperlink" Target="#'20. Competency Library'!A1" TargetMode="External" Id="rId29"/><Relationship Type="http://schemas.openxmlformats.org/officeDocument/2006/relationships/hyperlink" Target="#'21. Weight Benchmark'!A1" TargetMode="External" Id="rId30"/></Relationships>
</file>

<file path=xl/worksheets/_rels/sheet3.xml.rels><Relationships xmlns="http://schemas.openxmlformats.org/package/2006/relationships"><Relationship Type="http://schemas.openxmlformats.org/officeDocument/2006/relationships/hyperlink" Target="#'Contents'!A1" TargetMode="External" Id="rId1"/></Relationships>
</file>

<file path=xl/worksheets/_rels/sheet4.xml.rels><Relationships xmlns="http://schemas.openxmlformats.org/package/2006/relationships"><Relationship Type="http://schemas.openxmlformats.org/officeDocument/2006/relationships/hyperlink" Target="#'Contents'!A1" TargetMode="External" Id="rId1"/></Relationships>
</file>

<file path=xl/worksheets/_rels/sheet5.xml.rels><Relationships xmlns="http://schemas.openxmlformats.org/package/2006/relationships"><Relationship Type="http://schemas.openxmlformats.org/officeDocument/2006/relationships/hyperlink" Target="#'Contents'!A1" TargetMode="External" Id="rId1"/></Relationships>
</file>

<file path=xl/worksheets/_rels/sheet6.xml.rels><Relationships xmlns="http://schemas.openxmlformats.org/package/2006/relationships"><Relationship Type="http://schemas.openxmlformats.org/officeDocument/2006/relationships/hyperlink" Target="#'Contents'!A1" TargetMode="External" Id="rId1"/></Relationships>
</file>

<file path=xl/worksheets/_rels/sheet7.xml.rels><Relationships xmlns="http://schemas.openxmlformats.org/package/2006/relationships"><Relationship Type="http://schemas.openxmlformats.org/officeDocument/2006/relationships/hyperlink" Target="#'Contents'!A1" TargetMode="External" Id="rId1"/></Relationships>
</file>

<file path=xl/worksheets/_rels/sheet8.xml.rels><Relationships xmlns="http://schemas.openxmlformats.org/package/2006/relationships"><Relationship Type="http://schemas.openxmlformats.org/officeDocument/2006/relationships/hyperlink" Target="#'Contents'!A1" TargetMode="External" Id="rId1"/></Relationships>
</file>

<file path=xl/worksheets/_rels/sheet9.xml.rels><Relationships xmlns="http://schemas.openxmlformats.org/package/2006/relationships"><Relationship Type="http://schemas.openxmlformats.org/officeDocument/2006/relationships/hyperlink" Target="#'Contents'!A1" TargetMode="External" Id="rId1"/></Relationships>
</file>

<file path=xl/worksheets/_rels/sheet10.xml.rels><Relationships xmlns="http://schemas.openxmlformats.org/package/2006/relationships"><Relationship Type="http://schemas.openxmlformats.org/officeDocument/2006/relationships/hyperlink" Target="#'Contents'!A1" TargetMode="External" Id="rId1"/><Relationship Type="http://schemas.openxmlformats.org/officeDocument/2006/relationships/hyperlink" Target="#'1. Principles'!A1" TargetMode="External" Id="rId2"/><Relationship Type="http://schemas.openxmlformats.org/officeDocument/2006/relationships/hyperlink" Target="#'2. How It Works'!A1" TargetMode="External" Id="rId3"/><Relationship Type="http://schemas.openxmlformats.org/officeDocument/2006/relationships/hyperlink" Target="#'3. Architecture'!A1" TargetMode="External" Id="rId4"/><Relationship Type="http://schemas.openxmlformats.org/officeDocument/2006/relationships/hyperlink" Target="#'4. Levels &amp; Bands'!A1" TargetMode="External" Id="rId5"/><Relationship Type="http://schemas.openxmlformats.org/officeDocument/2006/relationships/hyperlink" Target="#'5. Tracks &amp; Titles'!A1" TargetMode="External" Id="rId6"/><Relationship Type="http://schemas.openxmlformats.org/officeDocument/2006/relationships/hyperlink" Target="#'6. Factors &amp; Ratings'!A1" TargetMode="External" Id="rId7"/><Relationship Type="http://schemas.openxmlformats.org/officeDocument/2006/relationships/hyperlink" Target="#'7. Weights'!A1" TargetMode="External" Id="rId8"/><Relationship Type="http://schemas.openxmlformats.org/officeDocument/2006/relationships/hyperlink" Target="#'8. Score &#8594; Level'!A1" TargetMode="External" Id="rId9"/><Relationship Type="http://schemas.openxmlformats.org/officeDocument/2006/relationships/hyperlink" Target="#'9. Competencies'!A1" TargetMode="External" Id="rId10"/><Relationship Type="http://schemas.openxmlformats.org/officeDocument/2006/relationships/hyperlink" Target="#'10. Department Structures'!A1" TargetMode="External" Id="rId11"/><Relationship Type="http://schemas.openxmlformats.org/officeDocument/2006/relationships/hyperlink" Target="#'11. Career Paths'!A1" TargetMode="External" Id="rId12"/><Relationship Type="http://schemas.openxmlformats.org/officeDocument/2006/relationships/hyperlink" Target="#'12. Governance &amp; Change'!A1" TargetMode="External" Id="rId13"/><Relationship Type="http://schemas.openxmlformats.org/officeDocument/2006/relationships/hyperlink" Target="#'13. Glossary'!A1" TargetMode="External" Id="rId14"/></Relationships>
</file>

<file path=xl/worksheets/_rels/sheet11.xml.rels><Relationships xmlns="http://schemas.openxmlformats.org/package/2006/relationships"><Relationship Type="http://schemas.openxmlformats.org/officeDocument/2006/relationships/hyperlink" Target="#'Contents'!A1" TargetMode="External" Id="rId1"/></Relationships>
</file>

<file path=xl/worksheets/_rels/sheet12.xml.rels><Relationships xmlns="http://schemas.openxmlformats.org/package/2006/relationships"><Relationship Type="http://schemas.openxmlformats.org/officeDocument/2006/relationships/hyperlink" Target="#'Contents'!A1" TargetMode="External" Id="rId1"/></Relationships>
</file>

<file path=xl/worksheets/_rels/sheet13.xml.rels><Relationships xmlns="http://schemas.openxmlformats.org/package/2006/relationships"><Relationship Type="http://schemas.openxmlformats.org/officeDocument/2006/relationships/hyperlink" Target="#'Contents'!A1" TargetMode="External" Id="rId1"/></Relationships>
</file>

<file path=xl/worksheets/_rels/sheet14.xml.rels><Relationships xmlns="http://schemas.openxmlformats.org/package/2006/relationships"><Relationship Type="http://schemas.openxmlformats.org/officeDocument/2006/relationships/hyperlink" Target="#'Contents'!A1" TargetMode="External" Id="rId1"/></Relationships>
</file>

<file path=xl/worksheets/_rels/sheet15.xml.rels><Relationships xmlns="http://schemas.openxmlformats.org/package/2006/relationships"><Relationship Type="http://schemas.openxmlformats.org/officeDocument/2006/relationships/hyperlink" Target="#'Contents'!A1" TargetMode="External" Id="rId1"/></Relationships>
</file>

<file path=xl/worksheets/_rels/sheet16.xml.rels><Relationships xmlns="http://schemas.openxmlformats.org/package/2006/relationships"><Relationship Type="http://schemas.openxmlformats.org/officeDocument/2006/relationships/hyperlink" Target="#'Contents'!A1" TargetMode="External" Id="rId1"/></Relationships>
</file>

<file path=xl/worksheets/_rels/sheet17.xml.rels><Relationships xmlns="http://schemas.openxmlformats.org/package/2006/relationships"><Relationship Type="http://schemas.openxmlformats.org/officeDocument/2006/relationships/hyperlink" Target="#'Contents'!A1" TargetMode="External" Id="rId1"/></Relationships>
</file>

<file path=xl/worksheets/_rels/sheet18.xml.rels><Relationships xmlns="http://schemas.openxmlformats.org/package/2006/relationships"><Relationship Type="http://schemas.openxmlformats.org/officeDocument/2006/relationships/hyperlink" Target="#'Contents'!A1" TargetMode="External" Id="rId1"/></Relationships>
</file>

<file path=xl/worksheets/_rels/sheet19.xml.rels><Relationships xmlns="http://schemas.openxmlformats.org/package/2006/relationships"><Relationship Type="http://schemas.openxmlformats.org/officeDocument/2006/relationships/hyperlink" Target="#'Contents'!A1" TargetMode="External" Id="rId1"/></Relationships>
</file>

<file path=xl/worksheets/_rels/sheet20.xml.rels><Relationships xmlns="http://schemas.openxmlformats.org/package/2006/relationships"><Relationship Type="http://schemas.openxmlformats.org/officeDocument/2006/relationships/hyperlink" Target="#'Contents'!A1" TargetMode="External" Id="rId1"/></Relationships>
</file>

<file path=xl/worksheets/_rels/sheet21.xml.rels><Relationships xmlns="http://schemas.openxmlformats.org/package/2006/relationships"><Relationship Type="http://schemas.openxmlformats.org/officeDocument/2006/relationships/hyperlink" Target="#'Contents'!A1" TargetMode="External" Id="rId1"/></Relationships>
</file>

<file path=xl/worksheets/_rels/sheet22.xml.rels><Relationships xmlns="http://schemas.openxmlformats.org/package/2006/relationships"><Relationship Type="http://schemas.openxmlformats.org/officeDocument/2006/relationships/hyperlink" Target="#'Contents'!A1" TargetMode="External" Id="rId1"/></Relationships>
</file>

<file path=xl/worksheets/_rels/sheet23.xml.rels><Relationships xmlns="http://schemas.openxmlformats.org/package/2006/relationships"><Relationship Type="http://schemas.openxmlformats.org/officeDocument/2006/relationships/hyperlink" Target="#'Contents'!A1" TargetMode="External" Id="rId1"/></Relationships>
</file>

<file path=xl/worksheets/_rels/sheet24.xml.rels><Relationships xmlns="http://schemas.openxmlformats.org/package/2006/relationships"><Relationship Type="http://schemas.openxmlformats.org/officeDocument/2006/relationships/hyperlink" Target="#'Contents'!A1" TargetMode="External" Id="rId1"/><Relationship Type="http://schemas.openxmlformats.org/officeDocument/2006/relationships/hyperlink" Target="#'14. Master Framework'!A53" TargetMode="External" Id="rId2"/><Relationship Type="http://schemas.openxmlformats.org/officeDocument/2006/relationships/hyperlink" Target="#'14. Master Framework'!A68" TargetMode="External" Id="rId3"/><Relationship Type="http://schemas.openxmlformats.org/officeDocument/2006/relationships/hyperlink" Target="#'14. Master Framework'!A90" TargetMode="External" Id="rId4"/><Relationship Type="http://schemas.openxmlformats.org/officeDocument/2006/relationships/hyperlink" Target="#'14. Master Framework'!A152" TargetMode="External" Id="rId5"/><Relationship Type="http://schemas.openxmlformats.org/officeDocument/2006/relationships/hyperlink" Target="#'14. Master Framework'!A183" TargetMode="External" Id="rId6"/><Relationship Type="http://schemas.openxmlformats.org/officeDocument/2006/relationships/hyperlink" Target="#'14. Master Framework'!A203" TargetMode="External" Id="rId7"/><Relationship Type="http://schemas.openxmlformats.org/officeDocument/2006/relationships/hyperlink" Target="#'14. Master Framework'!A249" TargetMode="External" Id="rId8"/><Relationship Type="http://schemas.openxmlformats.org/officeDocument/2006/relationships/hyperlink" Target="#'14. Master Framework'!A347" TargetMode="External" Id="rId9"/><Relationship Type="http://schemas.openxmlformats.org/officeDocument/2006/relationships/hyperlink" Target="#'14. Master Framework'!A363" TargetMode="External" Id="rId10"/><Relationship Type="http://schemas.openxmlformats.org/officeDocument/2006/relationships/hyperlink" Target="#'14. Master Framework'!A393" TargetMode="External" Id="rId11"/><Relationship Type="http://schemas.openxmlformats.org/officeDocument/2006/relationships/hyperlink" Target="#'14. Master Framework'!A405" TargetMode="External" Id="rId12"/><Relationship Type="http://schemas.openxmlformats.org/officeDocument/2006/relationships/hyperlink" Target="#'14. Master Framework'!A453" TargetMode="External" Id="rId13"/><Relationship Type="http://schemas.openxmlformats.org/officeDocument/2006/relationships/hyperlink" Target="#'14. Master Framework'!A462" TargetMode="External" Id="rId14"/><Relationship Type="http://schemas.openxmlformats.org/officeDocument/2006/relationships/hyperlink" Target="#'14. Master Framework'!A525" TargetMode="External" Id="rId15"/><Relationship Type="http://schemas.openxmlformats.org/officeDocument/2006/relationships/hyperlink" Target="#'14. Master Framework'!A534" TargetMode="External" Id="rId16"/><Relationship Type="http://schemas.openxmlformats.org/officeDocument/2006/relationships/hyperlink" Target="#'14. Master Framework'!A543" TargetMode="External" Id="rId17"/><Relationship Type="http://schemas.openxmlformats.org/officeDocument/2006/relationships/hyperlink" Target="#'14. Master Framework'!A678" TargetMode="External" Id="rId18"/></Relationships>
</file>

<file path=xl/worksheets/_rels/sheet25.xml.rels><Relationships xmlns="http://schemas.openxmlformats.org/package/2006/relationships"><Relationship Type="http://schemas.openxmlformats.org/officeDocument/2006/relationships/hyperlink" Target="#'Contents'!A1" TargetMode="External" Id="rId1"/></Relationships>
</file>

<file path=xl/worksheets/_rels/sheet26.xml.rels><Relationships xmlns="http://schemas.openxmlformats.org/package/2006/relationships"><Relationship Type="http://schemas.openxmlformats.org/officeDocument/2006/relationships/hyperlink" Target="#'Contents'!A1" TargetMode="External" Id="rId1"/></Relationships>
</file>

<file path=xl/worksheets/_rels/sheet27.xml.rels><Relationships xmlns="http://schemas.openxmlformats.org/package/2006/relationships"><Relationship Type="http://schemas.openxmlformats.org/officeDocument/2006/relationships/hyperlink" Target="#'Contents'!A1" TargetMode="External" Id="rId1"/></Relationships>
</file>

<file path=xl/worksheets/_rels/sheet28.xml.rels><Relationships xmlns="http://schemas.openxmlformats.org/package/2006/relationships"><Relationship Type="http://schemas.openxmlformats.org/officeDocument/2006/relationships/hyperlink" Target="#'Contents'!A1" TargetMode="External" Id="rId1"/><Relationship Type="http://schemas.openxmlformats.org/officeDocument/2006/relationships/table" Target="/xl/tables/table1.xml" Id="rId2"/></Relationships>
</file>

<file path=xl/worksheets/_rels/sheet29.xml.rels><Relationships xmlns="http://schemas.openxmlformats.org/package/2006/relationships"><Relationship Type="http://schemas.openxmlformats.org/officeDocument/2006/relationships/hyperlink" Target="#'Contents'!A1" TargetMode="External" Id="rId1"/><Relationship Type="http://schemas.openxmlformats.org/officeDocument/2006/relationships/table" Target="/xl/tables/table2.xml" Id="rId2"/></Relationships>
</file>

<file path=xl/worksheets/_rels/sheet30.xml.rels><Relationships xmlns="http://schemas.openxmlformats.org/package/2006/relationships"><Relationship Type="http://schemas.openxmlformats.org/officeDocument/2006/relationships/hyperlink" Target="#'Contents'!A1" TargetMode="External" Id="rId1"/></Relationships>
</file>

<file path=xl/worksheets/_rels/sheet31.xml.rels><Relationships xmlns="http://schemas.openxmlformats.org/package/2006/relationships"><Relationship Type="http://schemas.openxmlformats.org/officeDocument/2006/relationships/hyperlink" Target="#'Contents'!A1" TargetMode="External" Id="rId1"/></Relationships>
</file>

<file path=xl/worksheets/sheet1.xml><?xml version="1.0" encoding="utf-8"?>
<worksheet xmlns="http://schemas.openxmlformats.org/spreadsheetml/2006/main">
  <sheetPr>
    <tabColor rgb="001F3864"/>
    <outlinePr summaryBelow="1" summaryRight="1"/>
    <pageSetUpPr fitToPage="1"/>
  </sheetPr>
  <dimension ref="A1:E87"/>
  <sheetViews>
    <sheetView showGridLines="0" workbookViewId="0">
      <pane ySplit="4" topLeftCell="A5" activePane="bottomLeft" state="frozen"/>
      <selection pane="bottomLeft" activeCell="A1" sqref="A1"/>
    </sheetView>
  </sheetViews>
  <sheetFormatPr baseColWidth="8" defaultRowHeight="15"/>
  <cols>
    <col width="6" customWidth="1" min="1" max="1"/>
    <col width="30" customWidth="1" min="2" max="2"/>
    <col width="70" customWidth="1" min="3" max="3"/>
    <col width="44" customWidth="1" min="4" max="4"/>
    <col width="13" customWidth="1" min="5" max="5"/>
  </cols>
  <sheetData>
    <row r="1" ht="34" customHeight="1">
      <c r="A1" s="1" t="inlineStr">
        <is>
          <t>How this exercise works — from a base framework to the final job architecture</t>
        </is>
      </c>
      <c r="B1" s="2" t="n"/>
      <c r="C1" s="2" t="n"/>
      <c r="D1" s="2" t="n"/>
      <c r="E1" s="99" t="inlineStr">
        <is>
          <t>◂ Contents</t>
        </is>
      </c>
    </row>
    <row r="2" ht="46" customHeight="1">
      <c r="A2" s="3" t="inlineStr">
        <is>
          <r>
            <rPr>
              <rFont val="Calibri"/>
              <b val="1"/>
              <i val="1"/>
              <color rgb="00404040"/>
              <sz val="10"/>
            </rPr>
            <t>Read this first:</t>
          </r>
          <r>
            <rPr>
              <rFont val="Calibri"/>
              <i val="1"/>
              <color rgb="00404040"/>
              <sz val="10"/>
            </rPr>
            <t xml:space="preserve"> what we did step by step, what is happening now, how the model works, what it produced, the impact — then our framework, the Job Architecture process and the Job Design process. The same page opens every file. The method: what we did, the workflow, how the model works, the framework, the master rules, the role catalogue. No names.</t>
          </r>
        </is>
      </c>
    </row>
    <row r="3">
      <c r="A3" s="4" t="inlineStr">
        <is>
          <t>IRIS · Job Architecture &amp; Job Design · Final v1.12 · October 2026 · Internal — Confidential</t>
        </is>
      </c>
      <c r="B3" s="5" t="n"/>
      <c r="C3" s="5" t="n"/>
      <c r="D3" s="5" t="n"/>
    </row>
    <row r="4"/>
    <row r="5" ht="20" customHeight="1">
      <c r="A5" s="6" t="inlineStr">
        <is>
          <t>1. What we did — step by step</t>
        </is>
      </c>
      <c r="B5" s="2" t="n"/>
      <c r="C5" s="2" t="n"/>
      <c r="D5" s="2" t="n"/>
    </row>
    <row r="6" ht="15" customHeight="1">
      <c r="A6" s="7" t="inlineStr">
        <is>
          <t>#</t>
        </is>
      </c>
      <c r="B6" s="7" t="inlineStr">
        <is>
          <t>Step</t>
        </is>
      </c>
      <c r="C6" s="7" t="inlineStr">
        <is>
          <t>What we did</t>
        </is>
      </c>
      <c r="D6" s="7" t="inlineStr">
        <is>
          <t>What came out of it</t>
        </is>
      </c>
    </row>
    <row r="7" ht="54" customHeight="1">
      <c r="A7" s="8" t="n">
        <v>1</v>
      </c>
      <c r="B7" s="9" t="inlineStr">
        <is>
          <t>Created a base framework</t>
        </is>
      </c>
      <c r="C7" s="9" t="inlineStr">
        <is>
          <t>Built IRIS's job architecture from established market methods — Aon Radford / Mercer career levels, Korn Ferry Hay factors, WTW banding and SFIA — with job families anchored to the ILO occupation standard.</t>
        </is>
      </c>
      <c r="D7" s="9" t="inlineStr">
        <is>
          <t>19 job families, 61 sub-families, a 12-level ladder plus two Player-Coach steps · B+, C+, six factors, individual-contributor and manager tracks</t>
        </is>
      </c>
    </row>
    <row r="8" ht="54" customHeight="1">
      <c r="A8" s="8" t="n">
        <v>2</v>
      </c>
      <c r="B8" s="9" t="inlineStr">
        <is>
          <t>Designed a survey around it</t>
        </is>
      </c>
      <c r="C8" s="9" t="inlineStr">
        <is>
          <r>
            <rPr>
              <rFont val="Calibri"/>
              <b val="1"/>
              <sz val="10"/>
            </rPr>
            <t>The 'How We Grow' survey:</t>
          </r>
          <r>
            <rPr>
              <rFont val="Calibri"/>
              <sz val="10"/>
            </rPr>
            <t xml:space="preserve"> 20 questions, each tied to the framework's factors — purpose of the role, what it delivers, what it is accountable for, what it can decide, the skills and tools it needs, and learning needs.</t>
          </r>
        </is>
      </c>
      <c r="D8" s="9" t="inlineStr">
        <is>
          <t>One evidence form for every role, so each rating can be traced to an answer</t>
        </is>
      </c>
    </row>
    <row r="9" ht="41" customHeight="1">
      <c r="A9" s="8" t="n">
        <v>3</v>
      </c>
      <c r="B9" s="9" t="inlineStr">
        <is>
          <t>Conducted 60–65 workshops</t>
        </is>
      </c>
      <c r="C9" s="9" t="inlineStr">
        <is>
          <t>Ran 60–65 workshops with teams across the six products and Corporate: explained the framework, walked through the questions and collected answers in the room.</t>
        </is>
      </c>
      <c r="D9" s="9" t="inlineStr">
        <is>
          <t>Survey responses from 520 people</t>
        </is>
      </c>
    </row>
    <row r="10" ht="41" customHeight="1">
      <c r="A10" s="8" t="n">
        <v>4</v>
      </c>
      <c r="B10" s="9" t="inlineStr">
        <is>
          <t>Gathered the data</t>
        </is>
      </c>
      <c r="C10" s="9" t="inlineStr">
        <is>
          <t>Combined the survey with the HRIS employee master, KRAs · self and manager-set, the managers' talent mapping · rating, potential, 9-box and the reporting lines.</t>
        </is>
      </c>
      <c r="D10" s="9" t="inlineStr">
        <is>
          <t>One record per person — 586 people; KRAs on file for 453</t>
        </is>
      </c>
    </row>
    <row r="11" ht="41" customHeight="1">
      <c r="A11" s="8" t="n">
        <v>5</v>
      </c>
      <c r="B11" s="9" t="inlineStr">
        <is>
          <t>Cleaned and protected it</t>
        </is>
      </c>
      <c r="C11" s="9" t="inlineStr">
        <is>
          <t>Matched responses to people · with consent where needed, removed personal data, and showed survey content only where three or more role-holders answered — never one person's words against a name.</t>
        </is>
      </c>
      <c r="D11" s="9" t="inlineStr">
        <is>
          <t>Privacy-safe evidence</t>
        </is>
      </c>
    </row>
    <row r="12" ht="28" customHeight="1">
      <c r="A12" s="8" t="n">
        <v>6</v>
      </c>
      <c r="B12" s="9" t="inlineStr">
        <is>
          <t>Mapped every role</t>
        </is>
      </c>
      <c r="C12" s="9" t="inlineStr">
        <is>
          <t>Placed each person in a job family, a sub-family · the work they actually do and a track.</t>
        </is>
      </c>
      <c r="D12" s="9" t="inlineStr">
        <is>
          <t>267 distinct employee roles; one IRIS-wide role catalogue</t>
        </is>
      </c>
    </row>
    <row r="13" ht="54" customHeight="1">
      <c r="A13" s="8" t="n">
        <v>7</v>
      </c>
      <c r="B13" s="9" t="inlineStr">
        <is>
          <t>Rated and scored</t>
        </is>
      </c>
      <c r="C13" s="9" t="inlineStr">
        <is>
          <t>Rated six factors — Complexity, Autonomy, Accountability, Leadership, Experience &amp; Qualification, Business Impact — on the ladder scale from the evidence; rating × weight = points; points add up to a score; the score points to a level.</t>
        </is>
      </c>
      <c r="D13" s="9" t="inlineStr">
        <is>
          <t>A score and an indicated level for 540 employees</t>
        </is>
      </c>
    </row>
    <row r="14" ht="41" customHeight="1">
      <c r="A14" s="8" t="n">
        <v>8</v>
      </c>
      <c r="B14" s="9" t="inlineStr">
        <is>
          <t>Applied the rules</t>
        </is>
      </c>
      <c r="C14" s="9" t="inlineStr">
        <is>
          <t>Gates, limits and Player-Coach steps where the evidence calls for them, and leadership decisions for the top bands — each one written down with its numbers.</t>
        </is>
      </c>
      <c r="D14" s="9" t="inlineStr">
        <is>
          <t>A final level and designation for everyone, every move explained</t>
        </is>
      </c>
    </row>
    <row r="15" ht="41" customHeight="1">
      <c r="A15" s="8" t="n">
        <v>9</v>
      </c>
      <c r="B15" s="9" t="inlineStr">
        <is>
          <t>Benchmarked to the market</t>
        </is>
      </c>
      <c r="C15" s="9" t="inlineStr">
        <is>
          <t>Matched every level to Aon Radford / Mercer codes and SFIA, and to competitor, regtech and SaaS ladders; every source re-read and corrected.</t>
        </is>
      </c>
      <c r="D15" s="9" t="inlineStr">
        <is>
          <t>A market code and a typical market title for every level</t>
        </is>
      </c>
    </row>
    <row r="16" ht="54" customHeight="1">
      <c r="A16" s="8" t="n">
        <v>10</v>
      </c>
      <c r="B16" s="9" t="inlineStr">
        <is>
          <t>Built the file set</t>
        </is>
      </c>
      <c r="C16" s="9" t="inlineStr">
        <is>
          <t>One build produces every file from the same data, so they always agree: the HR Super Master, product masters and simplified editions, the framework &amp; model master, the calibration panel pack, the ladder master and draft letters.</t>
        </is>
      </c>
      <c r="D16" s="9" t="inlineStr">
        <is>
          <t>Files by audience, rebuilt and re-checked in minutes</t>
        </is>
      </c>
    </row>
    <row r="17" ht="28" customHeight="1">
      <c r="A17" s="8" t="n">
        <v>11</v>
      </c>
      <c r="B17" s="9" t="inlineStr">
        <is>
          <t>Reviewed and corrected</t>
        </is>
      </c>
      <c r="C17" s="9" t="inlineStr">
        <is>
          <t>Business-head review, independent reviews, and 100+ automated checks on every build · placements, privacy, formulas, links, counts.</t>
        </is>
      </c>
      <c r="D17" s="9" t="inlineStr">
        <is>
          <t>Corrections fed back as validated inputs, never as hand edits</t>
        </is>
      </c>
    </row>
    <row r="18" ht="15" customHeight="1"/>
    <row r="19" ht="20" customHeight="1">
      <c r="A19" s="6" t="inlineStr">
        <is>
          <t>2. What we are doing now</t>
        </is>
      </c>
      <c r="B19" s="2" t="n"/>
      <c r="C19" s="2" t="n"/>
      <c r="D19" s="2" t="n"/>
    </row>
    <row r="20" ht="15" customHeight="1">
      <c r="A20" s="7" t="inlineStr">
        <is>
          <t>Now</t>
        </is>
      </c>
      <c r="B20" s="13" t="n"/>
      <c r="C20" s="7" t="inlineStr">
        <is>
          <t>What happens</t>
        </is>
      </c>
      <c r="D20" s="7" t="inlineStr">
        <is>
          <t>Who</t>
        </is>
      </c>
    </row>
    <row r="21" ht="28" customHeight="1">
      <c r="A21" s="14" t="inlineStr">
        <is>
          <t>Calibration</t>
        </is>
      </c>
      <c r="B21" s="15" t="n"/>
      <c r="C21" s="9" t="inlineStr">
        <is>
          <t>The panel rates anchor roles blind and compares them with the model; close calls and moves down are decided.</t>
        </is>
      </c>
      <c r="D21" s="9" t="inlineStr">
        <is>
          <t>Calibration panel</t>
        </is>
      </c>
    </row>
    <row r="22" ht="28" customHeight="1">
      <c r="A22" s="14" t="inlineStr">
        <is>
          <t>Decisions and data</t>
        </is>
      </c>
      <c r="B22" s="15" t="n"/>
      <c r="C22" s="9" t="inlineStr">
        <is>
          <t>Open decisions and critical data requests are worked in the HR Super Master's tracker.</t>
        </is>
      </c>
      <c r="D22" s="9" t="inlineStr">
        <is>
          <t>HR, managers, business heads</t>
        </is>
      </c>
    </row>
    <row r="23" ht="28" customHeight="1">
      <c r="A23" s="14" t="inlineStr">
        <is>
          <t>Business-head review</t>
        </is>
      </c>
      <c r="B23" s="15" t="n"/>
      <c r="C23" s="9" t="inlineStr">
        <is>
          <t>Each business head marks Agree / Change / Discuss in their simplified edition; responses are imported and tracked.</t>
        </is>
      </c>
      <c r="D23" s="9" t="inlineStr">
        <is>
          <t>Business heads</t>
        </is>
      </c>
    </row>
    <row r="24" ht="28" customHeight="1">
      <c r="A24" s="14" t="inlineStr">
        <is>
          <t>Sign-off</t>
        </is>
      </c>
      <c r="B24" s="15" t="n"/>
      <c r="C24" s="9" t="inlineStr">
        <is>
          <t>The executive sponsor approves the structure; then the draft letters are issued.</t>
        </is>
      </c>
      <c r="D24" s="9" t="inlineStr">
        <is>
          <t>Executive sponsor, HR</t>
        </is>
      </c>
    </row>
    <row r="25" ht="28" customHeight="1">
      <c r="A25" s="14" t="inlineStr">
        <is>
          <t>Pay · later</t>
        </is>
      </c>
      <c r="B25" s="15" t="n"/>
      <c r="C25" s="9" t="inlineStr">
        <is>
          <t>Buy one India pay survey and price each level; pay columns stay blank until then.</t>
        </is>
      </c>
      <c r="D25" s="9" t="inlineStr">
        <is>
          <t>HR, Finance</t>
        </is>
      </c>
    </row>
    <row r="26" ht="15" customHeight="1"/>
    <row r="27" ht="20" customHeight="1">
      <c r="A27" s="6" t="inlineStr">
        <is>
          <t>3. How it works — in one minute</t>
        </is>
      </c>
      <c r="B27" s="2" t="n"/>
      <c r="C27" s="2" t="n"/>
      <c r="D27" s="2" t="n"/>
    </row>
    <row r="28" ht="15" customHeight="1">
      <c r="A28" s="7" t="inlineStr">
        <is>
          <t>Step</t>
        </is>
      </c>
      <c r="B28" s="13" t="n"/>
      <c r="C28" s="7" t="inlineStr">
        <is>
          <t>In plain words</t>
        </is>
      </c>
      <c r="D28" s="13" t="n"/>
    </row>
    <row r="29" ht="28" customHeight="1">
      <c r="A29" s="14" t="inlineStr">
        <is>
          <t>1 · A building with 12 floors</t>
        </is>
      </c>
      <c r="B29" s="15" t="n"/>
      <c r="C29" s="9" t="inlineStr">
        <is>
          <r>
            <rPr>
              <rFont val="Calibri"/>
              <b val="1"/>
              <sz val="10"/>
            </rPr>
            <t>IRIS is a building:</t>
          </r>
          <r>
            <rPr>
              <rFont val="Calibri"/>
              <sz val="10"/>
            </rPr>
            <t xml:space="preserve"> floor 1 = first job, floor 12 = CEO; two half floors · B+, C+ for player-coaches. Every job lives on one floor.</t>
          </r>
        </is>
      </c>
      <c r="D29" s="15" t="n"/>
    </row>
    <row r="30" ht="28" customHeight="1">
      <c r="A30" s="14" t="inlineStr">
        <is>
          <t>2 · Six judges</t>
        </is>
      </c>
      <c r="B30" s="15" t="n"/>
      <c r="C30" s="9" t="inlineStr">
        <is>
          <t>Six judges look at the job — How hard? Decides alone? Answers for? Leads? Experience? Business impact? — and each holds up a floor number · the rating, using the evidence: survey, KRAs, HRIS, reporting line.</t>
        </is>
      </c>
      <c r="D30" s="15" t="n"/>
    </row>
    <row r="31" ht="28" customHeight="1">
      <c r="A31" s="14" t="inlineStr">
        <is>
          <t>3 · Some count more</t>
        </is>
      </c>
      <c r="B31" s="15" t="n"/>
      <c r="C31" s="9" t="inlineStr">
        <is>
          <t>Starting out, the quality of the work counts most; for leaders, results, leading and business impact count most. Experience counts little. All six add to 100%, and leaders can edit them on the Weightage Matrix.</t>
        </is>
      </c>
      <c r="D31" s="15" t="n"/>
    </row>
    <row r="32" ht="28" customHeight="1">
      <c r="A32" s="14" t="inlineStr">
        <is>
          <t>4 · Add up = the floor</t>
        </is>
      </c>
      <c r="B32" s="15" t="n"/>
      <c r="C32" s="9" t="inlineStr">
        <is>
          <t>Card × how much it counts = points; add the points = the score; round it = the floor · 5.05 → 5 → B2. Fair-play checks can hold it — each one written down.</t>
        </is>
      </c>
      <c r="D32" s="15" t="n"/>
    </row>
    <row r="33" ht="15" customHeight="1"/>
    <row r="34" ht="15" customHeight="1">
      <c r="A34" s="12" t="inlineStr">
        <is>
          <t>The HR Super Master's sheet '1c. Scoring Made Simple' and the Process Explainer tell this story in full, with three worked examples.</t>
        </is>
      </c>
    </row>
    <row r="35" ht="20" customHeight="1">
      <c r="A35" s="6" t="inlineStr">
        <is>
          <t>4. What it produced — the output</t>
        </is>
      </c>
      <c r="B35" s="2" t="n"/>
      <c r="C35" s="2" t="n"/>
      <c r="D35" s="2" t="n"/>
    </row>
    <row r="36" ht="15" customHeight="1">
      <c r="A36" s="7" t="inlineStr">
        <is>
          <t>Output</t>
        </is>
      </c>
      <c r="B36" s="13" t="n"/>
      <c r="C36" s="13" t="n"/>
      <c r="D36" s="7" t="inlineStr">
        <is>
          <t>Count</t>
        </is>
      </c>
    </row>
    <row r="37" ht="15" customHeight="1">
      <c r="A37" s="14" t="inlineStr">
        <is>
          <t>People mapped · employees + consultants</t>
        </is>
      </c>
      <c r="B37" s="15" t="n"/>
      <c r="C37" s="15" t="n"/>
      <c r="D37" s="8" t="inlineStr">
        <is>
          <t>586</t>
        </is>
      </c>
    </row>
    <row r="38" ht="15" customHeight="1">
      <c r="A38" s="14" t="inlineStr">
        <is>
          <t>Job families · sub-families</t>
        </is>
      </c>
      <c r="B38" s="15" t="n"/>
      <c r="C38" s="15" t="n"/>
      <c r="D38" s="8" t="inlineStr">
        <is>
          <t>19 · 61</t>
        </is>
      </c>
    </row>
    <row r="39" ht="15" customHeight="1">
      <c r="A39" s="14" t="inlineStr">
        <is>
          <t>Ladder steps in use · employees</t>
        </is>
      </c>
      <c r="B39" s="15" t="n"/>
      <c r="C39" s="15" t="n"/>
      <c r="D39" s="8" t="n">
        <v>13</v>
      </c>
    </row>
    <row r="40" ht="15" customHeight="1">
      <c r="A40" s="14" t="inlineStr">
        <is>
          <t>Designations on the new ladder · employees</t>
        </is>
      </c>
      <c r="B40" s="15" t="n"/>
      <c r="C40" s="15" t="n"/>
      <c r="D40" s="8" t="n">
        <v>184</v>
      </c>
    </row>
    <row r="41" ht="15" customHeight="1">
      <c r="A41" s="14" t="inlineStr">
        <is>
          <t>Distinct employee roles</t>
        </is>
      </c>
      <c r="B41" s="15" t="n"/>
      <c r="C41" s="15" t="n"/>
      <c r="D41" s="8" t="n">
        <v>267</v>
      </c>
    </row>
    <row r="42" ht="15" customHeight="1">
      <c r="A42" s="14" t="inlineStr">
        <is>
          <t>Products and Corporate</t>
        </is>
      </c>
      <c r="B42" s="15" t="n"/>
      <c r="C42" s="15" t="n"/>
      <c r="D42" s="8" t="n">
        <v>6</v>
      </c>
    </row>
    <row r="43" ht="15" customHeight="1">
      <c r="A43" s="14" t="inlineStr">
        <is>
          <t>People in leadership bands D–E</t>
        </is>
      </c>
      <c r="B43" s="15" t="n"/>
      <c r="C43" s="15" t="n"/>
      <c r="D43" s="8" t="n">
        <v>11</v>
      </c>
    </row>
    <row r="44" ht="15" customHeight="1"/>
    <row r="45" ht="20" customHeight="1">
      <c r="A45" s="6" t="inlineStr">
        <is>
          <t>5. The impact</t>
        </is>
      </c>
      <c r="B45" s="2" t="n"/>
      <c r="C45" s="2" t="n"/>
      <c r="D45" s="2" t="n"/>
    </row>
    <row r="46" ht="15" customHeight="1">
      <c r="A46" s="7" t="inlineStr">
        <is>
          <t>Impact</t>
        </is>
      </c>
      <c r="B46" s="13" t="n"/>
      <c r="C46" s="7" t="inlineStr">
        <is>
          <t>What it means</t>
        </is>
      </c>
      <c r="D46" s="13" t="n"/>
    </row>
    <row r="47" ht="28" customHeight="1">
      <c r="A47" s="14" t="inlineStr">
        <is>
          <t>One architecture for all of IRIS</t>
        </is>
      </c>
      <c r="B47" s="15" t="n"/>
      <c r="C47" s="9" t="inlineStr">
        <is>
          <t>The same families, the same ladder and the same method in every product — titles mean the same thing everywhere.</t>
        </is>
      </c>
      <c r="D47" s="15" t="n"/>
    </row>
    <row r="48" ht="15" customHeight="1">
      <c r="A48" s="14" t="inlineStr">
        <is>
          <t>Transparent, explainable levels</t>
        </is>
      </c>
      <c r="B48" s="15" t="n"/>
      <c r="C48" s="9" t="inlineStr">
        <is>
          <t>Every level traces to evidence, ratings, weights and named rules; anyone can see why a role sits where it does.</t>
        </is>
      </c>
      <c r="D48" s="15" t="n"/>
    </row>
    <row r="49" ht="28" customHeight="1">
      <c r="A49" s="14" t="inlineStr">
        <is>
          <t>Clear career paths</t>
        </is>
      </c>
      <c r="B49" s="15" t="n"/>
      <c r="C49" s="9" t="inlineStr">
        <is>
          <t>Individual-contributor and manager tracks with a ladder in every sub-family, and the competencies needed for the next step.</t>
        </is>
      </c>
      <c r="D49" s="15" t="n"/>
    </row>
    <row r="50" ht="28" customHeight="1">
      <c r="A50" s="14" t="inlineStr">
        <is>
          <t>Duplication made visible</t>
        </is>
      </c>
      <c r="B50" s="15" t="n"/>
      <c r="C50" s="9" t="inlineStr">
        <is>
          <t>53 family × sub-family × level combinations are held in more than one product — candidates for common role definitions and shared pools.</t>
        </is>
      </c>
      <c r="D50" s="15" t="n"/>
    </row>
    <row r="51" ht="28" customHeight="1">
      <c r="A51" s="14" t="inlineStr">
        <is>
          <t>Leadership consistency</t>
        </is>
      </c>
      <c r="B51" s="15" t="n"/>
      <c r="C51" s="9" t="inlineStr">
        <is>
          <t>No one in Bands D–E sits above their reporting manager, anyone in Band D reporting to an E1 / E2 sits at D2, and leadership levels are set by approved decisions.</t>
        </is>
      </c>
      <c r="D51" s="15" t="n"/>
    </row>
    <row r="52" ht="15" customHeight="1">
      <c r="A52" s="14" t="inlineStr">
        <is>
          <t>Ready for pay and planning</t>
        </is>
      </c>
      <c r="B52" s="15" t="n"/>
      <c r="C52" s="9" t="inlineStr">
        <is>
          <t>Each level carries a market code, so pay ranges, succession and workforce planning can be built on it.</t>
        </is>
      </c>
      <c r="D52" s="15" t="n"/>
    </row>
    <row r="53" ht="15" customHeight="1"/>
    <row r="54" ht="20" customHeight="1">
      <c r="A54" s="6" t="inlineStr">
        <is>
          <t>6. Our framework at a glance</t>
        </is>
      </c>
      <c r="B54" s="2" t="n"/>
      <c r="C54" s="2" t="n"/>
      <c r="D54" s="2" t="n"/>
    </row>
    <row r="55" ht="28" customHeight="1">
      <c r="A55" s="7" t="inlineStr">
        <is>
          <t>Element</t>
        </is>
      </c>
      <c r="B55" s="7" t="inlineStr">
        <is>
          <t>What it is</t>
        </is>
      </c>
      <c r="C55" s="13" t="n"/>
      <c r="D55" s="13" t="n"/>
    </row>
    <row r="56" ht="41" customHeight="1">
      <c r="A56" s="14" t="inlineStr">
        <is>
          <t>Job families</t>
        </is>
      </c>
      <c r="B56" s="9" t="inlineStr">
        <is>
          <t>19 families of work, each anchored to the ILO occupation standard — the same in every product.</t>
        </is>
      </c>
      <c r="C56" s="15" t="n"/>
      <c r="D56" s="15" t="n"/>
    </row>
    <row r="57" ht="41" customHeight="1">
      <c r="A57" s="14" t="inlineStr">
        <is>
          <t>Sub-families</t>
        </is>
      </c>
      <c r="B57" s="9" t="inlineStr">
        <is>
          <t>61 sub-families: the work a person actually does inside a family. One definition each, used everywhere.</t>
        </is>
      </c>
      <c r="C57" s="15" t="n"/>
      <c r="D57" s="15" t="n"/>
    </row>
    <row r="58" ht="41" customHeight="1">
      <c r="A58" s="14" t="inlineStr">
        <is>
          <t>Career ladder</t>
        </is>
      </c>
      <c r="B58" s="9" t="inlineStr">
        <is>
          <r>
            <rPr>
              <rFont val="Calibri"/>
              <b val="1"/>
              <sz val="10"/>
            </rPr>
            <t>One ladder from intern to CEO:</t>
          </r>
          <r>
            <rPr>
              <rFont val="Calibri"/>
              <sz val="10"/>
            </rPr>
            <t xml:space="preserve"> A1–A3 practitioner · B1–B3 specialist / manager · B+ Player-Coach · C1–C2 principal / head · C+ Player-Coach · D1–D2 business leadership · E1–E2 enterprise leadership; X1–X3 for consultants · outside the ladder.</t>
          </r>
        </is>
      </c>
      <c r="C58" s="15" t="n"/>
      <c r="D58" s="15" t="n"/>
    </row>
    <row r="59" ht="28" customHeight="1">
      <c r="A59" s="14" t="inlineStr">
        <is>
          <t>Tracks</t>
        </is>
      </c>
      <c r="B59" s="9" t="inlineStr">
        <is>
          <t>Individual contributor, POD Lead · leads 1–3 while doing the work, Player-Coach · leads and delivers, People Manager, Consultant — experts progress without having to manage.</t>
        </is>
      </c>
      <c r="C59" s="15" t="n"/>
      <c r="D59" s="15" t="n"/>
    </row>
    <row r="60" ht="28" customHeight="1">
      <c r="A60" s="14" t="inlineStr">
        <is>
          <t>Six factors</t>
        </is>
      </c>
      <c r="B60" s="9" t="inlineStr">
        <is>
          <t>Complexity &amp; Expertise · Autonomy &amp; Decision · Accountability &amp; Impact · Leadership &amp; Strategy · Experience &amp; Qualification · Business Impact — each gets a rating: the floor of the ladder that part of the job looks like.</t>
        </is>
      </c>
      <c r="C60" s="15" t="n"/>
      <c r="D60" s="15" t="n"/>
    </row>
    <row r="61" ht="28" customHeight="1">
      <c r="A61" s="14" t="inlineStr">
        <is>
          <t>Weights</t>
        </is>
      </c>
      <c r="B61" s="9" t="inlineStr">
        <is>
          <t>How much each factor counts, by band and track · junior roles: skill and experience; senior roles: accountability and leadership, fine-tuned ±5 by type of work.</t>
        </is>
      </c>
      <c r="C61" s="15" t="n"/>
      <c r="D61" s="15" t="n"/>
    </row>
    <row r="62" ht="28" customHeight="1">
      <c r="A62" s="14" t="inlineStr">
        <is>
          <t>Rules</t>
        </is>
      </c>
      <c r="B62" s="9" t="inlineStr">
        <is>
          <t>R1–R13: category rules, provisional holds, work-substance and structure gates, experience limits, track minimums, Player-Coach steps, leadership decisions and the D–E reporting-line rules — each written on the person's row with its numbers.</t>
        </is>
      </c>
      <c r="C62" s="15" t="n"/>
      <c r="D62" s="15" t="n"/>
    </row>
    <row r="63" ht="28" customHeight="1">
      <c r="A63" s="14" t="inlineStr">
        <is>
          <t>Titles</t>
        </is>
      </c>
      <c r="B63" s="9" t="inlineStr">
        <is>
          <t>Level marker + role noun; market titles where the market has its own ladder · Product Manager, Account Executive.</t>
        </is>
      </c>
      <c r="C63" s="15" t="n"/>
      <c r="D63" s="15" t="n"/>
    </row>
    <row r="64" ht="41" customHeight="1">
      <c r="A64" s="14" t="inlineStr">
        <is>
          <t>Competencies</t>
        </is>
      </c>
      <c r="B64" s="9" t="inlineStr">
        <is>
          <t>6 core and 4 future-ready for everyone, 4 leadership for leaders, and functional competencies for each family — each with a 1–5 skill level required at every career level.</t>
        </is>
      </c>
      <c r="C64" s="15" t="n"/>
      <c r="D64" s="15" t="n"/>
    </row>
    <row r="65" ht="28" customHeight="1">
      <c r="A65" s="14" t="inlineStr">
        <is>
          <t>Market link</t>
        </is>
      </c>
      <c r="B65" s="9" t="inlineStr">
        <is>
          <t>Every level maps to Aon Radford / Mercer codes and SFIA, with competitor, regtech and SaaS equivalents — the base for pay ranges later.</t>
        </is>
      </c>
      <c r="C65" s="15" t="n"/>
      <c r="D65" s="15" t="n"/>
    </row>
    <row r="66" ht="15" customHeight="1"/>
    <row r="67" ht="20" customHeight="1">
      <c r="A67" s="6" t="inlineStr">
        <is>
          <t>7. The Job Architecture process — how the structure was built</t>
        </is>
      </c>
      <c r="B67" s="2" t="n"/>
      <c r="C67" s="2" t="n"/>
      <c r="D67" s="2" t="n"/>
    </row>
    <row r="68" ht="15" customHeight="1">
      <c r="A68" s="7" t="inlineStr">
        <is>
          <t>#</t>
        </is>
      </c>
      <c r="B68" s="7" t="inlineStr">
        <is>
          <t>Step</t>
        </is>
      </c>
      <c r="C68" s="7" t="inlineStr">
        <is>
          <t>What happens</t>
        </is>
      </c>
      <c r="D68" s="13" t="n"/>
    </row>
    <row r="69" ht="15" customHeight="1">
      <c r="A69" s="8" t="n">
        <v>1</v>
      </c>
      <c r="B69" s="9" t="inlineStr">
        <is>
          <t>Define families</t>
        </is>
      </c>
      <c r="C69" s="9" t="inlineStr">
        <is>
          <t>Group all work into job families anchored to ISCO-08, so the same work has the same name everywhere.</t>
        </is>
      </c>
      <c r="D69" s="15" t="n"/>
    </row>
    <row r="70" ht="15" customHeight="1">
      <c r="A70" s="8" t="n">
        <v>2</v>
      </c>
      <c r="B70" s="9" t="inlineStr">
        <is>
          <t>Define sub-families</t>
        </is>
      </c>
      <c r="C70" s="9" t="inlineStr">
        <is>
          <t>Split each family into the distinct kinds of work people do, from the survey and role data.</t>
        </is>
      </c>
      <c r="D70" s="15" t="n"/>
    </row>
    <row r="71" ht="28" customHeight="1">
      <c r="A71" s="8" t="n">
        <v>3</v>
      </c>
      <c r="B71" s="9" t="inlineStr">
        <is>
          <t>Set the ladder and bands</t>
        </is>
      </c>
      <c r="C71" s="9" t="inlineStr">
        <is>
          <t>One 12-level ladder with five bands and two Player-Coach steps; what each level owns, its experience range and span.</t>
        </is>
      </c>
      <c r="D71" s="15" t="n"/>
    </row>
    <row r="72" ht="28" customHeight="1">
      <c r="A72" s="8" t="n">
        <v>4</v>
      </c>
      <c r="B72" s="9" t="inlineStr">
        <is>
          <t>Set the tracks</t>
        </is>
      </c>
      <c r="C72" s="9" t="inlineStr">
        <is>
          <t>IC, POD Lead, Player-Coach, People Manager, Consultant — and the rules for each.</t>
        </is>
      </c>
      <c r="D72" s="15" t="n"/>
    </row>
    <row r="73" ht="15" customHeight="1">
      <c r="A73" s="8" t="n">
        <v>5</v>
      </c>
      <c r="B73" s="9" t="inlineStr">
        <is>
          <t>Level every role</t>
        </is>
      </c>
      <c r="C73" s="9" t="inlineStr">
        <is>
          <t>Six ratings × weights → score → level, then the rules; leadership levels by approved decision.</t>
        </is>
      </c>
      <c r="D73" s="15" t="n"/>
    </row>
    <row r="74" ht="15" customHeight="1">
      <c r="A74" s="8" t="n">
        <v>6</v>
      </c>
      <c r="B74" s="9" t="inlineStr">
        <is>
          <t>Name every role</t>
        </is>
      </c>
      <c r="C74" s="9" t="inlineStr">
        <is>
          <t>Designation = level marker + role noun; title protection for anyone moving down.</t>
        </is>
      </c>
      <c r="D74" s="15" t="n"/>
    </row>
    <row r="75" ht="15" customHeight="1">
      <c r="A75" s="8" t="n">
        <v>7</v>
      </c>
      <c r="B75" s="9" t="inlineStr">
        <is>
          <t>Benchmark</t>
        </is>
      </c>
      <c r="C75" s="9" t="inlineStr">
        <is>
          <t>Crosswalk every level to Radford / Mercer and SFIA; compare with competitor and peer ladders.</t>
        </is>
      </c>
      <c r="D75" s="15" t="n"/>
    </row>
    <row r="76" ht="15" customHeight="1">
      <c r="A76" s="8" t="n">
        <v>8</v>
      </c>
      <c r="B76" s="9" t="inlineStr">
        <is>
          <t>Govern</t>
        </is>
      </c>
      <c r="C76" s="9" t="inlineStr">
        <is>
          <t>Calibration panel, business-head review, a decision tracker and change rules · who can change a level, and how.</t>
        </is>
      </c>
      <c r="D76" s="15" t="n"/>
    </row>
    <row r="77" ht="15" customHeight="1"/>
    <row r="78" ht="20" customHeight="1">
      <c r="A78" s="6" t="inlineStr">
        <is>
          <t>8. The Job Design process — how each role is described</t>
        </is>
      </c>
      <c r="B78" s="2" t="n"/>
      <c r="C78" s="2" t="n"/>
      <c r="D78" s="2" t="n"/>
    </row>
    <row r="79" ht="15" customHeight="1">
      <c r="A79" s="7" t="inlineStr">
        <is>
          <t>#</t>
        </is>
      </c>
      <c r="B79" s="7" t="inlineStr">
        <is>
          <t>Step</t>
        </is>
      </c>
      <c r="C79" s="7" t="inlineStr">
        <is>
          <t>What happens</t>
        </is>
      </c>
      <c r="D79" s="13" t="n"/>
    </row>
    <row r="80" ht="15" customHeight="1">
      <c r="A80" s="8" t="n">
        <v>1</v>
      </c>
      <c r="B80" s="9" t="inlineStr">
        <is>
          <t>Purpose</t>
        </is>
      </c>
      <c r="C80" s="9" t="inlineStr">
        <is>
          <t>Why the role exists — from the sub-family definition and the level standard.</t>
        </is>
      </c>
      <c r="D80" s="15" t="n"/>
    </row>
    <row r="81" ht="28" customHeight="1">
      <c r="A81" s="8" t="n">
        <v>2</v>
      </c>
      <c r="B81" s="9" t="inlineStr">
        <is>
          <t>Responsibilities and deliverables</t>
        </is>
      </c>
      <c r="C81" s="9" t="inlineStr">
        <is>
          <t>What the role does and produces — from role-holders' survey answers · as counted themes and KRAs.</t>
        </is>
      </c>
      <c r="D81" s="15" t="n"/>
    </row>
    <row r="82" ht="28" customHeight="1">
      <c r="A82" s="8" t="n">
        <v>3</v>
      </c>
      <c r="B82" s="9" t="inlineStr">
        <is>
          <t>Accountability and decision rights</t>
        </is>
      </c>
      <c r="C82" s="9" t="inlineStr">
        <is>
          <t>What the role answers for, what it can decide alone, and what happens if the work is missed.</t>
        </is>
      </c>
      <c r="D82" s="15" t="n"/>
    </row>
    <row r="83" ht="15" customHeight="1">
      <c r="A83" s="8" t="n">
        <v>4</v>
      </c>
      <c r="B83" s="9" t="inlineStr">
        <is>
          <t>Measures</t>
        </is>
      </c>
      <c r="C83" s="9" t="inlineStr">
        <is>
          <r>
            <rPr>
              <rFont val="Calibri"/>
              <b val="1"/>
              <sz val="10"/>
            </rPr>
            <t>Manager-set KRAs:</t>
          </r>
          <r>
            <rPr>
              <rFont val="Calibri"/>
              <sz val="10"/>
            </rPr>
            <t xml:space="preserve"> how the role is judged.</t>
          </r>
        </is>
      </c>
      <c r="D83" s="15" t="n"/>
    </row>
    <row r="84" ht="15" customHeight="1">
      <c r="A84" s="8" t="n">
        <v>5</v>
      </c>
      <c r="B84" s="9" t="inlineStr">
        <is>
          <t>Competencies and skill level</t>
        </is>
      </c>
      <c r="C84" s="9" t="inlineStr">
        <is>
          <t>The core, future-ready, functional and leadership competencies the role needs, each at a 1–5 level.</t>
        </is>
      </c>
      <c r="D84" s="15" t="n"/>
    </row>
    <row r="85" ht="15" customHeight="1">
      <c r="A85" s="8" t="n">
        <v>6</v>
      </c>
      <c r="B85" s="9" t="inlineStr">
        <is>
          <t>Role profile and catalogue</t>
        </is>
      </c>
      <c r="C85" s="9" t="inlineStr">
        <is>
          <t>One IRIS-wide catalogue entry per family × sub-family × level × track — the shared description of the job.</t>
        </is>
      </c>
      <c r="D85" s="15" t="n"/>
    </row>
    <row r="86" ht="15" customHeight="1">
      <c r="A86" s="8" t="n">
        <v>7</v>
      </c>
      <c r="B86" s="9" t="inlineStr">
        <is>
          <t>Career ladder</t>
        </is>
      </c>
      <c r="C86" s="9" t="inlineStr">
        <is>
          <t>Where the role sits in its sub-family's ladder, the next step and what it takes.</t>
        </is>
      </c>
      <c r="D86" s="15" t="n"/>
    </row>
    <row r="87" ht="28" customHeight="1">
      <c r="A87" s="8" t="n">
        <v>8</v>
      </c>
      <c r="B87" s="9" t="inlineStr">
        <is>
          <t>Recruitment profile</t>
        </is>
      </c>
      <c r="C87" s="9" t="inlineStr">
        <is>
          <t>The hire equivalent in the market, the competencies to hire for and the interview questions — on every person card.</t>
        </is>
      </c>
      <c r="D87" s="15" t="n"/>
    </row>
  </sheetData>
  <mergeCells count="79">
    <mergeCell ref="A5:D5"/>
    <mergeCell ref="B60:D60"/>
    <mergeCell ref="A37:C37"/>
    <mergeCell ref="B57:D57"/>
    <mergeCell ref="A51:B51"/>
    <mergeCell ref="C79:D79"/>
    <mergeCell ref="C73:D73"/>
    <mergeCell ref="C50:D50"/>
    <mergeCell ref="A43:C43"/>
    <mergeCell ref="C76:D76"/>
    <mergeCell ref="A54:D54"/>
    <mergeCell ref="B62:D62"/>
    <mergeCell ref="A22:B22"/>
    <mergeCell ref="A27:D27"/>
    <mergeCell ref="A28:B28"/>
    <mergeCell ref="B56:D56"/>
    <mergeCell ref="C28:D28"/>
    <mergeCell ref="A2:D2"/>
    <mergeCell ref="C69:D69"/>
    <mergeCell ref="C83:D83"/>
    <mergeCell ref="A48:B48"/>
    <mergeCell ref="A30:B30"/>
    <mergeCell ref="C30:D30"/>
    <mergeCell ref="A35:D35"/>
    <mergeCell ref="A19:D19"/>
    <mergeCell ref="C47:D47"/>
    <mergeCell ref="A46:B46"/>
    <mergeCell ref="A38:C38"/>
    <mergeCell ref="C71:D71"/>
    <mergeCell ref="A40:C40"/>
    <mergeCell ref="B59:D59"/>
    <mergeCell ref="A52:B52"/>
    <mergeCell ref="C82:D82"/>
    <mergeCell ref="C86:D86"/>
    <mergeCell ref="C68:D68"/>
    <mergeCell ref="A49:B49"/>
    <mergeCell ref="A42:C42"/>
    <mergeCell ref="C29:D29"/>
    <mergeCell ref="C85:D85"/>
    <mergeCell ref="A34:D34"/>
    <mergeCell ref="C75:D75"/>
    <mergeCell ref="C84:D84"/>
    <mergeCell ref="B65:D65"/>
    <mergeCell ref="C31:D31"/>
    <mergeCell ref="C80:D80"/>
    <mergeCell ref="A1:D1"/>
    <mergeCell ref="A45:D45"/>
    <mergeCell ref="A21:B21"/>
    <mergeCell ref="C46:D46"/>
    <mergeCell ref="B63:D63"/>
    <mergeCell ref="C51:D51"/>
    <mergeCell ref="A78:D78"/>
    <mergeCell ref="A32:B32"/>
    <mergeCell ref="A23:B23"/>
    <mergeCell ref="C70:D70"/>
    <mergeCell ref="C48:D48"/>
    <mergeCell ref="C32:D32"/>
    <mergeCell ref="C49:D49"/>
    <mergeCell ref="A24:B24"/>
    <mergeCell ref="A41:C41"/>
    <mergeCell ref="B61:D61"/>
    <mergeCell ref="C74:D74"/>
    <mergeCell ref="A67:D67"/>
    <mergeCell ref="A25:B25"/>
    <mergeCell ref="B55:D55"/>
    <mergeCell ref="B64:D64"/>
    <mergeCell ref="A50:B50"/>
    <mergeCell ref="A47:B47"/>
    <mergeCell ref="A39:C39"/>
    <mergeCell ref="C52:D52"/>
    <mergeCell ref="A20:B20"/>
    <mergeCell ref="A36:C36"/>
    <mergeCell ref="A29:B29"/>
    <mergeCell ref="C72:D72"/>
    <mergeCell ref="C81:D81"/>
    <mergeCell ref="A3:D3"/>
    <mergeCell ref="B58:D58"/>
    <mergeCell ref="A31:B31"/>
    <mergeCell ref="C87:D87"/>
  </mergeCells>
  <hyperlinks>
    <hyperlink xmlns:r="http://schemas.openxmlformats.org/officeDocument/2006/relationships" ref="E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worksheet>
</file>

<file path=xl/worksheets/sheet2.xml><?xml version="1.0" encoding="utf-8"?>
<worksheet xmlns="http://schemas.openxmlformats.org/spreadsheetml/2006/main">
  <sheetPr>
    <tabColor rgb="001F3864"/>
    <outlinePr summaryBelow="1" summaryRight="1"/>
    <pageSetUpPr fitToPage="1"/>
  </sheetPr>
  <dimension ref="A1:C35"/>
  <sheetViews>
    <sheetView showGridLines="0" workbookViewId="0">
      <pane ySplit="5" topLeftCell="A6" activePane="bottomLeft" state="frozen"/>
      <selection pane="bottomLeft" activeCell="A1" sqref="A1"/>
    </sheetView>
  </sheetViews>
  <sheetFormatPr baseColWidth="8" defaultRowHeight="15"/>
  <cols>
    <col width="6" customWidth="1" min="1" max="1"/>
    <col width="34" customWidth="1" min="2" max="2"/>
    <col width="90" customWidth="1" min="3" max="3"/>
  </cols>
  <sheetData>
    <row r="1" ht="34" customHeight="1">
      <c r="A1" s="1" t="inlineStr">
        <is>
          <t>IRIS Job Architecture — Framework &amp; Model Master — contents</t>
        </is>
      </c>
      <c r="B1" s="2" t="n"/>
      <c r="C1" s="2" t="n"/>
    </row>
    <row r="2" ht="30" customHeight="1">
      <c r="A2" s="3" t="inlineStr">
        <is>
          <t>Click a sheet name to go there; every sheet has a '◂ Contents' link at the top right to come back.</t>
        </is>
      </c>
    </row>
    <row r="3">
      <c r="A3" s="4" t="inlineStr">
        <is>
          <t>IRIS · Job Architecture &amp; Job Design · Final v1.12 · October 2026 · Internal — Confidential</t>
        </is>
      </c>
      <c r="B3" s="5" t="n"/>
      <c r="C3" s="5" t="n"/>
    </row>
    <row r="4"/>
    <row r="5">
      <c r="A5" s="76" t="inlineStr">
        <is>
          <t>#</t>
        </is>
      </c>
      <c r="B5" s="76" t="inlineStr">
        <is>
          <t>Sheet</t>
        </is>
      </c>
      <c r="C5" s="76" t="inlineStr">
        <is>
          <t>What it holds</t>
        </is>
      </c>
    </row>
    <row r="6" ht="45" customHeight="1">
      <c r="A6" s="100" t="n">
        <v>1</v>
      </c>
      <c r="B6" s="101" t="inlineStr">
        <is>
          <t>Start — How It Works</t>
        </is>
      </c>
      <c r="C6" s="9" t="inlineStr">
        <is>
          <r>
            <rPr>
              <rFont val="Calibri"/>
              <b val="1"/>
              <sz val="10"/>
            </rPr>
            <t>Read this first:</t>
          </r>
          <r>
            <rPr>
              <rFont val="Calibri"/>
              <sz val="10"/>
            </rPr>
            <t xml:space="preserve"> what we did step by step, what is happening now, how the model works, what it produced, the impact — then our framework, the Job Architecture process and the Job Design process.</t>
          </r>
        </is>
      </c>
    </row>
    <row r="7" ht="30" customHeight="1">
      <c r="A7" s="100" t="n">
        <v>2</v>
      </c>
      <c r="B7" s="101" t="inlineStr">
        <is>
          <t>A. What We Have Done</t>
        </is>
      </c>
      <c r="C7" s="9" t="inlineStr">
        <is>
          <t>The scope, the structure we created, where everyone landed, what each version added, and how the work is checked.</t>
        </is>
      </c>
    </row>
    <row r="8" ht="30" customHeight="1">
      <c r="A8" s="100" t="n">
        <v>3</v>
      </c>
      <c r="B8" s="101" t="inlineStr">
        <is>
          <t>B. End-to-End Workflow</t>
        </is>
      </c>
      <c r="C8" s="9" t="inlineStr">
        <is>
          <r>
            <rPr>
              <rFont val="Calibri"/>
              <b val="1"/>
              <sz val="10"/>
            </rPr>
            <t>Every step in order:</t>
          </r>
          <r>
            <rPr>
              <rFont val="Calibri"/>
              <sz val="10"/>
            </rPr>
            <t xml:space="preserve"> what happens, what goes in, what comes out, who owns it, and where it stands today.</t>
          </r>
        </is>
      </c>
    </row>
    <row r="9" ht="45" customHeight="1">
      <c r="A9" s="100" t="n">
        <v>4</v>
      </c>
      <c r="B9" s="101" t="inlineStr">
        <is>
          <t>C. How the Model Works</t>
        </is>
      </c>
      <c r="C9" s="9" t="inlineStr">
        <is>
          <t>The whole rating, weighting, scoring and level process in simple steps, why the same formula works from intern to CEO, and one department worked through from bottom to top · invented ratings.</t>
        </is>
      </c>
    </row>
    <row r="10" ht="30" customHeight="1">
      <c r="A10" s="100" t="n">
        <v>5</v>
      </c>
      <c r="B10" s="101" t="inlineStr">
        <is>
          <t>D. Scores, Bands &amp; Departments</t>
        </is>
      </c>
      <c r="C10" s="9" t="inlineStr">
        <is>
          <t>How a score maps to a band, how the base weights were set and why, and how the same base applies to every team through a small tilt by type of work.</t>
        </is>
      </c>
    </row>
    <row r="11" ht="30" customHeight="1">
      <c r="A11" s="100" t="n">
        <v>6</v>
      </c>
      <c r="B11" s="101" t="inlineStr">
        <is>
          <t>E. Model vs Market Methods</t>
        </is>
      </c>
      <c r="C11" s="9" t="inlineStr">
        <is>
          <t>What is borrowed from recognised methods, what is designed for IRIS, where each is stronger, and what a wider · global use would still need.</t>
        </is>
      </c>
    </row>
    <row r="12" ht="45" customHeight="1">
      <c r="A12" s="100" t="n">
        <v>7</v>
      </c>
      <c r="B12" s="101" t="inlineStr">
        <is>
          <t>F. Decision Log</t>
        </is>
      </c>
      <c r="C12" s="9" t="inlineStr">
        <is>
          <t>Every decision taken on the model and the files, in order. Open decisions · Player-Coach code choice confirmed as B+ / C+ for now; pay survey; panel validation of the weights are tracked in the HR Super Master.</t>
        </is>
      </c>
    </row>
    <row r="13" ht="30" customHeight="1">
      <c r="A13" s="100" t="n">
        <v>8</v>
      </c>
      <c r="B13" s="101" t="inlineStr">
        <is>
          <t>G. Files &amp; Review Loop</t>
        </is>
      </c>
      <c r="C13" s="9" t="inlineStr">
        <is>
          <t>The file set by audience, what each holds, who may see it, and the commands to rebuild and check.</t>
        </is>
      </c>
    </row>
    <row r="14" ht="45" customHeight="1">
      <c r="A14" s="100" t="n">
        <v>9</v>
      </c>
      <c r="B14" s="101" t="inlineStr">
        <is>
          <t>0. Overview</t>
        </is>
      </c>
      <c r="C14" s="9" t="inlineStr">
        <is>
          <r>
            <rPr>
              <rFont val="Calibri"/>
              <b val="1"/>
              <sz val="10"/>
            </rPr>
            <t>How the framework works, in the order it works:</t>
          </r>
          <r>
            <rPr>
              <rFont val="Calibri"/>
              <sz val="10"/>
            </rPr>
            <t xml:space="preserve"> principles → flow → architecture → levels → tracks and titles → factors → weights → score to level → competencies → every department's structure → career paths → governance.</t>
          </r>
        </is>
      </c>
    </row>
    <row r="15" ht="30" customHeight="1">
      <c r="A15" s="100" t="n">
        <v>10</v>
      </c>
      <c r="B15" s="101" t="inlineStr">
        <is>
          <t>1. Principles</t>
        </is>
      </c>
      <c r="C15" s="9" t="inlineStr">
        <is>
          <t>Twelve principles decide every design choice in the framework. When a case is unclear, these settle it.</t>
        </is>
      </c>
    </row>
    <row r="16" ht="30" customHeight="1">
      <c r="A16" s="100" t="n">
        <v>11</v>
      </c>
      <c r="B16" s="101" t="inlineStr">
        <is>
          <t>2. How It Works</t>
        </is>
      </c>
      <c r="C16" s="9" t="inlineStr">
        <is>
          <t>Every person goes through the same 12 steps, in this order. The later sheets of this guide explain each step in detail.</t>
        </is>
      </c>
    </row>
    <row r="17" ht="30" customHeight="1">
      <c r="A17" s="100" t="n">
        <v>12</v>
      </c>
      <c r="B17" s="101" t="inlineStr">
        <is>
          <t>3. Architecture</t>
        </is>
      </c>
      <c r="C17" s="9" t="inlineStr">
        <is>
          <t>Every role sits in one place in this hierarchy. Department comes from the HRIS; job family and sub-family come from the work itself.</t>
        </is>
      </c>
    </row>
    <row r="18" ht="30" customHeight="1">
      <c r="A18" s="100" t="n">
        <v>13</v>
      </c>
      <c r="B18" s="101" t="inlineStr">
        <is>
          <t>4. Levels &amp; Bands</t>
        </is>
      </c>
      <c r="C18" s="9" t="inlineStr">
        <is>
          <t>Each level is a size of role, not a title. Bands group levels with the same kind of contribution; the Player-Coach transition steps sit between bands.</t>
        </is>
      </c>
    </row>
    <row r="19" ht="30" customHeight="1">
      <c r="A19" s="100" t="n">
        <v>14</v>
      </c>
      <c r="B19" s="101" t="inlineStr">
        <is>
          <t>5. Tracks &amp; Titles</t>
        </is>
      </c>
      <c r="C19" s="9" t="inlineStr">
        <is>
          <t>Band A has one common path. From B1 a role is an individual contributor, a POD Lead or a People Manager; at the Player-Coach transition steps it can be a Player-Coach.</t>
        </is>
      </c>
    </row>
    <row r="20" ht="30" customHeight="1">
      <c r="A20" s="100" t="n">
        <v>15</v>
      </c>
      <c r="B20" s="101" t="inlineStr">
        <is>
          <t>6. Factors &amp; Ratings</t>
        </is>
      </c>
      <c r="C20" s="9" t="inlineStr">
        <is>
          <t>Six factors describe the size of any role. Each is rated on the same scale as the ladder · A1 = 1 … E2 = 12, so a rating reads directly as a level.</t>
        </is>
      </c>
    </row>
    <row r="21" ht="30" customHeight="1">
      <c r="A21" s="100" t="n">
        <v>16</v>
      </c>
      <c r="B21" s="101" t="inlineStr">
        <is>
          <t>7. Weights</t>
        </is>
      </c>
      <c r="C21" s="9" t="inlineStr">
        <is>
          <t>Every weight set = a base for the band and track + a tilt for the type of work · no tilt at Bands D–E or the C+ Player-Coach transition step.</t>
        </is>
      </c>
    </row>
    <row r="22" ht="30" customHeight="1">
      <c r="A22" s="100" t="n">
        <v>17</v>
      </c>
      <c r="B22" s="101" t="inlineStr">
        <is>
          <t>8. Score → Level</t>
        </is>
      </c>
      <c r="C22" s="9" t="inlineStr">
        <is>
          <t>The weighted score points to a level. Ten rules, applied in order, then confirm that the role really carries that level: the work, the structure, the experience and the track.</t>
        </is>
      </c>
    </row>
    <row r="23" ht="18" customHeight="1">
      <c r="A23" s="100" t="n">
        <v>18</v>
      </c>
      <c r="B23" s="101" t="inlineStr">
        <is>
          <t>9. Competencies</t>
        </is>
      </c>
      <c r="C23" s="9" t="inlineStr">
        <is>
          <t>The level says how big a role is; competencies say what a person in it must be able to do.</t>
        </is>
      </c>
    </row>
    <row r="24" ht="30" customHeight="1">
      <c r="A24" s="100" t="n">
        <v>19</v>
      </c>
      <c r="B24" s="101" t="inlineStr">
        <is>
          <t>10. Department Structures</t>
        </is>
      </c>
      <c r="C24" s="9" t="inlineStr">
        <is>
          <r>
            <rPr>
              <rFont val="Calibri"/>
              <b val="1"/>
              <sz val="10"/>
            </rPr>
            <t>For each business line and department:</t>
          </r>
          <r>
            <rPr>
              <rFont val="Calibri"/>
              <sz val="10"/>
            </rPr>
            <t xml:space="preserve"> the type of work and its weight tilt, then every level in use with its designations, families and tracks.</t>
          </r>
        </is>
      </c>
    </row>
    <row r="25" ht="45" customHeight="1">
      <c r="A25" s="100" t="n">
        <v>20</v>
      </c>
      <c r="B25" s="101" t="inlineStr">
        <is>
          <t>11. Career Paths</t>
        </is>
      </c>
      <c r="C25" s="9" t="inlineStr">
        <is>
          <t>Rules for promotion, track switches and lateral moves, then each job family's ladder as it stands today: the designations on the individual-contributor path and the manager path at every level.</t>
        </is>
      </c>
    </row>
    <row r="26" ht="30" customHeight="1">
      <c r="A26" s="100" t="n">
        <v>21</v>
      </c>
      <c r="B26" s="101" t="inlineStr">
        <is>
          <t>12. Governance &amp; Change</t>
        </is>
      </c>
      <c r="C26" s="9" t="inlineStr">
        <is>
          <t>How the framework is owned, validated and kept current, and how pay will be attached once survey data is bought.</t>
        </is>
      </c>
    </row>
    <row r="27" ht="18" customHeight="1">
      <c r="A27" s="100" t="n">
        <v>22</v>
      </c>
      <c r="B27" s="101" t="inlineStr">
        <is>
          <t>13. Glossary</t>
        </is>
      </c>
      <c r="C27" s="9" t="inlineStr">
        <is>
          <t>The terms used across the framework, the workbooks and this guide.</t>
        </is>
      </c>
    </row>
    <row r="28" ht="30" customHeight="1">
      <c r="A28" s="100" t="n">
        <v>23</v>
      </c>
      <c r="B28" s="101" t="inlineStr">
        <is>
          <t>14. Master Framework</t>
        </is>
      </c>
      <c r="C28" s="9" t="inlineStr">
        <is>
          <t>Final v1.12 · October 2026 · One reference for how IRIS classifies, sizes, levels, titles, benchmarks, develops and governs every role.</t>
        </is>
      </c>
    </row>
    <row r="29" ht="45" customHeight="1">
      <c r="A29" s="100" t="n">
        <v>24</v>
      </c>
      <c r="B29" s="101" t="inlineStr">
        <is>
          <t>15. References &amp; Benchmarks</t>
        </is>
      </c>
      <c r="C29" s="9" t="inlineStr">
        <is>
          <r>
            <rPr>
              <rFont val="Calibri"/>
              <b val="1"/>
              <sz val="10"/>
            </rPr>
            <t>Scope:</t>
          </r>
          <r>
            <rPr>
              <rFont val="Calibri"/>
              <sz val="10"/>
            </rPr>
            <t xml:space="preserve"> Enterprise — all businesses. Every company, standard, database and website used, and — department by department — what the best standard looks like at each IRIS level · A1 → E2 at IRIS's direct competitors, regtech leaders and SaaS leaders.</t>
          </r>
        </is>
      </c>
    </row>
    <row r="30" ht="18" customHeight="1">
      <c r="A30" s="100" t="n">
        <v>25</v>
      </c>
      <c r="B30" s="101" t="inlineStr">
        <is>
          <t>16. Catalogue — Read Me</t>
        </is>
      </c>
      <c r="C30" s="9" t="inlineStr">
        <is>
          <t>One entry per job family × sub-family × level × track, pooled across all business lines.</t>
        </is>
      </c>
    </row>
    <row r="31" ht="45" customHeight="1">
      <c r="A31" s="100" t="n">
        <v>26</v>
      </c>
      <c r="B31" s="101" t="inlineStr">
        <is>
          <t>17. Role Catalogue</t>
        </is>
      </c>
      <c r="C31" s="9" t="inlineStr">
        <is>
          <t>One row per catalogue role. Columns: the role, what it is for and does · holders' own inputs where anonymous, what the level requires, capability, market and career, learning and the voice of the role, and the evidence basis.</t>
        </is>
      </c>
    </row>
    <row r="32" ht="18" customHeight="1">
      <c r="A32" s="100" t="n">
        <v>27</v>
      </c>
      <c r="B32" s="101" t="inlineStr">
        <is>
          <t>18. Catalogue Index</t>
        </is>
      </c>
      <c r="C32" s="9" t="inlineStr">
        <is>
          <r>
            <rPr>
              <rFont val="Calibri"/>
              <b val="1"/>
              <sz val="10"/>
            </rPr>
            <t>Find a role:</t>
          </r>
          <r>
            <rPr>
              <rFont val="Calibri"/>
              <sz val="10"/>
            </rPr>
            <t xml:space="preserve"> its sub-family · row and level. Manager-track entries are marked · M.</t>
          </r>
        </is>
      </c>
    </row>
    <row r="33" ht="45" customHeight="1">
      <c r="A33" s="100" t="n">
        <v>28</v>
      </c>
      <c r="B33" s="101" t="inlineStr">
        <is>
          <t>19. Career Lanes</t>
        </is>
      </c>
      <c r="C33" s="9" t="inlineStr">
        <is>
          <r>
            <rPr>
              <rFont val="Calibri"/>
              <b val="1"/>
              <sz val="10"/>
            </rPr>
            <t>For every job family:</t>
          </r>
          <r>
            <rPr>
              <rFont val="Calibri"/>
              <sz val="10"/>
            </rPr>
            <t xml:space="preserve"> the individual-contributor lane · including POD Leads and the manager lane · including Player-Coaches, with the designations people hold at each level and how many hold them.</t>
          </r>
        </is>
      </c>
    </row>
    <row r="34" ht="60" customHeight="1">
      <c r="A34" s="100" t="n">
        <v>29</v>
      </c>
      <c r="B34" s="101" t="inlineStr">
        <is>
          <t>20. Competency Library</t>
        </is>
      </c>
      <c r="C34" s="9" t="inlineStr">
        <is>
          <r>
            <rPr>
              <rFont val="Calibri"/>
              <b val="1"/>
              <sz val="10"/>
            </rPr>
            <t>The full framework in one place:</t>
          </r>
          <r>
            <rPr>
              <rFont val="Calibri"/>
              <sz val="10"/>
            </rPr>
            <t xml:space="preserve"> 14 behavioural competencies · core, future-ready, leadership and 114 functional competencies across 19 job families, each with what it looks like at levels 1–5, the market standard behind it, credentials and how to assess it — then the skills captured through the survey · counted.</t>
          </r>
        </is>
      </c>
    </row>
    <row r="35" ht="30" customHeight="1">
      <c r="A35" s="100" t="n">
        <v>30</v>
      </c>
      <c r="B35" s="101" t="inlineStr">
        <is>
          <t>21. Weight Benchmark</t>
        </is>
      </c>
      <c r="C35" s="9" t="inlineStr">
        <is>
          <t>21 · The published point-factor plans, how weights shift with seniority, the evidence on experience and on business impact, and IRIS's defaults set against them.</t>
        </is>
      </c>
    </row>
  </sheetData>
  <mergeCells count="3">
    <mergeCell ref="A1:C1"/>
    <mergeCell ref="A3:C3"/>
    <mergeCell ref="A2:C2"/>
  </mergeCells>
  <hyperlinks>
    <hyperlink xmlns:r="http://schemas.openxmlformats.org/officeDocument/2006/relationships" ref="B6" r:id="rId1"/>
    <hyperlink xmlns:r="http://schemas.openxmlformats.org/officeDocument/2006/relationships" ref="B7" r:id="rId2"/>
    <hyperlink xmlns:r="http://schemas.openxmlformats.org/officeDocument/2006/relationships" ref="B8" r:id="rId3"/>
    <hyperlink xmlns:r="http://schemas.openxmlformats.org/officeDocument/2006/relationships" ref="B9" r:id="rId4"/>
    <hyperlink xmlns:r="http://schemas.openxmlformats.org/officeDocument/2006/relationships" ref="B10" r:id="rId5"/>
    <hyperlink xmlns:r="http://schemas.openxmlformats.org/officeDocument/2006/relationships" ref="B11" r:id="rId6"/>
    <hyperlink xmlns:r="http://schemas.openxmlformats.org/officeDocument/2006/relationships" ref="B12" r:id="rId7"/>
    <hyperlink xmlns:r="http://schemas.openxmlformats.org/officeDocument/2006/relationships" ref="B13" r:id="rId8"/>
    <hyperlink xmlns:r="http://schemas.openxmlformats.org/officeDocument/2006/relationships" ref="B14" r:id="rId9"/>
    <hyperlink xmlns:r="http://schemas.openxmlformats.org/officeDocument/2006/relationships" ref="B15" r:id="rId10"/>
    <hyperlink xmlns:r="http://schemas.openxmlformats.org/officeDocument/2006/relationships" ref="B16" r:id="rId11"/>
    <hyperlink xmlns:r="http://schemas.openxmlformats.org/officeDocument/2006/relationships" ref="B17" r:id="rId12"/>
    <hyperlink xmlns:r="http://schemas.openxmlformats.org/officeDocument/2006/relationships" ref="B18" r:id="rId13"/>
    <hyperlink xmlns:r="http://schemas.openxmlformats.org/officeDocument/2006/relationships" ref="B19" r:id="rId14"/>
    <hyperlink xmlns:r="http://schemas.openxmlformats.org/officeDocument/2006/relationships" ref="B20" r:id="rId15"/>
    <hyperlink xmlns:r="http://schemas.openxmlformats.org/officeDocument/2006/relationships" ref="B21" r:id="rId16"/>
    <hyperlink xmlns:r="http://schemas.openxmlformats.org/officeDocument/2006/relationships" ref="B22" r:id="rId17"/>
    <hyperlink xmlns:r="http://schemas.openxmlformats.org/officeDocument/2006/relationships" ref="B23" r:id="rId18"/>
    <hyperlink xmlns:r="http://schemas.openxmlformats.org/officeDocument/2006/relationships" ref="B24" r:id="rId19"/>
    <hyperlink xmlns:r="http://schemas.openxmlformats.org/officeDocument/2006/relationships" ref="B25" r:id="rId20"/>
    <hyperlink xmlns:r="http://schemas.openxmlformats.org/officeDocument/2006/relationships" ref="B26" r:id="rId21"/>
    <hyperlink xmlns:r="http://schemas.openxmlformats.org/officeDocument/2006/relationships" ref="B27" r:id="rId22"/>
    <hyperlink xmlns:r="http://schemas.openxmlformats.org/officeDocument/2006/relationships" ref="B28" r:id="rId23"/>
    <hyperlink xmlns:r="http://schemas.openxmlformats.org/officeDocument/2006/relationships" ref="B29" r:id="rId24"/>
    <hyperlink xmlns:r="http://schemas.openxmlformats.org/officeDocument/2006/relationships" ref="B30" r:id="rId25"/>
    <hyperlink xmlns:r="http://schemas.openxmlformats.org/officeDocument/2006/relationships" ref="B31" r:id="rId26"/>
    <hyperlink xmlns:r="http://schemas.openxmlformats.org/officeDocument/2006/relationships" ref="B32" r:id="rId27"/>
    <hyperlink xmlns:r="http://schemas.openxmlformats.org/officeDocument/2006/relationships" ref="B33" r:id="rId28"/>
    <hyperlink xmlns:r="http://schemas.openxmlformats.org/officeDocument/2006/relationships" ref="B34" r:id="rId29"/>
    <hyperlink xmlns:r="http://schemas.openxmlformats.org/officeDocument/2006/relationships" ref="B35" r:id="rId30"/>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worksheet>
</file>

<file path=xl/worksheets/sheet3.xml><?xml version="1.0" encoding="utf-8"?>
<worksheet xmlns="http://schemas.openxmlformats.org/spreadsheetml/2006/main">
  <sheetPr>
    <tabColor rgb="001F3864"/>
    <outlinePr summaryBelow="1" summaryRight="1"/>
    <pageSetUpPr fitToPage="1"/>
  </sheetPr>
  <dimension ref="A1:I51"/>
  <sheetViews>
    <sheetView showGridLines="0" workbookViewId="0">
      <pane ySplit="4" topLeftCell="A5" activePane="bottomLeft" state="frozen"/>
      <selection pane="bottomLeft" activeCell="A1" sqref="A1"/>
    </sheetView>
  </sheetViews>
  <sheetFormatPr baseColWidth="8" defaultRowHeight="15"/>
  <cols>
    <col width="22" customWidth="1" min="1" max="1"/>
    <col width="16" customWidth="1" min="2" max="2"/>
    <col width="16" customWidth="1" min="3" max="3"/>
    <col width="16" customWidth="1" min="4" max="4"/>
    <col width="16" customWidth="1" min="5" max="5"/>
    <col width="16" customWidth="1" min="6" max="6"/>
    <col width="16" customWidth="1" min="7" max="7"/>
    <col width="16" customWidth="1" min="8" max="8"/>
    <col width="13" customWidth="1" min="9" max="9"/>
  </cols>
  <sheetData>
    <row r="1" ht="34" customHeight="1">
      <c r="A1" s="1" t="inlineStr">
        <is>
          <t>What we have done — the job architecture and job design, end to end</t>
        </is>
      </c>
      <c r="I1" s="99" t="inlineStr">
        <is>
          <t>◂ Contents</t>
        </is>
      </c>
    </row>
    <row r="2" ht="32" customHeight="1">
      <c r="A2" s="3" t="inlineStr">
        <is>
          <t>Sheet A · The scope, the structure we created, where everyone landed, what each version added, and how the work is checked. Every number here is computed from the placements in this build.</t>
        </is>
      </c>
    </row>
    <row r="3">
      <c r="A3" s="4" t="inlineStr">
        <is>
          <t>IRIS · Job Architecture &amp; Job Design · Final v1.12 · October 2026 · Internal — Confidential</t>
        </is>
      </c>
    </row>
    <row r="4"/>
    <row r="5" ht="15" customHeight="1">
      <c r="A5" s="7" t="inlineStr">
        <is>
          <t>People</t>
        </is>
      </c>
      <c r="B5" s="63" t="n"/>
      <c r="C5" s="7" t="inlineStr">
        <is>
          <t>Businesses</t>
        </is>
      </c>
      <c r="D5" s="63" t="n"/>
      <c r="E5" s="7" t="inlineStr">
        <is>
          <t>Departments</t>
        </is>
      </c>
      <c r="F5" s="63" t="n"/>
      <c r="G5" s="7" t="inlineStr">
        <is>
          <t>Job families</t>
        </is>
      </c>
      <c r="H5" s="63" t="n"/>
    </row>
    <row r="6" ht="34" customHeight="1">
      <c r="A6" s="95" t="n">
        <v>586</v>
      </c>
      <c r="B6" s="63" t="n"/>
      <c r="C6" s="95" t="n">
        <v>6</v>
      </c>
      <c r="D6" s="63" t="n"/>
      <c r="E6" s="95" t="n">
        <v>44</v>
      </c>
      <c r="F6" s="63" t="n"/>
      <c r="G6" s="95" t="n">
        <v>19</v>
      </c>
      <c r="H6" s="63" t="n"/>
    </row>
    <row r="7" ht="15" customHeight="1"/>
    <row r="8" ht="15" customHeight="1">
      <c r="A8" s="88" t="inlineStr">
        <is>
          <t>Sub-families</t>
        </is>
      </c>
      <c r="B8" s="63" t="n"/>
      <c r="C8" s="88" t="inlineStr">
        <is>
          <t>Roles</t>
        </is>
      </c>
      <c r="D8" s="63" t="n"/>
      <c r="E8" s="88" t="inlineStr">
        <is>
          <t>Role definitions</t>
        </is>
      </c>
      <c r="F8" s="63" t="n"/>
      <c r="G8" s="88" t="inlineStr">
        <is>
          <t>Catalogue entries</t>
        </is>
      </c>
      <c r="H8" s="63" t="n"/>
    </row>
    <row r="9" ht="34" customHeight="1">
      <c r="A9" s="95" t="n">
        <v>61</v>
      </c>
      <c r="B9" s="63" t="n"/>
      <c r="C9" s="95" t="n">
        <v>277</v>
      </c>
      <c r="D9" s="63" t="n"/>
      <c r="E9" s="95" t="n">
        <v>181</v>
      </c>
      <c r="F9" s="63" t="n"/>
      <c r="G9" s="95" t="n">
        <v>175</v>
      </c>
      <c r="H9" s="63" t="n"/>
    </row>
    <row r="10" ht="15" customHeight="1"/>
    <row r="11" ht="20" customHeight="1">
      <c r="A11" s="6" t="inlineStr">
        <is>
          <t>The structure we created</t>
        </is>
      </c>
    </row>
    <row r="12" ht="15" customHeight="1">
      <c r="A12" s="7" t="inlineStr">
        <is>
          <t>Element</t>
        </is>
      </c>
      <c r="B12" s="63" t="n"/>
      <c r="C12" s="7" t="inlineStr">
        <is>
          <t>What it is</t>
        </is>
      </c>
      <c r="D12" s="64" t="n"/>
      <c r="E12" s="64" t="n"/>
      <c r="F12" s="64" t="n"/>
      <c r="G12" s="63" t="n"/>
      <c r="H12" s="7" t="inlineStr">
        <is>
          <t>Count / range</t>
        </is>
      </c>
    </row>
    <row r="13" ht="15" customHeight="1">
      <c r="A13" s="14" t="inlineStr">
        <is>
          <t>Job families</t>
        </is>
      </c>
      <c r="B13" s="63" t="n"/>
      <c r="C13" s="9" t="inlineStr">
        <is>
          <t>Disciplines anchored to ISCO-08 / NCO-2015, the same across all six businesses</t>
        </is>
      </c>
      <c r="D13" s="64" t="n"/>
      <c r="E13" s="64" t="n"/>
      <c r="F13" s="64" t="n"/>
      <c r="G13" s="63" t="n"/>
      <c r="H13" s="8" t="n">
        <v>19</v>
      </c>
    </row>
    <row r="14" ht="15" customHeight="1">
      <c r="A14" s="14" t="inlineStr">
        <is>
          <t>Sub-families</t>
        </is>
      </c>
      <c r="B14" s="63" t="n"/>
      <c r="C14" s="9" t="inlineStr">
        <is>
          <t>The kind of work actually done inside a family</t>
        </is>
      </c>
      <c r="D14" s="64" t="n"/>
      <c r="E14" s="64" t="n"/>
      <c r="F14" s="64" t="n"/>
      <c r="G14" s="63" t="n"/>
      <c r="H14" s="8" t="n">
        <v>61</v>
      </c>
    </row>
    <row r="15" ht="28" customHeight="1">
      <c r="A15" s="14" t="inlineStr">
        <is>
          <t>Career ladder</t>
        </is>
      </c>
      <c r="B15" s="63" t="n"/>
      <c r="C15" s="9" t="inlineStr">
        <is>
          <t>12 levels A1 · intern → E2 · CEO in five bands, plus two Player-Coach transition steps · B+, C+ and a consultant band X1–X3</t>
        </is>
      </c>
      <c r="D15" s="64" t="n"/>
      <c r="E15" s="64" t="n"/>
      <c r="F15" s="64" t="n"/>
      <c r="G15" s="63" t="n"/>
      <c r="H15" s="8" t="inlineStr">
        <is>
          <t>A1–E2 · B+ · C+ · X</t>
        </is>
      </c>
    </row>
    <row r="16" ht="15" customHeight="1">
      <c r="A16" s="14" t="inlineStr">
        <is>
          <t>Tracks</t>
        </is>
      </c>
      <c r="B16" s="63" t="n"/>
      <c r="C16" s="9" t="inlineStr">
        <is>
          <t>Individual Contributor, POD Lead, People Manager, Player-Coach, Consultant</t>
        </is>
      </c>
      <c r="D16" s="64" t="n"/>
      <c r="E16" s="64" t="n"/>
      <c r="F16" s="64" t="n"/>
      <c r="G16" s="63" t="n"/>
      <c r="H16" s="8" t="n">
        <v>5</v>
      </c>
    </row>
    <row r="17" ht="28" customHeight="1">
      <c r="A17" s="14" t="inlineStr">
        <is>
          <t>Roles</t>
        </is>
      </c>
      <c r="B17" s="63" t="n"/>
      <c r="C17" s="9" t="inlineStr">
        <is>
          <t>Role = the same designation at the same level, within a department, job family and track</t>
        </is>
      </c>
      <c r="D17" s="64" t="n"/>
      <c r="E17" s="64" t="n"/>
      <c r="F17" s="64" t="n"/>
      <c r="G17" s="63" t="n"/>
      <c r="H17" s="8" t="n">
        <v>277</v>
      </c>
    </row>
    <row r="18" ht="15" customHeight="1">
      <c r="A18" s="14" t="inlineStr">
        <is>
          <t>Role definitions</t>
        </is>
      </c>
      <c r="B18" s="63" t="n"/>
      <c r="C18" s="9" t="inlineStr">
        <is>
          <r>
            <rPr>
              <rFont val="Calibri"/>
              <b val="1"/>
              <sz val="10"/>
            </rPr>
            <t>The same work and size anywhere in IRIS:</t>
          </r>
          <r>
            <rPr>
              <rFont val="Calibri"/>
              <sz val="10"/>
            </rPr>
            <t xml:space="preserve"> family · sub-family · level · track</t>
          </r>
        </is>
      </c>
      <c r="D18" s="64" t="n"/>
      <c r="E18" s="64" t="n"/>
      <c r="F18" s="64" t="n"/>
      <c r="G18" s="63" t="n"/>
      <c r="H18" s="8" t="n">
        <v>181</v>
      </c>
    </row>
    <row r="19" ht="28" customHeight="1">
      <c r="A19" s="14" t="inlineStr">
        <is>
          <t>Role catalogue</t>
        </is>
      </c>
      <c r="B19" s="63" t="n"/>
      <c r="C19" s="9" t="inlineStr">
        <is>
          <r>
            <rPr>
              <rFont val="Calibri"/>
              <b val="1"/>
              <sz val="10"/>
            </rPr>
            <t>One entry per role definition held:</t>
          </r>
          <r>
            <rPr>
              <rFont val="Calibri"/>
              <sz val="10"/>
            </rPr>
            <t xml:space="preserve"> purpose, responsibilities, level requirements, competencies, market, career</t>
          </r>
        </is>
      </c>
      <c r="D19" s="64" t="n"/>
      <c r="E19" s="64" t="n"/>
      <c r="F19" s="64" t="n"/>
      <c r="G19" s="63" t="n"/>
      <c r="H19" s="8" t="n">
        <v>175</v>
      </c>
    </row>
    <row r="20" ht="15" customHeight="1"/>
    <row r="21" ht="20" customHeight="1">
      <c r="A21" s="6" t="inlineStr">
        <is>
          <t>Where everyone landed</t>
        </is>
      </c>
    </row>
    <row r="22" ht="15" customHeight="1">
      <c r="A22" s="7" t="inlineStr">
        <is>
          <t>Band A</t>
        </is>
      </c>
      <c r="B22" s="7" t="inlineStr">
        <is>
          <t>Band B</t>
        </is>
      </c>
      <c r="C22" s="7" t="inlineStr">
        <is>
          <t>B+</t>
        </is>
      </c>
      <c r="D22" s="7" t="inlineStr">
        <is>
          <t>Band C</t>
        </is>
      </c>
      <c r="E22" s="7" t="inlineStr">
        <is>
          <t>C+</t>
        </is>
      </c>
      <c r="F22" s="7" t="inlineStr">
        <is>
          <t>Bands D–E</t>
        </is>
      </c>
      <c r="G22" s="7" t="inlineStr">
        <is>
          <t>Consultants X</t>
        </is>
      </c>
      <c r="H22" s="7" t="inlineStr">
        <is>
          <t>Total</t>
        </is>
      </c>
    </row>
    <row r="23" ht="15" customHeight="1">
      <c r="A23" s="8" t="n">
        <v>353</v>
      </c>
      <c r="B23" s="8" t="n">
        <v>175</v>
      </c>
      <c r="C23" s="8" t="n">
        <v>6</v>
      </c>
      <c r="D23" s="8" t="n">
        <v>16</v>
      </c>
      <c r="E23" s="8" t="n">
        <v>0</v>
      </c>
      <c r="F23" s="8" t="n">
        <v>11</v>
      </c>
      <c r="G23" s="8" t="n">
        <v>25</v>
      </c>
      <c r="H23" s="8" t="n">
        <v>586</v>
      </c>
    </row>
    <row r="24" ht="15" customHeight="1"/>
    <row r="25" ht="28" customHeight="1">
      <c r="A25" s="7" t="inlineStr">
        <is>
          <t>Compared with today</t>
        </is>
      </c>
      <c r="B25" s="7" t="inlineStr">
        <is>
          <t>Up</t>
        </is>
      </c>
      <c r="C25" s="7" t="inlineStr">
        <is>
          <t>Same level</t>
        </is>
      </c>
      <c r="D25" s="7" t="inlineStr">
        <is>
          <t>Down · pay &amp; title protected</t>
        </is>
      </c>
      <c r="E25" s="7" t="inlineStr">
        <is>
          <t>Newly mapped</t>
        </is>
      </c>
      <c r="F25" s="7" t="inlineStr">
        <is>
          <t>Close calls</t>
        </is>
      </c>
      <c r="G25" s="7" t="inlineStr">
        <is>
          <t>Near a gate</t>
        </is>
      </c>
      <c r="H25" s="7" t="inlineStr">
        <is>
          <t>Scored</t>
        </is>
      </c>
    </row>
    <row r="26" ht="15" customHeight="1">
      <c r="A26" s="14" t="inlineStr">
        <is>
          <t>People</t>
        </is>
      </c>
      <c r="B26" s="8" t="n">
        <v>309</v>
      </c>
      <c r="C26" s="8" t="n">
        <v>146</v>
      </c>
      <c r="D26" s="8" t="n">
        <v>39</v>
      </c>
      <c r="E26" s="8" t="n">
        <v>92</v>
      </c>
      <c r="F26" s="8" t="n">
        <v>38</v>
      </c>
      <c r="G26" s="8" t="n">
        <v>30</v>
      </c>
      <c r="H26" s="8" t="n">
        <v>540</v>
      </c>
    </row>
    <row r="27" ht="15" customHeight="1"/>
    <row r="28" ht="20" customHeight="1">
      <c r="A28" s="6" t="inlineStr">
        <is>
          <t>What each version added</t>
        </is>
      </c>
    </row>
    <row r="29" ht="15" customHeight="1">
      <c r="A29" s="7" t="inlineStr">
        <is>
          <t>Version</t>
        </is>
      </c>
      <c r="B29" s="7" t="inlineStr">
        <is>
          <t>Date</t>
        </is>
      </c>
      <c r="C29" s="7" t="inlineStr">
        <is>
          <t>What was done</t>
        </is>
      </c>
      <c r="D29" s="64" t="n"/>
      <c r="E29" s="64" t="n"/>
      <c r="F29" s="64" t="n"/>
      <c r="G29" s="64" t="n"/>
      <c r="H29" s="63" t="n"/>
    </row>
    <row r="30" ht="54" customHeight="1">
      <c r="A30" s="14" t="inlineStr">
        <is>
          <t>v1.0 – v1.1</t>
        </is>
      </c>
      <c r="B30" s="9" t="inlineStr">
        <is>
          <t>6 Oct 2026</t>
        </is>
      </c>
      <c r="C30" s="9" t="inlineStr">
        <is>
          <r>
            <rPr>
              <rFont val="Calibri"/>
              <b val="1"/>
              <sz val="10"/>
            </rPr>
            <t>The model and placements:</t>
          </r>
          <r>
            <rPr>
              <rFont val="Calibri"/>
              <sz val="10"/>
            </rPr>
            <t xml:space="preserve"> taxonomy, the 12-level ladder, five factors, the derived weight model, rules R1–R10, plain-English justification for every rating, eleven-sheet workbooks per business, the master framework and the guide. The engine reproduces every earlier placement.</t>
          </r>
        </is>
      </c>
      <c r="D30" s="64" t="n"/>
      <c r="E30" s="64" t="n"/>
      <c r="F30" s="64" t="n"/>
      <c r="G30" s="64" t="n"/>
      <c r="H30" s="63" t="n"/>
    </row>
    <row r="31" ht="28" customHeight="1">
      <c r="A31" s="14" t="inlineStr">
        <is>
          <t>v1.2</t>
        </is>
      </c>
      <c r="B31" s="9" t="inlineStr">
        <is>
          <t>7 Oct 2026</t>
        </is>
      </c>
      <c r="C31" s="9" t="inlineStr">
        <is>
          <r>
            <rPr>
              <rFont val="Calibri"/>
              <b val="1"/>
              <sz val="10"/>
            </rPr>
            <t>Reviewer fixes:</t>
          </r>
          <r>
            <rPr>
              <rFont val="Calibri"/>
              <sz val="10"/>
            </rPr>
            <t xml:space="preserve"> personal data removed, survey answers never quoted against a name, sources and benchmark peers corrected, crosswalk rebuilt, formula results stored, guide errors fixed.</t>
          </r>
        </is>
      </c>
      <c r="D31" s="64" t="n"/>
      <c r="E31" s="64" t="n"/>
      <c r="F31" s="64" t="n"/>
      <c r="G31" s="64" t="n"/>
      <c r="H31" s="63" t="n"/>
    </row>
    <row r="32" ht="28" customHeight="1">
      <c r="A32" s="14" t="inlineStr">
        <is>
          <t>v1.3</t>
        </is>
      </c>
      <c r="B32" s="9" t="inlineStr">
        <is>
          <t>7 Oct 2026</t>
        </is>
      </c>
      <c r="C32" s="9" t="inlineStr">
        <is>
          <t>'How a role's level is worked out — in four steps' on the opening sheet of every workbook; the cumulative change log.</t>
        </is>
      </c>
      <c r="D32" s="64" t="n"/>
      <c r="E32" s="64" t="n"/>
      <c r="F32" s="64" t="n"/>
      <c r="G32" s="64" t="n"/>
      <c r="H32" s="63" t="n"/>
    </row>
    <row r="33" ht="41" customHeight="1">
      <c r="A33" s="14" t="inlineStr">
        <is>
          <t>v1.4</t>
        </is>
      </c>
      <c r="B33" s="9" t="inlineStr">
        <is>
          <t>7 Oct 2026</t>
        </is>
      </c>
      <c r="C33" s="9" t="inlineStr">
        <is>
          <r>
            <rPr>
              <rFont val="Calibri"/>
              <b val="1"/>
              <sz val="10"/>
            </rPr>
            <t>Your eight decisions:</t>
          </r>
          <r>
            <rPr>
              <rFont val="Calibri"/>
              <sz val="10"/>
            </rPr>
            <t xml:space="preserve"> Player-Coach steps with a buffer, close calls vs near-a-gate flags, the four-sheet business-head edition, consent handling, crosswalk rule M13, the IRIS-wide role catalogue, leadership grouping, one role count.</t>
          </r>
        </is>
      </c>
      <c r="D33" s="64" t="n"/>
      <c r="E33" s="64" t="n"/>
      <c r="F33" s="64" t="n"/>
      <c r="G33" s="64" t="n"/>
      <c r="H33" s="63" t="n"/>
    </row>
    <row r="34" ht="41" customHeight="1">
      <c r="A34" s="14" t="inlineStr">
        <is>
          <t>v1.5</t>
        </is>
      </c>
      <c r="B34" s="9" t="inlineStr">
        <is>
          <t>7 Oct 2026</t>
        </is>
      </c>
      <c r="C34" s="9" t="inlineStr">
        <is>
          <t>Player-Coach transition codes introduced · B3.5 / C2.5; renamed B+ / C+ in v1.8; matched survey responses used where the source names the person; the Career Architecture V2 research adopted · family boundaries, discipline stages, panel anchors, evidence register.</t>
        </is>
      </c>
      <c r="D34" s="64" t="n"/>
      <c r="E34" s="64" t="n"/>
      <c r="F34" s="64" t="n"/>
      <c r="G34" s="64" t="n"/>
      <c r="H34" s="63" t="n"/>
    </row>
    <row r="35" ht="54" customHeight="1">
      <c r="A35" s="14" t="inlineStr">
        <is>
          <t>v1.6</t>
        </is>
      </c>
      <c r="B35" s="9" t="inlineStr">
        <is>
          <t>8 Oct 2026</t>
        </is>
      </c>
      <c r="C35" s="9" t="inlineStr">
        <is>
          <r>
            <rPr>
              <rFont val="Calibri"/>
              <b val="1"/>
              <sz val="10"/>
            </rPr>
            <t>Presentation and insight:</t>
          </r>
          <r>
            <rPr>
              <rFont val="Calibri"/>
              <sz val="10"/>
            </rPr>
            <t xml:space="preserve"> charts, the slim placements view and person card, the calibration tracker, org-health findings, the weight-sensitivity test, A3 deep-dive, succession, role definitions, data gaps, the feedback importer, draft letters, navigation, tables, column notes, print set-up and protection.</t>
          </r>
        </is>
      </c>
      <c r="D35" s="64" t="n"/>
      <c r="E35" s="64" t="n"/>
      <c r="F35" s="64" t="n"/>
      <c r="G35" s="64" t="n"/>
      <c r="H35" s="63" t="n"/>
    </row>
    <row r="36" ht="41" customHeight="1">
      <c r="A36" s="14" t="inlineStr">
        <is>
          <t>v1.7</t>
        </is>
      </c>
      <c r="B36" s="9" t="inlineStr">
        <is>
          <t>8 Oct 2026</t>
        </is>
      </c>
      <c r="C36" s="9" t="inlineStr">
        <is>
          <r>
            <rPr>
              <rFont val="Calibri"/>
              <b val="1"/>
              <sz val="10"/>
            </rPr>
            <t>The file set by audience:</t>
          </r>
          <r>
            <rPr>
              <rFont val="Calibri"/>
              <sz val="10"/>
            </rPr>
            <t xml:space="preserve"> Leadership Dashboard · HR Super Master · everything, with the tracker · Product Masters · full, per product · Product Simplified · four sheets · this Framework &amp; Model Master.</t>
          </r>
        </is>
      </c>
      <c r="D36" s="64" t="n"/>
      <c r="E36" s="64" t="n"/>
      <c r="F36" s="64" t="n"/>
      <c r="G36" s="64" t="n"/>
      <c r="H36" s="63" t="n"/>
    </row>
    <row r="37" ht="28" customHeight="1">
      <c r="A37" s="14" t="inlineStr">
        <is>
          <t>v1.8</t>
        </is>
      </c>
      <c r="B37" s="9" t="inlineStr">
        <is>
          <t>8 Oct 2026</t>
        </is>
      </c>
      <c r="C37" s="9" t="inlineStr">
        <is>
          <t>Player-Coach codes renamed B+ and C+ · the Korn Ferry Hay '+' convention for a step between levels. Same people, same values · 6.5 and 8.5, same rules.</t>
        </is>
      </c>
      <c r="D37" s="64" t="n"/>
      <c r="E37" s="64" t="n"/>
      <c r="F37" s="64" t="n"/>
      <c r="G37" s="64" t="n"/>
      <c r="H37" s="63" t="n"/>
    </row>
    <row r="38" ht="41" customHeight="1">
      <c r="A38" s="14" t="inlineStr">
        <is>
          <t>v1.9</t>
        </is>
      </c>
      <c r="B38" s="9" t="inlineStr">
        <is>
          <t>8 Oct 2026</t>
        </is>
      </c>
      <c r="C38" s="9" t="inlineStr">
        <is>
          <t>The calibration panel pack · anchor roles rated blind by two raters and compared with the model; person card search by product, department, name or Emp ID; clearer Contents descriptions and text fixes.</t>
        </is>
      </c>
      <c r="D38" s="64" t="n"/>
      <c r="E38" s="64" t="n"/>
      <c r="F38" s="64" t="n"/>
      <c r="G38" s="64" t="n"/>
      <c r="H38" s="63" t="n"/>
    </row>
    <row r="39" ht="54" customHeight="1">
      <c r="A39" s="14" t="inlineStr">
        <is>
          <t>v1.10</t>
        </is>
      </c>
      <c r="B39" s="9" t="inlineStr">
        <is>
          <t>8 Oct 2026</t>
        </is>
      </c>
      <c r="C39" s="9" t="inlineStr">
        <is>
          <r>
            <rPr>
              <rFont val="Calibri"/>
              <b val="1"/>
              <sz val="10"/>
            </rPr>
            <t>Sources re-checked one by one · 42 sources and peer ladders:</t>
          </r>
          <r>
            <rPr>
              <rFont val="Calibri"/>
              <sz val="10"/>
            </rPr>
            <t xml:space="preserve"> 19 supported, 20 corrected, DFIN ladder dropped, Zoho and ClearTax marked unverified; red flags and data requests cut to critical inputs only · inputs that could change or confirm a level; person card drop-downs — HR: Product, Department, Emp ID, Name; product masters: Department, Emp ID, Name.</t>
          </r>
        </is>
      </c>
      <c r="D39" s="64" t="n"/>
      <c r="E39" s="64" t="n"/>
      <c r="F39" s="64" t="n"/>
      <c r="G39" s="64" t="n"/>
      <c r="H39" s="63" t="n"/>
    </row>
    <row r="40" ht="171" customHeight="1">
      <c r="A40" s="14" t="inlineStr">
        <is>
          <t>v1.11</t>
        </is>
      </c>
      <c r="B40" s="9" t="inlineStr">
        <is>
          <t>8 Oct 2026</t>
        </is>
      </c>
      <c r="C40" s="9" t="inlineStr">
        <is>
          <r>
            <rPr>
              <rFont val="Calibri"/>
              <b val="1"/>
              <sz val="10"/>
            </rPr>
            <t>Final review:</t>
          </r>
          <r>
            <rPr>
              <rFont val="Calibri"/>
              <sz val="10"/>
            </rPr>
            <t xml:space="preserve"> a role-profile column on Talent Mapping and the person card · what the role does, responsibilities, deliverables, decision rights, skills, tools, competencies required — survey themes + catalogue; person card fixed for consultants without an Emp ID; Player-Coach band labels shown as B+ / C+ everywhere; no names in the framework file; whole-sentence Contents; cross-file sheet references qualified; panel-pack facts shown as ranges. One placement change by request: one person in Corporate HR, B2 → B3, from validated experience and role scope; a close call, so calibration and sponsor approval follow. 9 Oct · HR review: leadership levels set by approved decision — one Band E leader moved to consultant, the Head of HR at D2, business heads at D2 with the CARBON customer-experience head one level below, one consultant to X3; one person removed; new rules R12 · no one in Bands D–E above their reporting manager and R13 · Band D reporting directly to E1 / E2 → D2; every file opens on 'Start — How It Works'; HR gets '1c. Scoring Made Simple'; Emp ID is typed on the person card; benchmark labels in the 'IRIS … Vs' style.</t>
          </r>
        </is>
      </c>
      <c r="D40" s="64" t="n"/>
      <c r="E40" s="64" t="n"/>
      <c r="F40" s="64" t="n"/>
      <c r="G40" s="64" t="n"/>
      <c r="H40" s="63" t="n"/>
    </row>
    <row r="41" ht="132" customHeight="1">
      <c r="A41" s="14" t="inlineStr">
        <is>
          <t>v1.12</t>
        </is>
      </c>
      <c r="B41" s="9" t="inlineStr">
        <is>
          <t>11 Oct 2026</t>
        </is>
      </c>
      <c r="C41" s="9" t="inlineStr">
        <is>
          <r>
            <rPr>
              <rFont val="Calibri"/>
              <b val="1"/>
              <sz val="10"/>
            </rPr>
            <t>Six factors:</t>
          </r>
          <r>
            <rPr>
              <rFont val="Calibri"/>
              <sz val="10"/>
            </rPr>
            <t xml:space="preserve"> Business Impact added; Experience &amp; Qualification weighted 10% in Bands A–B and 5% in Bands C–E, set once in inputs/weight_settings.csv. A Weightage Matrix — one editable row per department × role group — in the HR Super Master, every Product Master and every simplified edition; sheet 2 looks its weights up, so leaders' edits recalculate the scores at once, and the importer brings edits and managers' Business Impact ratings back for the next build. Default weights derived as the average of Korn Ferry Hay, Mercer IPE and five public point-factor plans. No 'Director' title — D1 is Associate Vice President / Business Head; 'Fellow' replaced by two D1 options for the heads — Chief Specialist or Distinguished Principal. Against v1.11, 45 people move: 43 down one step · pay and title protected, 2 up. No bracketed references in any workbook; 'Label:' pointers in bold; person-card drop-downs with search boxes.</t>
          </r>
        </is>
      </c>
      <c r="D41" s="64" t="n"/>
      <c r="E41" s="64" t="n"/>
      <c r="F41" s="64" t="n"/>
      <c r="G41" s="64" t="n"/>
      <c r="H41" s="63" t="n"/>
    </row>
    <row r="42" ht="80" customHeight="1">
      <c r="A42" s="14" t="inlineStr">
        <is>
          <t>v1.12.1</t>
        </is>
      </c>
      <c r="B42" s="9" t="inlineStr">
        <is>
          <t>12 Oct 2026</t>
        </is>
      </c>
      <c r="C42" s="9" t="inlineStr">
        <is>
          <r>
            <rPr>
              <rFont val="Calibri"/>
              <b val="1"/>
              <sz val="10"/>
            </rPr>
            <t>Fixed the Excel repair prompt:</t>
          </r>
          <r>
            <rPr>
              <rFont val="Calibri"/>
              <sz val="10"/>
            </rPr>
            <t xml:space="preserve"> the Person Card drop-downs in the HR Super Master and Product Masters stored their list formula with a leading =, and the score chart lacked its scatter style; a check now tests every file. The D1 specialist title has two options for the heads — Chief Specialist or Distinguished Principal — shown on the ladder and set by one value in inputs/title_settings.csv. 26 sources added to the reference register, S46–S71, each with what it contributed.</t>
          </r>
        </is>
      </c>
      <c r="D42" s="64" t="n"/>
      <c r="E42" s="64" t="n"/>
      <c r="F42" s="64" t="n"/>
      <c r="G42" s="64" t="n"/>
      <c r="H42" s="63" t="n"/>
    </row>
    <row r="43" ht="15" customHeight="1"/>
    <row r="44" ht="20" customHeight="1">
      <c r="A44" s="6" t="inlineStr">
        <is>
          <t>How the work is checked</t>
        </is>
      </c>
    </row>
    <row r="45" ht="15" customHeight="1">
      <c r="A45" s="7" t="inlineStr">
        <is>
          <t>Check</t>
        </is>
      </c>
      <c r="B45" s="64" t="n"/>
      <c r="C45" s="64" t="n"/>
      <c r="D45" s="64" t="n"/>
      <c r="E45" s="63" t="n"/>
      <c r="F45" s="7" t="inlineStr">
        <is>
          <t>Result</t>
        </is>
      </c>
      <c r="G45" s="64" t="n"/>
      <c r="H45" s="63" t="n"/>
    </row>
    <row r="46" ht="15" customHeight="1">
      <c r="A46" s="14" t="inlineStr">
        <is>
          <t>Reproduction of the earlier placements with the earlier weights</t>
        </is>
      </c>
      <c r="B46" s="64" t="n"/>
      <c r="C46" s="64" t="n"/>
      <c r="D46" s="64" t="n"/>
      <c r="E46" s="63" t="n"/>
      <c r="F46" s="9" t="inlineStr">
        <is>
          <t>587 / 587</t>
        </is>
      </c>
      <c r="G46" s="64" t="n"/>
      <c r="H46" s="63" t="n"/>
    </row>
    <row r="47" ht="15" customHeight="1">
      <c r="A47" s="14" t="inlineStr">
        <is>
          <t>Every level differing from the score has its rule and numbers recorded</t>
        </is>
      </c>
      <c r="B47" s="64" t="n"/>
      <c r="C47" s="64" t="n"/>
      <c r="D47" s="64" t="n"/>
      <c r="E47" s="63" t="n"/>
      <c r="F47" s="9" t="inlineStr">
        <is>
          <t>All</t>
        </is>
      </c>
      <c r="G47" s="64" t="n"/>
      <c r="H47" s="63" t="n"/>
    </row>
    <row r="48" ht="15" customHeight="1">
      <c r="A48" s="14" t="inlineStr">
        <is>
          <t>Every file's levels and designations equal the engine's</t>
        </is>
      </c>
      <c r="B48" s="64" t="n"/>
      <c r="C48" s="64" t="n"/>
      <c r="D48" s="64" t="n"/>
      <c r="E48" s="63" t="n"/>
      <c r="F48" s="9" t="inlineStr">
        <is>
          <t>All files, every person</t>
        </is>
      </c>
      <c r="G48" s="64" t="n"/>
      <c r="H48" s="63" t="n"/>
    </row>
    <row r="49" ht="15" customHeight="1">
      <c r="A49" s="14" t="inlineStr">
        <is>
          <t>Weight sensitivity: 20 re-runs, 5 weight points moved between each pair of factors</t>
        </is>
      </c>
      <c r="B49" s="64" t="n"/>
      <c r="C49" s="64" t="n"/>
      <c r="D49" s="64" t="n"/>
      <c r="E49" s="63" t="n"/>
      <c r="F49" s="9" t="inlineStr">
        <is>
          <t>458 of 540 scored people never move</t>
        </is>
      </c>
      <c r="G49" s="64" t="n"/>
      <c r="H49" s="63" t="n"/>
    </row>
    <row r="50" ht="15" customHeight="1">
      <c r="A50" s="14" t="inlineStr">
        <is>
          <t>Personal data · gender, age, DoB, contact, resignation and verbatim survey answers</t>
        </is>
      </c>
      <c r="B50" s="64" t="n"/>
      <c r="C50" s="64" t="n"/>
      <c r="D50" s="64" t="n"/>
      <c r="E50" s="63" t="n"/>
      <c r="F50" s="9" t="inlineStr">
        <is>
          <t>Excluded from every file</t>
        </is>
      </c>
      <c r="G50" s="64" t="n"/>
      <c r="H50" s="63" t="n"/>
    </row>
    <row r="51" ht="15" customHeight="1">
      <c r="A51" s="14" t="inlineStr">
        <is>
          <t>Formulas recalculate without error; results stored for previews</t>
        </is>
      </c>
      <c r="B51" s="64" t="n"/>
      <c r="C51" s="64" t="n"/>
      <c r="D51" s="64" t="n"/>
      <c r="E51" s="63" t="n"/>
      <c r="F51" s="9" t="inlineStr">
        <is>
          <t>All</t>
        </is>
      </c>
      <c r="G51" s="64" t="n"/>
      <c r="H51" s="63" t="n"/>
    </row>
  </sheetData>
  <mergeCells count="67">
    <mergeCell ref="C41:H41"/>
    <mergeCell ref="C6:D6"/>
    <mergeCell ref="A48:E48"/>
    <mergeCell ref="A15:B15"/>
    <mergeCell ref="F45:H45"/>
    <mergeCell ref="C40:H40"/>
    <mergeCell ref="C15:G15"/>
    <mergeCell ref="C5:D5"/>
    <mergeCell ref="C31:H31"/>
    <mergeCell ref="A49:E49"/>
    <mergeCell ref="E5:F5"/>
    <mergeCell ref="F50:H50"/>
    <mergeCell ref="A45:E45"/>
    <mergeCell ref="A11:H11"/>
    <mergeCell ref="A51:E51"/>
    <mergeCell ref="C14:G14"/>
    <mergeCell ref="A1:H1"/>
    <mergeCell ref="G8:H8"/>
    <mergeCell ref="E8:F8"/>
    <mergeCell ref="A6:B6"/>
    <mergeCell ref="F47:H47"/>
    <mergeCell ref="A16:B16"/>
    <mergeCell ref="F46:H46"/>
    <mergeCell ref="C36:H36"/>
    <mergeCell ref="C16:G16"/>
    <mergeCell ref="C39:H39"/>
    <mergeCell ref="A46:E46"/>
    <mergeCell ref="G6:H6"/>
    <mergeCell ref="C9:D9"/>
    <mergeCell ref="A18:B18"/>
    <mergeCell ref="F48:H48"/>
    <mergeCell ref="E9:F9"/>
    <mergeCell ref="C13:G13"/>
    <mergeCell ref="A12:B12"/>
    <mergeCell ref="C32:H32"/>
    <mergeCell ref="A3:H3"/>
    <mergeCell ref="E6:F6"/>
    <mergeCell ref="A21:H21"/>
    <mergeCell ref="C12:G12"/>
    <mergeCell ref="C38:H38"/>
    <mergeCell ref="A50:E50"/>
    <mergeCell ref="F49:H49"/>
    <mergeCell ref="A2:H2"/>
    <mergeCell ref="C37:H37"/>
    <mergeCell ref="A5:B5"/>
    <mergeCell ref="G5:H5"/>
    <mergeCell ref="A47:E47"/>
    <mergeCell ref="A14:B14"/>
    <mergeCell ref="A17:B17"/>
    <mergeCell ref="C34:H34"/>
    <mergeCell ref="A8:B8"/>
    <mergeCell ref="C30:H30"/>
    <mergeCell ref="C8:D8"/>
    <mergeCell ref="C17:G17"/>
    <mergeCell ref="C33:H33"/>
    <mergeCell ref="C42:H42"/>
    <mergeCell ref="A19:B19"/>
    <mergeCell ref="A28:H28"/>
    <mergeCell ref="A13:B13"/>
    <mergeCell ref="C19:G19"/>
    <mergeCell ref="C35:H35"/>
    <mergeCell ref="A44:H44"/>
    <mergeCell ref="C29:H29"/>
    <mergeCell ref="A9:B9"/>
    <mergeCell ref="G9:H9"/>
    <mergeCell ref="C18:G18"/>
    <mergeCell ref="F51:H51"/>
  </mergeCells>
  <hyperlinks>
    <hyperlink xmlns:r="http://schemas.openxmlformats.org/officeDocument/2006/relationships" ref="I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worksheet>
</file>

<file path=xl/worksheets/sheet4.xml><?xml version="1.0" encoding="utf-8"?>
<worksheet xmlns="http://schemas.openxmlformats.org/spreadsheetml/2006/main">
  <sheetPr>
    <tabColor rgb="00C55A11"/>
    <outlinePr summaryBelow="1" summaryRight="1"/>
    <pageSetUpPr fitToPage="1"/>
  </sheetPr>
  <dimension ref="A1:M34"/>
  <sheetViews>
    <sheetView showGridLines="0" workbookViewId="0">
      <pane ySplit="4" topLeftCell="A5" activePane="bottomLeft" state="frozen"/>
      <selection pane="bottomLeft" activeCell="A1" sqref="A1"/>
    </sheetView>
  </sheetViews>
  <sheetFormatPr baseColWidth="8" defaultRowHeight="15"/>
  <cols>
    <col width="6" customWidth="1" min="1" max="1"/>
    <col width="24" customWidth="1" min="2" max="2"/>
    <col width="44" customWidth="1" min="3" max="3"/>
    <col width="34" customWidth="1" min="4" max="4"/>
    <col width="18" customWidth="1" min="5" max="5"/>
    <col width="12" customWidth="1" min="6" max="6"/>
    <col width="13" customWidth="1" min="7" max="7"/>
    <col width="13" customWidth="1" min="10" max="10"/>
  </cols>
  <sheetData>
    <row r="1" ht="34" customHeight="1">
      <c r="A1" s="1" t="inlineStr">
        <is>
          <t>The end-to-end workflow — from raw data to sign-off</t>
        </is>
      </c>
      <c r="G1" s="99" t="inlineStr">
        <is>
          <t>◂ Contents</t>
        </is>
      </c>
    </row>
    <row r="2" ht="32" customHeight="1">
      <c r="A2" s="3" t="inlineStr">
        <is>
          <r>
            <rPr>
              <rFont val="Calibri"/>
              <b val="1"/>
              <i val="1"/>
              <color rgb="00404040"/>
              <sz val="10"/>
            </rPr>
            <t>Sheet B · Every step in order:</t>
          </r>
          <r>
            <rPr>
              <rFont val="Calibri"/>
              <i val="1"/>
              <color rgb="00404040"/>
              <sz val="10"/>
            </rPr>
            <t xml:space="preserve"> what happens, what goes in, what comes out, who owns it, and where it stands today. Steps 1–11 are done by the model; 12–15 are the review and sign-off; 16 waits for pay data.</t>
          </r>
        </is>
      </c>
    </row>
    <row r="3">
      <c r="A3" s="4" t="inlineStr">
        <is>
          <t>IRIS · Job Architecture &amp; Job Design · Final v1.12 · October 2026 · Internal — Confidential</t>
        </is>
      </c>
    </row>
    <row r="4"/>
    <row r="5" ht="20" customHeight="1">
      <c r="A5" s="6" t="inlineStr">
        <is>
          <t>The workflow</t>
        </is>
      </c>
    </row>
    <row r="6" ht="15" customHeight="1">
      <c r="A6" s="7" t="inlineStr">
        <is>
          <t>#</t>
        </is>
      </c>
      <c r="B6" s="7" t="inlineStr">
        <is>
          <t>Step</t>
        </is>
      </c>
      <c r="C6" s="7" t="inlineStr">
        <is>
          <t>What happens / input</t>
        </is>
      </c>
      <c r="D6" s="7" t="inlineStr">
        <is>
          <t>Output</t>
        </is>
      </c>
      <c r="E6" s="7" t="inlineStr">
        <is>
          <t>Owner</t>
        </is>
      </c>
      <c r="F6" s="7" t="inlineStr">
        <is>
          <t>Status</t>
        </is>
      </c>
    </row>
    <row r="7" ht="41" customHeight="1">
      <c r="A7" s="8" t="inlineStr">
        <is>
          <t>1</t>
        </is>
      </c>
      <c r="B7" s="9" t="inlineStr">
        <is>
          <t>Collect the data</t>
        </is>
      </c>
      <c r="C7" s="9" t="inlineStr">
        <is>
          <t>Employee Master, How We Grow survey, KRAs, manager talent mapping, the earlier role-mapping files</t>
        </is>
      </c>
      <c r="D7" s="9" t="inlineStr">
        <is>
          <t>One record per person</t>
        </is>
      </c>
      <c r="E7" s="9" t="inlineStr">
        <is>
          <t>HR</t>
        </is>
      </c>
      <c r="F7" s="43" t="inlineStr">
        <is>
          <t>Done</t>
        </is>
      </c>
    </row>
    <row r="8" ht="28" customHeight="1">
      <c r="A8" s="8" t="inlineStr">
        <is>
          <t>2</t>
        </is>
      </c>
      <c r="B8" s="9" t="inlineStr">
        <is>
          <t>Classify the work</t>
        </is>
      </c>
      <c r="C8" s="9" t="inlineStr">
        <is>
          <t>What the person actually does · survey, KRAs, designation</t>
        </is>
      </c>
      <c r="D8" s="9" t="inlineStr">
        <is>
          <t>Job family · sub-family · type of work</t>
        </is>
      </c>
      <c r="E8" s="9" t="inlineStr">
        <is>
          <t>HR / model</t>
        </is>
      </c>
      <c r="F8" s="43" t="inlineStr">
        <is>
          <t>Done</t>
        </is>
      </c>
    </row>
    <row r="9" ht="28" customHeight="1">
      <c r="A9" s="8" t="inlineStr">
        <is>
          <t>3</t>
        </is>
      </c>
      <c r="B9" s="9" t="inlineStr">
        <is>
          <t>Choose the track</t>
        </is>
      </c>
      <c r="C9" s="9" t="inlineStr">
        <is>
          <t>Reports, POD Lead role, designation</t>
        </is>
      </c>
      <c r="D9" s="9" t="inlineStr">
        <is>
          <t>IC · POD Lead · People Manager · Player-Coach · Consultant</t>
        </is>
      </c>
      <c r="E9" s="9" t="inlineStr">
        <is>
          <t>Model</t>
        </is>
      </c>
      <c r="F9" s="43" t="inlineStr">
        <is>
          <t>Done</t>
        </is>
      </c>
    </row>
    <row r="10" ht="41" customHeight="1">
      <c r="A10" s="8" t="inlineStr">
        <is>
          <t>4</t>
        </is>
      </c>
      <c r="B10" s="9" t="inlineStr">
        <is>
          <t>Rate the six factors</t>
        </is>
      </c>
      <c r="C10" s="9" t="inlineStr">
        <is>
          <t>Start from designation and reporting line; survey / KRA evidence moves a rating by up to one level</t>
        </is>
      </c>
      <c r="D10" s="9" t="inlineStr">
        <is>
          <t>Six ratings on the ladder scale</t>
        </is>
      </c>
      <c r="E10" s="9" t="inlineStr">
        <is>
          <t>Model</t>
        </is>
      </c>
      <c r="F10" s="43" t="inlineStr">
        <is>
          <t>Done</t>
        </is>
      </c>
    </row>
    <row r="11" ht="28" customHeight="1">
      <c r="A11" s="8" t="inlineStr">
        <is>
          <t>5</t>
        </is>
      </c>
      <c r="B11" s="9" t="inlineStr">
        <is>
          <t>Weigh the factors</t>
        </is>
      </c>
      <c r="C11" s="9" t="inlineStr">
        <is>
          <t>Band × track base weights plus a ±5 tilt for the type of work · none at D–E</t>
        </is>
      </c>
      <c r="D11" s="9" t="inlineStr">
        <is>
          <t>One of 64 weight sets · adds to 100%</t>
        </is>
      </c>
      <c r="E11" s="9" t="inlineStr">
        <is>
          <t>Model</t>
        </is>
      </c>
      <c r="F11" s="43" t="inlineStr">
        <is>
          <t>Done</t>
        </is>
      </c>
    </row>
    <row r="12" ht="28" customHeight="1">
      <c r="A12" s="8" t="inlineStr">
        <is>
          <t>6</t>
        </is>
      </c>
      <c r="B12" s="9" t="inlineStr">
        <is>
          <t>Score and band check</t>
        </is>
      </c>
      <c r="C12" s="9" t="inlineStr">
        <is>
          <t>Score = Σ rating × weight, worked out on every band's own weights</t>
        </is>
      </c>
      <c r="D12" s="9" t="inlineStr">
        <is>
          <t>Highest band where the score holds → indicated level</t>
        </is>
      </c>
      <c r="E12" s="9" t="inlineStr">
        <is>
          <t>Model</t>
        </is>
      </c>
      <c r="F12" s="43" t="inlineStr">
        <is>
          <t>Done</t>
        </is>
      </c>
    </row>
    <row r="13" ht="41" customHeight="1">
      <c r="A13" s="8" t="inlineStr">
        <is>
          <t>7</t>
        </is>
      </c>
      <c r="B13" s="9" t="inlineStr">
        <is>
          <t>Apply the rules</t>
        </is>
      </c>
      <c r="C13" s="9" t="inlineStr">
        <is>
          <t>R1–R10: category, provisional, band check, work substance, structure, top of band, experience, track minimum, Player-Coach</t>
        </is>
      </c>
      <c r="D13" s="9" t="inlineStr">
        <is>
          <t>Final level, with any rule and its numbers recorded</t>
        </is>
      </c>
      <c r="E13" s="9" t="inlineStr">
        <is>
          <t>Model</t>
        </is>
      </c>
      <c r="F13" s="43" t="inlineStr">
        <is>
          <t>Done</t>
        </is>
      </c>
    </row>
    <row r="14" ht="15" customHeight="1">
      <c r="A14" s="8" t="inlineStr">
        <is>
          <t>8</t>
        </is>
      </c>
      <c r="B14" s="9" t="inlineStr">
        <is>
          <t>Title and designation</t>
        </is>
      </c>
      <c r="C14" s="9" t="inlineStr">
        <is>
          <t>Level title + role noun</t>
        </is>
      </c>
      <c r="D14" s="9" t="inlineStr">
        <is>
          <t>Final designation</t>
        </is>
      </c>
      <c r="E14" s="9" t="inlineStr">
        <is>
          <t>Model</t>
        </is>
      </c>
      <c r="F14" s="43" t="inlineStr">
        <is>
          <t>Done</t>
        </is>
      </c>
    </row>
    <row r="15" ht="28" customHeight="1">
      <c r="A15" s="8" t="inlineStr">
        <is>
          <t>9</t>
        </is>
      </c>
      <c r="B15" s="9" t="inlineStr">
        <is>
          <t>Benchmark to market</t>
        </is>
      </c>
      <c r="C15" s="9" t="inlineStr">
        <is>
          <t>Crosswalk to Radford / Mercer codes, peers, professional standards</t>
        </is>
      </c>
      <c r="D15" s="9" t="inlineStr">
        <is>
          <t>Market equivalents · indicative until the pay survey</t>
        </is>
      </c>
      <c r="E15" s="9" t="inlineStr">
        <is>
          <t>Model</t>
        </is>
      </c>
      <c r="F15" s="43" t="inlineStr">
        <is>
          <t>Done</t>
        </is>
      </c>
    </row>
    <row r="16" ht="41" customHeight="1">
      <c r="A16" s="8" t="inlineStr">
        <is>
          <t>10</t>
        </is>
      </c>
      <c r="B16" s="9" t="inlineStr">
        <is>
          <t>Role catalogue and competencies</t>
        </is>
      </c>
      <c r="C16" s="9" t="inlineStr">
        <is>
          <t>Sub-family definitions, level standards, holders' counted themes</t>
        </is>
      </c>
      <c r="D16" s="9" t="inlineStr">
        <is>
          <t>One catalogue entry per family × sub-family × level × track; required proficiency by level</t>
        </is>
      </c>
      <c r="E16" s="9" t="inlineStr">
        <is>
          <t>Model</t>
        </is>
      </c>
      <c r="F16" s="43" t="inlineStr">
        <is>
          <t>Done</t>
        </is>
      </c>
    </row>
    <row r="17" ht="28" customHeight="1">
      <c r="A17" s="8" t="inlineStr">
        <is>
          <t>11</t>
        </is>
      </c>
      <c r="B17" s="9" t="inlineStr">
        <is>
          <t>Insights</t>
        </is>
      </c>
      <c r="C17" s="9" t="inlineStr">
        <is>
          <t>Spans, layers, A3, Band C, succession, role definitions, sensitivity, data gaps</t>
        </is>
      </c>
      <c r="D17" s="9" t="inlineStr">
        <is>
          <t>Findings with recommendations</t>
        </is>
      </c>
      <c r="E17" s="9" t="inlineStr">
        <is>
          <t>Model</t>
        </is>
      </c>
      <c r="F17" s="43" t="inlineStr">
        <is>
          <t>Done</t>
        </is>
      </c>
    </row>
    <row r="18" ht="28" customHeight="1">
      <c r="A18" s="8" t="inlineStr">
        <is>
          <t>12</t>
        </is>
      </c>
      <c r="B18" s="9" t="inlineStr">
        <is>
          <t>Business-head review</t>
        </is>
      </c>
      <c r="C18" s="9" t="inlineStr">
        <is>
          <r>
            <rPr>
              <rFont val="Calibri"/>
              <b val="1"/>
              <sz val="10"/>
            </rPr>
            <t>The simplified product edition:</t>
          </r>
          <r>
            <rPr>
              <rFont val="Calibri"/>
              <sz val="10"/>
            </rPr>
            <t xml:space="preserve"> Agree / Change / Discuss for every person</t>
          </r>
        </is>
      </c>
      <c r="D18" s="9" t="inlineStr">
        <is>
          <t>Returned editions</t>
        </is>
      </c>
      <c r="E18" s="9" t="inlineStr">
        <is>
          <t>Business heads</t>
        </is>
      </c>
      <c r="F18" s="75" t="inlineStr">
        <is>
          <t>Next</t>
        </is>
      </c>
    </row>
    <row r="19" ht="41" customHeight="1">
      <c r="A19" s="8" t="inlineStr">
        <is>
          <t>13</t>
        </is>
      </c>
      <c r="B19" s="9" t="inlineStr">
        <is>
          <t>Import and calibrate</t>
        </is>
      </c>
      <c r="C19" s="9" t="inlineStr">
        <is>
          <t>import_feedback.py; the tracker · decisions, data requests, feedback; the panel rates the anchor roles · Calibration Panel Pack</t>
        </is>
      </c>
      <c r="D19" s="9" t="inlineStr">
        <is>
          <t>Decisions agreed, changed or escalated; weights confirmed or adjusted</t>
        </is>
      </c>
      <c r="E19" s="9" t="inlineStr">
        <is>
          <t>HR · calibration panel</t>
        </is>
      </c>
      <c r="F19" s="75" t="inlineStr">
        <is>
          <t>Next</t>
        </is>
      </c>
    </row>
    <row r="20" ht="28" customHeight="1">
      <c r="A20" s="8" t="inlineStr">
        <is>
          <t>14</t>
        </is>
      </c>
      <c r="B20" s="9" t="inlineStr">
        <is>
          <t>Record changes and rebuild</t>
        </is>
      </c>
      <c r="C20" s="9" t="inlineStr">
        <is>
          <t>Agreed changes in build/inputs/overrides.csv; rebuild; checks</t>
        </is>
      </c>
      <c r="D20" s="9" t="inlineStr">
        <is>
          <t>Updated, traceable files</t>
        </is>
      </c>
      <c r="E20" s="9" t="inlineStr">
        <is>
          <t>HR</t>
        </is>
      </c>
      <c r="F20" s="75" t="inlineStr">
        <is>
          <t>Next</t>
        </is>
      </c>
    </row>
    <row r="21" ht="28" customHeight="1">
      <c r="A21" s="8" t="inlineStr">
        <is>
          <t>15</t>
        </is>
      </c>
      <c r="B21" s="9" t="inlineStr">
        <is>
          <t>Sign-off and communication</t>
        </is>
      </c>
      <c r="C21" s="9" t="inlineStr">
        <is>
          <t>Leadership sign-off; draft letters regenerated and issued</t>
        </is>
      </c>
      <c r="D21" s="9" t="inlineStr">
        <is>
          <t>Letters to employees</t>
        </is>
      </c>
      <c r="E21" s="9" t="inlineStr">
        <is>
          <t>Leadership · HR</t>
        </is>
      </c>
      <c r="F21" s="98" t="inlineStr">
        <is>
          <t>Pending</t>
        </is>
      </c>
    </row>
    <row r="22" ht="28" customHeight="1">
      <c r="A22" s="8" t="inlineStr">
        <is>
          <t>16</t>
        </is>
      </c>
      <c r="B22" s="9" t="inlineStr">
        <is>
          <t>Pay ranges</t>
        </is>
      </c>
      <c r="C22" s="9" t="inlineStr">
        <is>
          <t>One India pay survey priced by market code</t>
        </is>
      </c>
      <c r="D22" s="9" t="inlineStr">
        <is>
          <t>Ranges, compa-ratios</t>
        </is>
      </c>
      <c r="E22" s="9" t="inlineStr">
        <is>
          <t>HR / Comp</t>
        </is>
      </c>
      <c r="F22" s="49" t="inlineStr">
        <is>
          <t>Held for data</t>
        </is>
      </c>
    </row>
    <row r="23" ht="28" customHeight="1">
      <c r="A23" s="8" t="inlineStr">
        <is>
          <t>17</t>
        </is>
      </c>
      <c r="B23" s="9" t="inlineStr">
        <is>
          <t>Annual refresh</t>
        </is>
      </c>
      <c r="C23" s="9" t="inlineStr">
        <is>
          <t>Crosswalk, peers, sources, future skills; version raised</t>
        </is>
      </c>
      <c r="D23" s="9" t="inlineStr">
        <is>
          <t>Next cycle's framework</t>
        </is>
      </c>
      <c r="E23" s="9" t="inlineStr">
        <is>
          <t>HR</t>
        </is>
      </c>
      <c r="F23" s="42" t="inlineStr">
        <is>
          <t>Yearly</t>
        </is>
      </c>
    </row>
    <row r="24" ht="15" customHeight="1"/>
    <row r="25" ht="20" customHeight="1">
      <c r="A25" s="6" t="inlineStr">
        <is>
          <t>The model in one line</t>
        </is>
      </c>
    </row>
    <row r="26" ht="41" customHeight="1">
      <c r="A26" s="16" t="inlineStr">
        <is>
          <t>Data → classify the work → choose the track → rate six factors → weigh them from the department's row on the Weightage Matrix → score on every band's weights → highest band that holds → rules R1–R10 → final level and designation → market, catalogue and competencies → review → calibrate → sign-off.</t>
        </is>
      </c>
    </row>
    <row r="27" ht="20" customHeight="1">
      <c r="A27" s="6" t="inlineStr">
        <is>
          <t>The review loop</t>
        </is>
      </c>
    </row>
    <row r="28" ht="15" customHeight="1">
      <c r="A28" s="7" t="inlineStr">
        <is>
          <t>Step</t>
        </is>
      </c>
      <c r="B28" s="7" t="inlineStr">
        <is>
          <t>Who</t>
        </is>
      </c>
      <c r="C28" s="63" t="n"/>
      <c r="D28" s="7" t="inlineStr">
        <is>
          <t>What</t>
        </is>
      </c>
      <c r="E28" s="64" t="n"/>
      <c r="F28" s="64" t="n"/>
      <c r="G28" s="64" t="n"/>
      <c r="H28" s="64" t="n"/>
      <c r="I28" s="63" t="n"/>
      <c r="J28" s="7" t="inlineStr">
        <is>
          <t>Where</t>
        </is>
      </c>
      <c r="K28" s="64" t="n"/>
      <c r="L28" s="64" t="n"/>
      <c r="M28" s="63" t="n"/>
    </row>
    <row r="29" ht="15" customHeight="1">
      <c r="A29" s="8" t="inlineStr">
        <is>
          <t>1</t>
        </is>
      </c>
      <c r="B29" s="9" t="inlineStr">
        <is>
          <t>Business head</t>
        </is>
      </c>
      <c r="C29" s="63" t="n"/>
      <c r="D29" s="9" t="inlineStr">
        <is>
          <t>Marks Agree / Change / Discuss for each person, with the reason for any change</t>
        </is>
      </c>
      <c r="E29" s="64" t="n"/>
      <c r="F29" s="64" t="n"/>
      <c r="G29" s="64" t="n"/>
      <c r="H29" s="64" t="n"/>
      <c r="I29" s="63" t="n"/>
      <c r="J29" s="9" t="inlineStr">
        <is>
          <t>Product Simplified edition, sheet 2 · yellow</t>
        </is>
      </c>
      <c r="K29" s="64" t="n"/>
      <c r="L29" s="64" t="n"/>
      <c r="M29" s="63" t="n"/>
    </row>
    <row r="30" ht="15" customHeight="1">
      <c r="A30" s="8" t="inlineStr">
        <is>
          <t>2</t>
        </is>
      </c>
      <c r="B30" s="9" t="inlineStr">
        <is>
          <t>HR</t>
        </is>
      </c>
      <c r="C30" s="63" t="n"/>
      <c r="D30" s="9" t="inlineStr">
        <is>
          <r>
            <rPr>
              <rFont val="Calibri"/>
              <b val="1"/>
              <sz val="10"/>
            </rPr>
            <t>Imports the returned editions:</t>
          </r>
          <r>
            <rPr>
              <rFont val="Calibri"/>
              <sz val="10"/>
            </rPr>
            <t xml:space="preserve"> python3 build/import_feedback.py &lt;files&gt;</t>
          </r>
        </is>
      </c>
      <c r="E30" s="64" t="n"/>
      <c r="F30" s="64" t="n"/>
      <c r="G30" s="64" t="n"/>
      <c r="H30" s="64" t="n"/>
      <c r="I30" s="63" t="n"/>
      <c r="J30" s="9" t="inlineStr">
        <is>
          <t>build/inputs/feedback.csv</t>
        </is>
      </c>
      <c r="K30" s="64" t="n"/>
      <c r="L30" s="64" t="n"/>
      <c r="M30" s="63" t="n"/>
    </row>
    <row r="31" ht="15" customHeight="1">
      <c r="A31" s="8" t="inlineStr">
        <is>
          <t>3</t>
        </is>
      </c>
      <c r="B31" s="9" t="inlineStr">
        <is>
          <t>HR · panel</t>
        </is>
      </c>
      <c r="C31" s="63" t="n"/>
      <c r="D31" s="9" t="inlineStr">
        <is>
          <r>
            <rPr>
              <rFont val="Calibri"/>
              <b val="1"/>
              <sz val="10"/>
            </rPr>
            <t>Works each decision:</t>
          </r>
          <r>
            <rPr>
              <rFont val="Calibri"/>
              <sz val="10"/>
            </rPr>
            <t xml:space="preserve"> owner, due date, status; collects missing inputs</t>
          </r>
        </is>
      </c>
      <c r="E31" s="64" t="n"/>
      <c r="F31" s="64" t="n"/>
      <c r="G31" s="64" t="n"/>
      <c r="H31" s="64" t="n"/>
      <c r="I31" s="63" t="n"/>
      <c r="J31" s="9" t="inlineStr">
        <is>
          <t>HR Super Master, sheets T1–T4</t>
        </is>
      </c>
      <c r="K31" s="64" t="n"/>
      <c r="L31" s="64" t="n"/>
      <c r="M31" s="63" t="n"/>
    </row>
    <row r="32" ht="15" customHeight="1">
      <c r="A32" s="8" t="inlineStr">
        <is>
          <t>4</t>
        </is>
      </c>
      <c r="B32" s="9" t="inlineStr">
        <is>
          <t>HR</t>
        </is>
      </c>
      <c r="C32" s="63" t="n"/>
      <c r="D32" s="9" t="inlineStr">
        <is>
          <t>Records every agreed level change</t>
        </is>
      </c>
      <c r="E32" s="64" t="n"/>
      <c r="F32" s="64" t="n"/>
      <c r="G32" s="64" t="n"/>
      <c r="H32" s="64" t="n"/>
      <c r="I32" s="63" t="n"/>
      <c r="J32" s="9" t="inlineStr">
        <is>
          <t>build/inputs/overrides.csv</t>
        </is>
      </c>
      <c r="K32" s="64" t="n"/>
      <c r="L32" s="64" t="n"/>
      <c r="M32" s="63" t="n"/>
    </row>
    <row r="33" ht="15" customHeight="1">
      <c r="A33" s="8" t="inlineStr">
        <is>
          <t>5</t>
        </is>
      </c>
      <c r="B33" s="9" t="inlineStr">
        <is>
          <t>HR</t>
        </is>
      </c>
      <c r="C33" s="63" t="n"/>
      <c r="D33" s="9" t="inlineStr">
        <is>
          <r>
            <rPr>
              <rFont val="Calibri"/>
              <b val="1"/>
              <sz val="10"/>
            </rPr>
            <t>Rebuilds and reruns the checks:</t>
          </r>
          <r>
            <rPr>
              <rFont val="Calibri"/>
              <sz val="10"/>
            </rPr>
            <t xml:space="preserve"> python3 build/final2.py · python3 build/verify.py</t>
          </r>
        </is>
      </c>
      <c r="E33" s="64" t="n"/>
      <c r="F33" s="64" t="n"/>
      <c r="G33" s="64" t="n"/>
      <c r="H33" s="64" t="n"/>
      <c r="I33" s="63" t="n"/>
      <c r="J33" s="9" t="inlineStr">
        <is>
          <t>All files</t>
        </is>
      </c>
      <c r="K33" s="64" t="n"/>
      <c r="L33" s="64" t="n"/>
      <c r="M33" s="63" t="n"/>
    </row>
    <row r="34" ht="15" customHeight="1">
      <c r="A34" s="8" t="inlineStr">
        <is>
          <t>6</t>
        </is>
      </c>
      <c r="B34" s="9" t="inlineStr">
        <is>
          <t>Leadership · HR</t>
        </is>
      </c>
      <c r="C34" s="63" t="n"/>
      <c r="D34" s="9" t="inlineStr">
        <is>
          <t>Signs off; issues the regenerated letters</t>
        </is>
      </c>
      <c r="E34" s="64" t="n"/>
      <c r="F34" s="64" t="n"/>
      <c r="G34" s="64" t="n"/>
      <c r="H34" s="64" t="n"/>
      <c r="I34" s="63" t="n"/>
      <c r="J34" s="9" t="inlineStr">
        <is>
          <t>Draft_Letters/</t>
        </is>
      </c>
      <c r="K34" s="64" t="n"/>
      <c r="L34" s="64" t="n"/>
      <c r="M34" s="63" t="n"/>
    </row>
  </sheetData>
  <mergeCells count="28">
    <mergeCell ref="J31:M31"/>
    <mergeCell ref="D32:I32"/>
    <mergeCell ref="A27:F27"/>
    <mergeCell ref="B31:C31"/>
    <mergeCell ref="A26:F26"/>
    <mergeCell ref="A3:F3"/>
    <mergeCell ref="J33:M33"/>
    <mergeCell ref="A2:F2"/>
    <mergeCell ref="D28:I28"/>
    <mergeCell ref="A5:F5"/>
    <mergeCell ref="J29:M29"/>
    <mergeCell ref="D30:I30"/>
    <mergeCell ref="D33:I33"/>
    <mergeCell ref="J28:M28"/>
    <mergeCell ref="B29:C29"/>
    <mergeCell ref="D29:I29"/>
    <mergeCell ref="B34:C34"/>
    <mergeCell ref="B28:C28"/>
    <mergeCell ref="J34:M34"/>
    <mergeCell ref="J30:M30"/>
    <mergeCell ref="D34:I34"/>
    <mergeCell ref="B30:C30"/>
    <mergeCell ref="B33:C33"/>
    <mergeCell ref="A1:F1"/>
    <mergeCell ref="D31:I31"/>
    <mergeCell ref="B32:C32"/>
    <mergeCell ref="J32:M32"/>
    <mergeCell ref="A25:F25"/>
  </mergeCells>
  <hyperlinks>
    <hyperlink xmlns:r="http://schemas.openxmlformats.org/officeDocument/2006/relationships" ref="G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worksheet>
</file>

<file path=xl/worksheets/sheet5.xml><?xml version="1.0" encoding="utf-8"?>
<worksheet xmlns="http://schemas.openxmlformats.org/spreadsheetml/2006/main">
  <sheetPr>
    <tabColor rgb="002E75B6"/>
    <outlinePr summaryBelow="1" summaryRight="1"/>
    <pageSetUpPr fitToPage="1"/>
  </sheetPr>
  <dimension ref="A1:J35"/>
  <sheetViews>
    <sheetView showGridLines="0" workbookViewId="0">
      <pane ySplit="4" topLeftCell="A5" activePane="bottomLeft" state="frozen"/>
      <selection pane="bottomLeft" activeCell="A1" sqref="A1"/>
    </sheetView>
  </sheetViews>
  <sheetFormatPr baseColWidth="8" defaultRowHeight="15"/>
  <cols>
    <col width="24" customWidth="1" min="1" max="1"/>
    <col width="11" customWidth="1" min="2" max="2"/>
    <col width="11" customWidth="1" min="3" max="3"/>
    <col width="11" customWidth="1" min="4" max="4"/>
    <col width="11" customWidth="1" min="5" max="5"/>
    <col width="11" customWidth="1" min="6" max="6"/>
    <col width="11" customWidth="1" min="7" max="7"/>
    <col width="13" customWidth="1" min="8" max="8"/>
    <col width="30" customWidth="1" min="9" max="9"/>
    <col width="13" customWidth="1" min="10" max="10"/>
  </cols>
  <sheetData>
    <row r="1" ht="34" customHeight="1">
      <c r="A1" s="1" t="inlineStr">
        <is>
          <t>How the model works — in plain language</t>
        </is>
      </c>
      <c r="J1" s="99" t="inlineStr">
        <is>
          <t>◂ Contents</t>
        </is>
      </c>
    </row>
    <row r="2" ht="32" customHeight="1">
      <c r="A2" s="3" t="inlineStr">
        <is>
          <t>Sheet C · The whole rating, weighting, scoring and level process in simple steps, why the same formula works from intern to CEO, and one department worked through from bottom to top · invented ratings.</t>
        </is>
      </c>
    </row>
    <row r="3">
      <c r="A3" s="4" t="inlineStr">
        <is>
          <t>IRIS · Job Architecture &amp; Job Design · Final v1.12 · October 2026 · Internal — Confidential</t>
        </is>
      </c>
    </row>
    <row r="4"/>
    <row r="5" ht="20" customHeight="1">
      <c r="A5" s="6" t="inlineStr">
        <is>
          <t>The steps, simply</t>
        </is>
      </c>
    </row>
    <row r="6" ht="15" customHeight="1">
      <c r="A6" s="7" t="inlineStr">
        <is>
          <t>Step</t>
        </is>
      </c>
      <c r="B6" s="63" t="n"/>
      <c r="C6" s="7" t="inlineStr">
        <is>
          <t>What happens</t>
        </is>
      </c>
      <c r="D6" s="64" t="n"/>
      <c r="E6" s="64" t="n"/>
      <c r="F6" s="64" t="n"/>
      <c r="G6" s="63" t="n"/>
      <c r="H6" s="7" t="inlineStr">
        <is>
          <t>In plain words</t>
        </is>
      </c>
      <c r="I6" s="63" t="n"/>
    </row>
    <row r="7" ht="67" customHeight="1">
      <c r="A7" s="14" t="inlineStr">
        <is>
          <t>1 · Rate</t>
        </is>
      </c>
      <c r="B7" s="63" t="n"/>
      <c r="C7" s="9" t="inlineStr">
        <is>
          <r>
            <rPr>
              <rFont val="Calibri"/>
              <b val="1"/>
              <sz val="10"/>
            </rPr>
            <t>Each role gets six ratings on the same scale as the ladder:</t>
          </r>
          <r>
            <rPr>
              <rFont val="Calibri"/>
              <sz val="10"/>
            </rPr>
            <t xml:space="preserve"> Complexity, Autonomy, Accountability, Leadership, Experience &amp; Qualification, Business Impact. Ratings start from the designation and reporting line; survey or KRA evidence moves a rating by up to one level.</t>
          </r>
        </is>
      </c>
      <c r="D7" s="64" t="n"/>
      <c r="E7" s="64" t="n"/>
      <c r="F7" s="64" t="n"/>
      <c r="G7" s="63" t="n"/>
      <c r="H7" s="9" t="inlineStr">
        <is>
          <t>How hard the work is, how freely you decide, what you answer for, how much you lead, the experience the role needs, and its impact on the business.</t>
        </is>
      </c>
      <c r="I7" s="63" t="n"/>
    </row>
    <row r="8" ht="54" customHeight="1">
      <c r="A8" s="14" t="inlineStr">
        <is>
          <t>2 · Weigh</t>
        </is>
      </c>
      <c r="B8" s="63" t="n"/>
      <c r="C8" s="9" t="inlineStr">
        <is>
          <t>Each factor has a weight; the six add to 100%. Weights depend on the band and track, plus a ±5 tilt for the department's type of work · none at D–E; leaders can edit them on the Weightage Matrix.</t>
        </is>
      </c>
      <c r="D8" s="64" t="n"/>
      <c r="E8" s="64" t="n"/>
      <c r="F8" s="64" t="n"/>
      <c r="G8" s="63" t="n"/>
      <c r="H8" s="9" t="inlineStr">
        <is>
          <t>Juniors are judged most on know-how; seniors on what they answer for and lead.</t>
        </is>
      </c>
      <c r="I8" s="63" t="n"/>
    </row>
    <row r="9" ht="41" customHeight="1">
      <c r="A9" s="14" t="inlineStr">
        <is>
          <t>3 · Score</t>
        </is>
      </c>
      <c r="B9" s="63" t="n"/>
      <c r="C9" s="9" t="inlineStr">
        <is>
          <t>Score = each rating × its weight, added up. It is a weighted average on the ladder scale, so it reads as a level: 4.9 is nearly B2.</t>
        </is>
      </c>
      <c r="D9" s="64" t="n"/>
      <c r="E9" s="64" t="n"/>
      <c r="F9" s="64" t="n"/>
      <c r="G9" s="63" t="n"/>
      <c r="H9" s="9" t="inlineStr">
        <is>
          <t>The score is the size of the role — not performance, not pay.</t>
        </is>
      </c>
      <c r="I9" s="63" t="n"/>
    </row>
    <row r="10" ht="67" customHeight="1">
      <c r="A10" s="14" t="inlineStr">
        <is>
          <t>4 · Band check</t>
        </is>
      </c>
      <c r="B10" s="63" t="n"/>
      <c r="C10" s="9" t="inlineStr">
        <is>
          <t>The score is worked out on every band's own weights; the person sits in the highest band where the rounded score falls inside that band. To enter a band the score must reach its entry point on that band's weights: B 3.5 · C 6.5 · D 8.5.</t>
        </is>
      </c>
      <c r="D10" s="64" t="n"/>
      <c r="E10" s="64" t="n"/>
      <c r="F10" s="64" t="n"/>
      <c r="G10" s="63" t="n"/>
      <c r="H10" s="9" t="inlineStr">
        <is>
          <t>You move up a band only when you are big enough on that band's own terms.</t>
        </is>
      </c>
      <c r="I10" s="63" t="n"/>
    </row>
    <row r="11" ht="54" customHeight="1">
      <c r="A11" s="14" t="inlineStr">
        <is>
          <t>5 · Rules</t>
        </is>
      </c>
      <c r="B11" s="63" t="n"/>
      <c r="C11" s="9" t="inlineStr">
        <is>
          <t>R1–R10 confirm or adjust: the work itself must support the level, senior levels need the structure in the org chart, experience limits apply in Bands A–B, POD Leads and managers start at B1, Player-Coach steps.</t>
        </is>
      </c>
      <c r="D11" s="64" t="n"/>
      <c r="E11" s="64" t="n"/>
      <c r="F11" s="64" t="n"/>
      <c r="G11" s="63" t="n"/>
      <c r="H11" s="9" t="inlineStr">
        <is>
          <t>The score proposes; the rules make sure the role really carries the level.</t>
        </is>
      </c>
      <c r="I11" s="63" t="n"/>
    </row>
    <row r="12" ht="28" customHeight="1">
      <c r="A12" s="14" t="inlineStr">
        <is>
          <t>6 · Result</t>
        </is>
      </c>
      <c r="B12" s="63" t="n"/>
      <c r="C12" s="9" t="inlineStr">
        <is>
          <t>Final level, level title and designation; any rule that changed the level is recorded with its numbers.</t>
        </is>
      </c>
      <c r="D12" s="64" t="n"/>
      <c r="E12" s="64" t="n"/>
      <c r="F12" s="64" t="n"/>
      <c r="G12" s="63" t="n"/>
      <c r="H12" s="9" t="inlineStr">
        <is>
          <t>Every placement explains itself.</t>
        </is>
      </c>
      <c r="I12" s="63" t="n"/>
    </row>
    <row r="13" ht="15" customHeight="1"/>
    <row r="14" ht="20" customHeight="1">
      <c r="A14" s="6" t="inlineStr">
        <is>
          <t>Why one formula works from intern to CEO</t>
        </is>
      </c>
    </row>
    <row r="15" ht="15" customHeight="1">
      <c r="A15" s="12" t="inlineStr">
        <is>
          <t>The ruler is the same for everyone; only how much each factor counts changes as roles grow.</t>
        </is>
      </c>
    </row>
    <row r="16" ht="15" customHeight="1">
      <c r="A16" s="7" t="inlineStr">
        <is>
          <t>Same for everyone</t>
        </is>
      </c>
      <c r="B16" s="64" t="n"/>
      <c r="C16" s="63" t="n"/>
      <c r="D16" s="7" t="inlineStr">
        <is>
          <t>What changes</t>
        </is>
      </c>
      <c r="E16" s="64" t="n"/>
      <c r="F16" s="63" t="n"/>
      <c r="G16" s="7" t="inlineStr">
        <is>
          <t>Why</t>
        </is>
      </c>
      <c r="H16" s="64" t="n"/>
      <c r="I16" s="64" t="n"/>
      <c r="J16" s="63" t="n"/>
    </row>
    <row r="17" ht="28" customHeight="1">
      <c r="A17" s="14" t="inlineStr">
        <is>
          <t>The six factors and the ladder scale</t>
        </is>
      </c>
      <c r="B17" s="64" t="n"/>
      <c r="C17" s="63" t="n"/>
      <c r="D17" s="9" t="inlineStr">
        <is>
          <t>The weights, by band and track</t>
        </is>
      </c>
      <c r="E17" s="64" t="n"/>
      <c r="F17" s="63" t="n"/>
      <c r="G17" s="9" t="inlineStr">
        <is>
          <t>A junior role is sized by its know-how; a senior role by what it answers for and leads</t>
        </is>
      </c>
      <c r="H17" s="64" t="n"/>
      <c r="I17" s="64" t="n"/>
      <c r="J17" s="63" t="n"/>
    </row>
    <row r="18" ht="28" customHeight="1">
      <c r="A18" s="14" t="inlineStr">
        <is>
          <t>The score → level table and the band check</t>
        </is>
      </c>
      <c r="B18" s="64" t="n"/>
      <c r="C18" s="63" t="n"/>
      <c r="D18" s="9" t="inlineStr">
        <is>
          <t>A ±5 tilt by type of work · none at D–E</t>
        </is>
      </c>
      <c r="E18" s="64" t="n"/>
      <c r="F18" s="63" t="n"/>
      <c r="G18" s="9" t="inlineStr">
        <is>
          <t>Different work is demanding in different ways; at the top everyone runs a business</t>
        </is>
      </c>
      <c r="H18" s="64" t="n"/>
      <c r="I18" s="64" t="n"/>
      <c r="J18" s="63" t="n"/>
    </row>
    <row r="19" ht="28" customHeight="1">
      <c r="A19" s="14" t="inlineStr">
        <is>
          <t>Rules R1–R10</t>
        </is>
      </c>
      <c r="B19" s="64" t="n"/>
      <c r="C19" s="63" t="n"/>
      <c r="D19" s="9" t="inlineStr">
        <is>
          <t>Which rules apply · structure gates only at B3 and above</t>
        </is>
      </c>
      <c r="E19" s="64" t="n"/>
      <c r="F19" s="63" t="n"/>
      <c r="G19" s="9" t="inlineStr">
        <is>
          <t>Senior levels must exist in the org chart, not only in a score</t>
        </is>
      </c>
      <c r="H19" s="64" t="n"/>
      <c r="I19" s="64" t="n"/>
      <c r="J19" s="63" t="n"/>
    </row>
    <row r="20" ht="15" customHeight="1"/>
    <row r="21" ht="20" customHeight="1">
      <c r="A21" s="6" t="inlineStr">
        <is>
          <t>One department, bottom to top — Technology · invented ratings</t>
        </is>
      </c>
    </row>
    <row r="22" ht="28" customHeight="1">
      <c r="A22" s="12" t="inlineStr">
        <is>
          <t>Weights shown are the Technology weights for each band and track · +5 Complexity, −5 Accountability; no tilt at D. Score = Σ rating × weight.</t>
        </is>
      </c>
    </row>
    <row r="23" ht="28" customHeight="1">
      <c r="A23" s="7" t="inlineStr">
        <is>
          <t>Role</t>
        </is>
      </c>
      <c r="B23" s="7" t="inlineStr">
        <is>
          <t>Complexity</t>
        </is>
      </c>
      <c r="C23" s="7" t="inlineStr">
        <is>
          <t>Autonomy</t>
        </is>
      </c>
      <c r="D23" s="7" t="inlineStr">
        <is>
          <t>Accountability</t>
        </is>
      </c>
      <c r="E23" s="7" t="inlineStr">
        <is>
          <t>Leadership</t>
        </is>
      </c>
      <c r="F23" s="7" t="inlineStr">
        <is>
          <t>Experience</t>
        </is>
      </c>
      <c r="G23" s="7" t="inlineStr">
        <is>
          <t>Business impact</t>
        </is>
      </c>
      <c r="H23" s="7" t="inlineStr">
        <is>
          <t>Score</t>
        </is>
      </c>
      <c r="I23" s="7" t="inlineStr">
        <is>
          <t>Level</t>
        </is>
      </c>
      <c r="J23" s="7" t="inlineStr">
        <is>
          <t>Rule check</t>
        </is>
      </c>
    </row>
    <row r="24" ht="28" customHeight="1">
      <c r="A24" s="14" t="inlineStr">
        <is>
          <t>Intern</t>
        </is>
      </c>
      <c r="B24" s="8" t="inlineStr">
        <is>
          <t>—</t>
        </is>
      </c>
      <c r="C24" s="8" t="inlineStr">
        <is>
          <t>—</t>
        </is>
      </c>
      <c r="D24" s="8" t="inlineStr">
        <is>
          <t>—</t>
        </is>
      </c>
      <c r="E24" s="8" t="inlineStr">
        <is>
          <t>—</t>
        </is>
      </c>
      <c r="F24" s="8" t="inlineStr">
        <is>
          <t>—</t>
        </is>
      </c>
      <c r="G24" s="8" t="inlineStr">
        <is>
          <t>—</t>
        </is>
      </c>
      <c r="H24" s="8" t="inlineStr">
        <is>
          <t>—</t>
        </is>
      </c>
      <c r="I24" s="8" t="inlineStr">
        <is>
          <t>A1</t>
        </is>
      </c>
      <c r="J24" s="9" t="inlineStr">
        <is>
          <t>Placed by rule</t>
        </is>
      </c>
    </row>
    <row r="25" ht="15" customHeight="1">
      <c r="A25" s="14" t="inlineStr">
        <is>
          <t>Junior Engineer</t>
        </is>
      </c>
      <c r="B25" s="8" t="inlineStr">
        <is>
          <t>2 × 64%</t>
        </is>
      </c>
      <c r="C25" s="8" t="inlineStr">
        <is>
          <t>2 × 16%</t>
        </is>
      </c>
      <c r="D25" s="8" t="inlineStr">
        <is>
          <t>2 × 4%</t>
        </is>
      </c>
      <c r="E25" s="8" t="inlineStr">
        <is>
          <t>1 × 0%</t>
        </is>
      </c>
      <c r="F25" s="8" t="inlineStr">
        <is>
          <t>2 × 10%</t>
        </is>
      </c>
      <c r="G25" s="8" t="inlineStr">
        <is>
          <t>2 × 6%</t>
        </is>
      </c>
      <c r="H25" s="8" t="inlineStr">
        <is>
          <t>2.00</t>
        </is>
      </c>
      <c r="I25" s="8" t="inlineStr">
        <is>
          <t>A2</t>
        </is>
      </c>
      <c r="J25" s="9" t="inlineStr"/>
    </row>
    <row r="26" ht="67" customHeight="1">
      <c r="A26" s="14" t="inlineStr">
        <is>
          <t>Engineer</t>
        </is>
      </c>
      <c r="B26" s="8" t="inlineStr">
        <is>
          <t>3 × 64%</t>
        </is>
      </c>
      <c r="C26" s="8" t="inlineStr">
        <is>
          <t>3 × 16%</t>
        </is>
      </c>
      <c r="D26" s="8" t="inlineStr">
        <is>
          <t>3 × 4%</t>
        </is>
      </c>
      <c r="E26" s="8" t="inlineStr">
        <is>
          <t>2 × 0%</t>
        </is>
      </c>
      <c r="F26" s="8" t="inlineStr">
        <is>
          <t>3 × 10%</t>
        </is>
      </c>
      <c r="G26" s="8" t="inlineStr">
        <is>
          <t>3 × 6%</t>
        </is>
      </c>
      <c r="H26" s="8" t="inlineStr">
        <is>
          <t>3.00</t>
        </is>
      </c>
      <c r="I26" s="8" t="inlineStr">
        <is>
          <t>A3</t>
        </is>
      </c>
      <c r="J26" s="9" t="inlineStr">
        <is>
          <t>Below Band B's 3.5 entry on B's weights, so stays in A</t>
        </is>
      </c>
    </row>
    <row r="27" ht="28" customHeight="1">
      <c r="A27" s="14" t="inlineStr">
        <is>
          <t>Senior Engineer</t>
        </is>
      </c>
      <c r="B27" s="8" t="inlineStr">
        <is>
          <t>4 × 56%</t>
        </is>
      </c>
      <c r="C27" s="8" t="inlineStr">
        <is>
          <t>4 × 17%</t>
        </is>
      </c>
      <c r="D27" s="8" t="inlineStr">
        <is>
          <t>4 × 5%</t>
        </is>
      </c>
      <c r="E27" s="8" t="inlineStr">
        <is>
          <t>3 × 5%</t>
        </is>
      </c>
      <c r="F27" s="8" t="inlineStr">
        <is>
          <t>4 × 10%</t>
        </is>
      </c>
      <c r="G27" s="8" t="inlineStr">
        <is>
          <t>4 × 7%</t>
        </is>
      </c>
      <c r="H27" s="8" t="inlineStr">
        <is>
          <t>3.95</t>
        </is>
      </c>
      <c r="I27" s="8" t="inlineStr">
        <is>
          <t>B1</t>
        </is>
      </c>
      <c r="J27" s="9" t="inlineStr">
        <is>
          <t>Clears B's 3.5 entry</t>
        </is>
      </c>
    </row>
    <row r="28" ht="15" customHeight="1">
      <c r="A28" s="14" t="inlineStr">
        <is>
          <t>Tech Lead · IC</t>
        </is>
      </c>
      <c r="B28" s="8" t="inlineStr">
        <is>
          <t>5 × 56%</t>
        </is>
      </c>
      <c r="C28" s="8" t="inlineStr">
        <is>
          <t>5 × 17%</t>
        </is>
      </c>
      <c r="D28" s="8" t="inlineStr">
        <is>
          <t>5 × 5%</t>
        </is>
      </c>
      <c r="E28" s="8" t="inlineStr">
        <is>
          <t>4 × 5%</t>
        </is>
      </c>
      <c r="F28" s="8" t="inlineStr">
        <is>
          <t>5 × 10%</t>
        </is>
      </c>
      <c r="G28" s="8" t="inlineStr">
        <is>
          <t>5 × 7%</t>
        </is>
      </c>
      <c r="H28" s="8" t="inlineStr">
        <is>
          <t>4.95</t>
        </is>
      </c>
      <c r="I28" s="8" t="inlineStr">
        <is>
          <t>B2</t>
        </is>
      </c>
      <c r="J28" s="9" t="inlineStr"/>
    </row>
    <row r="29" ht="41" customHeight="1">
      <c r="A29" s="14" t="inlineStr">
        <is>
          <t>Engineering Manager</t>
        </is>
      </c>
      <c r="B29" s="8" t="inlineStr">
        <is>
          <t>6 × 42%</t>
        </is>
      </c>
      <c r="C29" s="8" t="inlineStr">
        <is>
          <t>6 × 18%</t>
        </is>
      </c>
      <c r="D29" s="8" t="inlineStr">
        <is>
          <t>6 × 6%</t>
        </is>
      </c>
      <c r="E29" s="8" t="inlineStr">
        <is>
          <t>7 × 15%</t>
        </is>
      </c>
      <c r="F29" s="8" t="inlineStr">
        <is>
          <t>5 × 10%</t>
        </is>
      </c>
      <c r="G29" s="8" t="inlineStr">
        <is>
          <t>6 × 9%</t>
        </is>
      </c>
      <c r="H29" s="8" t="inlineStr">
        <is>
          <t>6.05</t>
        </is>
      </c>
      <c r="I29" s="8" t="inlineStr">
        <is>
          <t>B3</t>
        </is>
      </c>
      <c r="J29" s="9" t="inlineStr">
        <is>
          <t>B3 needs team leads or 10+ people</t>
        </is>
      </c>
    </row>
    <row r="30" ht="67" customHeight="1">
      <c r="A30" s="14" t="inlineStr">
        <is>
          <t>Player-Coach Lead</t>
        </is>
      </c>
      <c r="B30" s="8" t="inlineStr">
        <is>
          <t>7 × 49%</t>
        </is>
      </c>
      <c r="C30" s="8" t="inlineStr">
        <is>
          <t>6 × 18%</t>
        </is>
      </c>
      <c r="D30" s="8" t="inlineStr">
        <is>
          <t>6.5 × 5%</t>
        </is>
      </c>
      <c r="E30" s="8" t="inlineStr">
        <is>
          <t>6 × 10%</t>
        </is>
      </c>
      <c r="F30" s="8" t="inlineStr">
        <is>
          <t>6 × 10%</t>
        </is>
      </c>
      <c r="G30" s="8" t="inlineStr">
        <is>
          <t>6.5 × 8%</t>
        </is>
      </c>
      <c r="H30" s="8" t="inlineStr">
        <is>
          <t>6.55</t>
        </is>
      </c>
      <c r="I30" s="8" t="inlineStr">
        <is>
          <t>B+</t>
        </is>
      </c>
      <c r="J30" s="9" t="inlineStr">
        <is>
          <r>
            <rPr>
              <rFont val="Calibri"/>
              <b val="1"/>
              <sz val="10"/>
            </rPr>
            <t>R10:</t>
          </r>
          <r>
            <rPr>
              <rFont val="Calibri"/>
              <sz val="10"/>
            </rPr>
            <t xml:space="preserve"> Player-Coach score ≥ 6.25 and strong work substance</t>
          </r>
        </is>
      </c>
    </row>
    <row r="31" ht="28" customHeight="1">
      <c r="A31" s="14" t="inlineStr">
        <is>
          <t>Principal Engineer</t>
        </is>
      </c>
      <c r="B31" s="8" t="inlineStr">
        <is>
          <t>8 × 59%</t>
        </is>
      </c>
      <c r="C31" s="8" t="inlineStr">
        <is>
          <t>7 × 18%</t>
        </is>
      </c>
      <c r="D31" s="8" t="inlineStr">
        <is>
          <t>7 × 5%</t>
        </is>
      </c>
      <c r="E31" s="8" t="inlineStr">
        <is>
          <t>5 × 5%</t>
        </is>
      </c>
      <c r="F31" s="8" t="inlineStr">
        <is>
          <t>7 × 5%</t>
        </is>
      </c>
      <c r="G31" s="8" t="inlineStr">
        <is>
          <t>7 × 8%</t>
        </is>
      </c>
      <c r="H31" s="8" t="inlineStr">
        <is>
          <t>7.49</t>
        </is>
      </c>
      <c r="I31" s="8" t="inlineStr">
        <is>
          <t>C1</t>
        </is>
      </c>
      <c r="J31" s="9" t="inlineStr">
        <is>
          <t>Clears C's 6.5 entry</t>
        </is>
      </c>
    </row>
    <row r="32" ht="41" customHeight="1">
      <c r="A32" s="14" t="inlineStr">
        <is>
          <t>Head of Engineering</t>
        </is>
      </c>
      <c r="B32" s="8" t="inlineStr">
        <is>
          <t>7 × 48%</t>
        </is>
      </c>
      <c r="C32" s="8" t="inlineStr">
        <is>
          <t>8 × 18%</t>
        </is>
      </c>
      <c r="D32" s="8" t="inlineStr">
        <is>
          <t>8 × 6%</t>
        </is>
      </c>
      <c r="E32" s="8" t="inlineStr">
        <is>
          <t>8 × 15%</t>
        </is>
      </c>
      <c r="F32" s="8" t="inlineStr">
        <is>
          <t>8 × 5%</t>
        </is>
      </c>
      <c r="G32" s="8" t="inlineStr">
        <is>
          <t>8 × 8%</t>
        </is>
      </c>
      <c r="H32" s="8" t="inlineStr">
        <is>
          <t>7.52</t>
        </is>
      </c>
      <c r="I32" s="8" t="inlineStr">
        <is>
          <t>C2</t>
        </is>
      </c>
      <c r="J32" s="9" t="inlineStr">
        <is>
          <t>C2 must run a whole function</t>
        </is>
      </c>
    </row>
    <row r="33" ht="41" customHeight="1">
      <c r="A33" s="14" t="inlineStr">
        <is>
          <t>Business / CTO head</t>
        </is>
      </c>
      <c r="B33" s="8" t="inlineStr">
        <is>
          <t>8 × 37%</t>
        </is>
      </c>
      <c r="C33" s="8" t="inlineStr">
        <is>
          <t>9 × 19%</t>
        </is>
      </c>
      <c r="D33" s="8" t="inlineStr">
        <is>
          <t>9 × 11%</t>
        </is>
      </c>
      <c r="E33" s="8" t="inlineStr">
        <is>
          <t>9 × 20%</t>
        </is>
      </c>
      <c r="F33" s="8" t="inlineStr">
        <is>
          <t>9 × 5%</t>
        </is>
      </c>
      <c r="G33" s="8" t="inlineStr">
        <is>
          <t>9 × 8%</t>
        </is>
      </c>
      <c r="H33" s="8" t="inlineStr">
        <is>
          <t>8.63</t>
        </is>
      </c>
      <c r="I33" s="8" t="inlineStr">
        <is>
          <t>D1</t>
        </is>
      </c>
      <c r="J33" s="9" t="inlineStr">
        <is>
          <t>D1 must own a business line</t>
        </is>
      </c>
    </row>
    <row r="34" ht="15" customHeight="1"/>
    <row r="35" ht="28" customHeight="1">
      <c r="A35" s="16" t="inlineStr">
        <is>
          <t>Worked line — Tech Lead: 5×56% + 5×17% + 5×5% + 4×5% + 5×10% + 5×7% = 2.80 + 0.85 + 0.25 + 0.20 + 0.50 + 0.35 = 4.95 → rounds to 5 → B2.</t>
        </is>
      </c>
    </row>
  </sheetData>
  <mergeCells count="42">
    <mergeCell ref="C6:G6"/>
    <mergeCell ref="H10:I10"/>
    <mergeCell ref="A11:B11"/>
    <mergeCell ref="A18:C18"/>
    <mergeCell ref="D17:F17"/>
    <mergeCell ref="G16:J16"/>
    <mergeCell ref="A3:I3"/>
    <mergeCell ref="H9:I9"/>
    <mergeCell ref="A6:B6"/>
    <mergeCell ref="D16:F16"/>
    <mergeCell ref="A21:I21"/>
    <mergeCell ref="A2:I2"/>
    <mergeCell ref="H6:I6"/>
    <mergeCell ref="A7:B7"/>
    <mergeCell ref="A5:I5"/>
    <mergeCell ref="C10:G10"/>
    <mergeCell ref="A14:I14"/>
    <mergeCell ref="A17:C17"/>
    <mergeCell ref="D18:F18"/>
    <mergeCell ref="A22:I22"/>
    <mergeCell ref="A35:I35"/>
    <mergeCell ref="C9:G9"/>
    <mergeCell ref="A12:B12"/>
    <mergeCell ref="H11:I11"/>
    <mergeCell ref="A19:C19"/>
    <mergeCell ref="C12:G12"/>
    <mergeCell ref="G17:J17"/>
    <mergeCell ref="H7:I7"/>
    <mergeCell ref="C11:G11"/>
    <mergeCell ref="C8:G8"/>
    <mergeCell ref="A8:B8"/>
    <mergeCell ref="G19:J19"/>
    <mergeCell ref="A15:I15"/>
    <mergeCell ref="C7:G7"/>
    <mergeCell ref="H12:I12"/>
    <mergeCell ref="G18:J18"/>
    <mergeCell ref="D19:F19"/>
    <mergeCell ref="A10:B10"/>
    <mergeCell ref="A1:I1"/>
    <mergeCell ref="H8:I8"/>
    <mergeCell ref="A9:B9"/>
    <mergeCell ref="A16:C16"/>
  </mergeCells>
  <hyperlinks>
    <hyperlink xmlns:r="http://schemas.openxmlformats.org/officeDocument/2006/relationships" ref="J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worksheet>
</file>

<file path=xl/worksheets/sheet6.xml><?xml version="1.0" encoding="utf-8"?>
<worksheet xmlns="http://schemas.openxmlformats.org/spreadsheetml/2006/main">
  <sheetPr>
    <tabColor rgb="007030A0"/>
    <outlinePr summaryBelow="1" summaryRight="1"/>
    <pageSetUpPr fitToPage="1"/>
  </sheetPr>
  <dimension ref="A1:I52"/>
  <sheetViews>
    <sheetView showGridLines="0" workbookViewId="0">
      <pane ySplit="4" topLeftCell="A5" activePane="bottomLeft" state="frozen"/>
      <selection pane="bottomLeft"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0" customWidth="1" min="7" max="7"/>
    <col width="52" customWidth="1" min="8" max="8"/>
    <col width="13" customWidth="1" min="9" max="9"/>
  </cols>
  <sheetData>
    <row r="1" ht="34" customHeight="1">
      <c r="A1" s="1" t="inlineStr">
        <is>
          <t>Scores, bands and departments — where the numbers come from</t>
        </is>
      </c>
      <c r="I1" s="99" t="inlineStr">
        <is>
          <t>◂ Contents</t>
        </is>
      </c>
    </row>
    <row r="2" ht="30" customHeight="1">
      <c r="A2" s="3" t="inlineStr">
        <is>
          <t>Sheet D · How a score maps to a band, how the base weights were set and why, and how the same base applies to every team through a small tilt by type of work.</t>
        </is>
      </c>
    </row>
    <row r="3">
      <c r="A3" s="4" t="inlineStr">
        <is>
          <t>IRIS · Job Architecture &amp; Job Design · Final v1.12 · October 2026 · Internal — Confidential</t>
        </is>
      </c>
    </row>
    <row r="4"/>
    <row r="5" ht="20" customHeight="1">
      <c r="A5" s="6" t="inlineStr">
        <is>
          <t>Score → band</t>
        </is>
      </c>
    </row>
    <row r="6" ht="15" customHeight="1">
      <c r="A6" s="12" t="inlineStr">
        <is>
          <t>Each level has a value on the ladder scale; a score reads as a level once rounded ·.5 rounds up.</t>
        </is>
      </c>
    </row>
    <row r="7" ht="15" customHeight="1">
      <c r="A7" s="7" t="inlineStr">
        <is>
          <t>Band</t>
        </is>
      </c>
      <c r="B7" s="7" t="inlineStr">
        <is>
          <t>Levels</t>
        </is>
      </c>
      <c r="C7" s="7" t="inlineStr">
        <is>
          <t>Score range</t>
        </is>
      </c>
      <c r="D7" s="7" t="inlineStr">
        <is>
          <t>Entry point</t>
        </is>
      </c>
      <c r="E7" s="63" t="n"/>
      <c r="F7" s="7" t="inlineStr">
        <is>
          <t>Meaning</t>
        </is>
      </c>
      <c r="G7" s="64" t="n"/>
      <c r="H7" s="63" t="n"/>
    </row>
    <row r="8" ht="28" customHeight="1">
      <c r="A8" s="14" t="inlineStr">
        <is>
          <t>A — Practitioner</t>
        </is>
      </c>
      <c r="B8" s="8" t="inlineStr">
        <is>
          <t>A1 · A2 · A3</t>
        </is>
      </c>
      <c r="C8" s="8" t="inlineStr">
        <is>
          <t>1 – 3</t>
        </is>
      </c>
      <c r="D8" s="9" t="inlineStr">
        <is>
          <t>—</t>
        </is>
      </c>
      <c r="E8" s="63" t="n"/>
      <c r="F8" s="9" t="inlineStr">
        <is>
          <t>Learns and delivers own work to standard</t>
        </is>
      </c>
      <c r="G8" s="64" t="n"/>
      <c r="H8" s="63" t="n"/>
    </row>
    <row r="9" ht="28" customHeight="1">
      <c r="A9" s="14" t="inlineStr">
        <is>
          <t>B — Specialist / Manager</t>
        </is>
      </c>
      <c r="B9" s="8" t="inlineStr">
        <is>
          <t>B1 · B2 · B3</t>
        </is>
      </c>
      <c r="C9" s="8" t="inlineStr">
        <is>
          <t>4 – 6</t>
        </is>
      </c>
      <c r="D9" s="9" t="inlineStr">
        <is>
          <t>3.5 on B's weights</t>
        </is>
      </c>
      <c r="E9" s="63" t="n"/>
      <c r="F9" s="9" t="inlineStr">
        <is>
          <t>Owns a domain or a team; IC and manager tracks split</t>
        </is>
      </c>
      <c r="G9" s="64" t="n"/>
      <c r="H9" s="63" t="n"/>
    </row>
    <row r="10" ht="28" customHeight="1">
      <c r="A10" s="14" t="inlineStr">
        <is>
          <t>B+ · B plus — Player-Coach</t>
        </is>
      </c>
      <c r="B10" s="8" t="inlineStr">
        <is>
          <t>B+</t>
        </is>
      </c>
      <c r="C10" s="8" t="inlineStr">
        <is>
          <t>6.5</t>
        </is>
      </c>
      <c r="D10" s="9" t="inlineStr">
        <is>
          <t>6.25 on Player-Coach weights + work substance</t>
        </is>
      </c>
      <c r="E10" s="63" t="n"/>
      <c r="F10" s="9" t="inlineStr">
        <is>
          <t>Leads 3–6 people and still does the hardest hands-on work</t>
        </is>
      </c>
      <c r="G10" s="64" t="n"/>
      <c r="H10" s="63" t="n"/>
    </row>
    <row r="11" ht="15" customHeight="1">
      <c r="A11" s="14" t="inlineStr">
        <is>
          <t>C — Principal / Head</t>
        </is>
      </c>
      <c r="B11" s="8" t="inlineStr">
        <is>
          <t>C1 · C2</t>
        </is>
      </c>
      <c r="C11" s="8" t="inlineStr">
        <is>
          <t>7 – 8</t>
        </is>
      </c>
      <c r="D11" s="9" t="inlineStr">
        <is>
          <t>6.5 on C's weights</t>
        </is>
      </c>
      <c r="E11" s="63" t="n"/>
      <c r="F11" s="9" t="inlineStr">
        <is>
          <t>Owns a sub-function or function, or principal authority</t>
        </is>
      </c>
      <c r="G11" s="64" t="n"/>
      <c r="H11" s="63" t="n"/>
    </row>
    <row r="12" ht="28" customHeight="1">
      <c r="A12" s="14" t="inlineStr">
        <is>
          <t>C+ · C plus — Player-Coach</t>
        </is>
      </c>
      <c r="B12" s="8" t="inlineStr">
        <is>
          <t>C+</t>
        </is>
      </c>
      <c r="C12" s="8" t="inlineStr">
        <is>
          <t>8.5</t>
        </is>
      </c>
      <c r="D12" s="9" t="inlineStr">
        <is>
          <t>8.25 on Player-Coach weights + work substance</t>
        </is>
      </c>
      <c r="E12" s="63" t="n"/>
      <c r="F12" s="9" t="inlineStr">
        <is>
          <t>Heads a function and still carries principal work</t>
        </is>
      </c>
      <c r="G12" s="64" t="n"/>
      <c r="H12" s="63" t="n"/>
    </row>
    <row r="13" ht="15" customHeight="1">
      <c r="A13" s="14" t="inlineStr">
        <is>
          <t>D — Business leadership</t>
        </is>
      </c>
      <c r="B13" s="8" t="inlineStr">
        <is>
          <t>D1 · D2</t>
        </is>
      </c>
      <c r="C13" s="8" t="inlineStr">
        <is>
          <t>9 – 10</t>
        </is>
      </c>
      <c r="D13" s="9" t="inlineStr">
        <is>
          <t>8.5 on D–E weights</t>
        </is>
      </c>
      <c r="E13" s="63" t="n"/>
      <c r="F13" s="9" t="inlineStr">
        <is>
          <t>Owns a business line or enterprise function</t>
        </is>
      </c>
      <c r="G13" s="64" t="n"/>
      <c r="H13" s="63" t="n"/>
    </row>
    <row r="14" ht="15" customHeight="1">
      <c r="A14" s="14" t="inlineStr">
        <is>
          <t>E — Enterprise leadership</t>
        </is>
      </c>
      <c r="B14" s="8" t="inlineStr">
        <is>
          <t>E1 · E2</t>
        </is>
      </c>
      <c r="C14" s="8" t="inlineStr">
        <is>
          <t>11 – 12</t>
        </is>
      </c>
      <c r="D14" s="9" t="inlineStr">
        <is>
          <t>—</t>
        </is>
      </c>
      <c r="E14" s="63" t="n"/>
      <c r="F14" s="9" t="inlineStr">
        <is>
          <t>Enterprise-wide mandate · E2 = CEO</t>
        </is>
      </c>
      <c r="G14" s="64" t="n"/>
      <c r="H14" s="63" t="n"/>
    </row>
    <row r="15" ht="15" customHeight="1"/>
    <row r="16" ht="20" customHeight="1">
      <c r="A16" s="6" t="inlineStr">
        <is>
          <t>Base weights by band and track — and why</t>
        </is>
      </c>
    </row>
    <row r="17" ht="41" customHeight="1">
      <c r="A17" s="12" t="inlineStr">
        <is>
          <r>
            <rPr>
              <rFont val="Calibri"/>
              <b val="1"/>
              <i val="1"/>
              <color rgb="00595959"/>
              <sz val="10"/>
            </rPr>
            <t>Principle:</t>
          </r>
          <r>
            <rPr>
              <rFont val="Calibri"/>
              <i val="1"/>
              <color rgb="00595959"/>
              <sz val="10"/>
            </rPr>
            <t xml:space="preserve"> the more senior the role, the more it is judged on what it answers for, on Leadership and on Business Impact · Korn Ferry Hay, Mercer IPE, SFIA. Experience &amp; Qualification is kept low: 10% in Bands A–B, 5% in Bands C–E. Calibrated to published point-factor plans and the Hay profile — sheet 21. Steps of 5; weights add to 100. Each department's own row, editable, is on the Weightage Matrix.</t>
          </r>
        </is>
      </c>
    </row>
    <row r="18" ht="28" customHeight="1">
      <c r="A18" s="7" t="inlineStr">
        <is>
          <t>Band / track</t>
        </is>
      </c>
      <c r="B18" s="7" t="inlineStr">
        <is>
          <t>Complexity</t>
        </is>
      </c>
      <c r="C18" s="7" t="inlineStr">
        <is>
          <t>Autonomy</t>
        </is>
      </c>
      <c r="D18" s="7" t="inlineStr">
        <is>
          <t>Accountability</t>
        </is>
      </c>
      <c r="E18" s="7" t="inlineStr">
        <is>
          <t>Leadership</t>
        </is>
      </c>
      <c r="F18" s="7" t="inlineStr">
        <is>
          <t>Experience</t>
        </is>
      </c>
      <c r="G18" s="7" t="inlineStr">
        <is>
          <t>Business impact</t>
        </is>
      </c>
      <c r="H18" s="7" t="inlineStr">
        <is>
          <t>Why</t>
        </is>
      </c>
    </row>
    <row r="19" ht="80" customHeight="1">
      <c r="A19" s="14" t="inlineStr">
        <is>
          <t>Band A</t>
        </is>
      </c>
      <c r="B19" s="8" t="inlineStr">
        <is>
          <t>59%</t>
        </is>
      </c>
      <c r="C19" s="8" t="inlineStr">
        <is>
          <t>16%</t>
        </is>
      </c>
      <c r="D19" s="8" t="inlineStr">
        <is>
          <t>9%</t>
        </is>
      </c>
      <c r="E19" s="8" t="inlineStr">
        <is>
          <t>0%</t>
        </is>
      </c>
      <c r="F19" s="8" t="inlineStr">
        <is>
          <t>10%</t>
        </is>
      </c>
      <c r="G19" s="8" t="inlineStr">
        <is>
          <t>6%</t>
        </is>
      </c>
      <c r="H19" s="9" t="inlineStr">
        <is>
          <r>
            <rPr>
              <rFont val="Calibri"/>
              <b val="1"/>
              <sz val="10"/>
            </rPr>
            <t>Junior work is judged on the work itself:</t>
          </r>
          <r>
            <rPr>
              <rFont val="Calibri"/>
              <sz val="10"/>
            </rPr>
            <t xml:space="preserve"> Hay puts know-how at 73% for clerical jobs and Mercer IPE knowledge plus innovation at 61%; leadership is not expected. Sources: S46–S51 Korn Ferry Hay evaluations · S04, S52 Mercer IPE · S53–S57 NHS, UK NJC/PSC, GLPC, SJC and US OPM point-factor plans.</t>
          </r>
        </is>
      </c>
    </row>
    <row r="20" ht="80" customHeight="1">
      <c r="A20" s="14" t="inlineStr">
        <is>
          <t>Band B · IC / POD Lead</t>
        </is>
      </c>
      <c r="B20" s="8" t="inlineStr">
        <is>
          <t>51%</t>
        </is>
      </c>
      <c r="C20" s="8" t="inlineStr">
        <is>
          <t>17%</t>
        </is>
      </c>
      <c r="D20" s="8" t="inlineStr">
        <is>
          <t>10%</t>
        </is>
      </c>
      <c r="E20" s="8" t="inlineStr">
        <is>
          <t>5%</t>
        </is>
      </c>
      <c r="F20" s="8" t="inlineStr">
        <is>
          <t>10%</t>
        </is>
      </c>
      <c r="G20" s="8" t="inlineStr">
        <is>
          <t>7%</t>
        </is>
      </c>
      <c r="H20" s="9" t="inlineStr">
        <is>
          <r>
            <rPr>
              <rFont val="Calibri"/>
              <b val="1"/>
              <sz val="10"/>
            </rPr>
            <t>Professional and expert work:</t>
          </r>
          <r>
            <rPr>
              <rFont val="Calibri"/>
              <sz val="10"/>
            </rPr>
            <t xml:space="preserve"> the knowledge and problem solving the job needs lead, as in Hay's professional profile and Mercer IPE. Sources: S46–S51 Korn Ferry Hay evaluations · S04, S52 Mercer IPE · S53–S57 NHS, UK NJC/PSC, GLPC, SJC and US OPM point-factor plans.</t>
          </r>
        </is>
      </c>
    </row>
    <row r="21" ht="80" customHeight="1">
      <c r="A21" s="14" t="inlineStr">
        <is>
          <t>Band B · People Manager</t>
        </is>
      </c>
      <c r="B21" s="8" t="inlineStr">
        <is>
          <t>37%</t>
        </is>
      </c>
      <c r="C21" s="8" t="inlineStr">
        <is>
          <t>18%</t>
        </is>
      </c>
      <c r="D21" s="8" t="inlineStr">
        <is>
          <t>11%</t>
        </is>
      </c>
      <c r="E21" s="8" t="inlineStr">
        <is>
          <t>15%</t>
        </is>
      </c>
      <c r="F21" s="8" t="inlineStr">
        <is>
          <t>10%</t>
        </is>
      </c>
      <c r="G21" s="8" t="inlineStr">
        <is>
          <t>9%</t>
        </is>
      </c>
      <c r="H21" s="9" t="inlineStr">
        <is>
          <r>
            <rPr>
              <rFont val="Calibri"/>
              <b val="1"/>
              <sz val="10"/>
            </rPr>
            <t>Results come through a team:</t>
          </r>
          <r>
            <rPr>
              <rFont val="Calibri"/>
              <sz val="10"/>
            </rPr>
            <t xml:space="preserve"> leadership 15%, autonomy and accountability rise, as in Hay's supervisory profile, accountability 32%. Sources: S46–S51 Korn Ferry Hay evaluations · S04, S52 Mercer IPE · S53–S57 NHS, UK NJC/PSC, GLPC, SJC and US OPM point-factor plans.</t>
          </r>
        </is>
      </c>
    </row>
    <row r="22" ht="67" customHeight="1">
      <c r="A22" s="14" t="inlineStr">
        <is>
          <t>Band C · Principal specialist</t>
        </is>
      </c>
      <c r="B22" s="8" t="inlineStr">
        <is>
          <t>54%</t>
        </is>
      </c>
      <c r="C22" s="8" t="inlineStr">
        <is>
          <t>18%</t>
        </is>
      </c>
      <c r="D22" s="8" t="inlineStr">
        <is>
          <t>10%</t>
        </is>
      </c>
      <c r="E22" s="8" t="inlineStr">
        <is>
          <t>5%</t>
        </is>
      </c>
      <c r="F22" s="8" t="inlineStr">
        <is>
          <t>5%</t>
        </is>
      </c>
      <c r="G22" s="8" t="inlineStr">
        <is>
          <t>8%</t>
        </is>
      </c>
      <c r="H22" s="9" t="inlineStr">
        <is>
          <r>
            <rPr>
              <rFont val="Calibri"/>
              <b val="1"/>
              <sz val="10"/>
            </rPr>
            <t>Principal authority:</t>
          </r>
          <r>
            <rPr>
              <rFont val="Calibri"/>
              <sz val="10"/>
            </rPr>
            <t xml:space="preserve"> expertise still leads, as in Hay's 'level' profile 50 / 25 / 25; experience 5%. Sources: S46–S51 Korn Ferry Hay evaluations · S04, S52 Mercer IPE · S53–S57 NHS, UK NJC/PSC, GLPC, SJC and US OPM point-factor plans.</t>
          </r>
        </is>
      </c>
    </row>
    <row r="23" ht="80" customHeight="1">
      <c r="A23" s="14" t="inlineStr">
        <is>
          <t>Band C · Head / manager</t>
        </is>
      </c>
      <c r="B23" s="8" t="inlineStr">
        <is>
          <t>43%</t>
        </is>
      </c>
      <c r="C23" s="8" t="inlineStr">
        <is>
          <t>18%</t>
        </is>
      </c>
      <c r="D23" s="8" t="inlineStr">
        <is>
          <t>11%</t>
        </is>
      </c>
      <c r="E23" s="8" t="inlineStr">
        <is>
          <t>15%</t>
        </is>
      </c>
      <c r="F23" s="8" t="inlineStr">
        <is>
          <t>5%</t>
        </is>
      </c>
      <c r="G23" s="8" t="inlineStr">
        <is>
          <t>8%</t>
        </is>
      </c>
      <c r="H23" s="9" t="inlineStr">
        <is>
          <t>Heads answer for a function through managers, as in Hay's manager and EX-1 evaluations: leadership 15%, accountability and impact rise. Sources: S46–S51 Korn Ferry Hay evaluations · S04, S52 Mercer IPE · S53–S57 NHS, UK NJC/PSC, GLPC, SJC and US OPM point-factor plans.</t>
        </is>
      </c>
    </row>
    <row r="24" ht="80" customHeight="1">
      <c r="A24" s="14" t="inlineStr">
        <is>
          <t>Bands D–E</t>
        </is>
      </c>
      <c r="B24" s="8" t="inlineStr">
        <is>
          <t>37%</t>
        </is>
      </c>
      <c r="C24" s="8" t="inlineStr">
        <is>
          <t>19%</t>
        </is>
      </c>
      <c r="D24" s="8" t="inlineStr">
        <is>
          <t>11%</t>
        </is>
      </c>
      <c r="E24" s="8" t="inlineStr">
        <is>
          <t>20%</t>
        </is>
      </c>
      <c r="F24" s="8" t="inlineStr">
        <is>
          <t>5%</t>
        </is>
      </c>
      <c r="G24" s="8" t="inlineStr">
        <is>
          <t>8%</t>
        </is>
      </c>
      <c r="H24" s="9" t="inlineStr">
        <is>
          <t>Business and enterprise leaders, as in Hay's EX-2 and EX-3 evaluations: leadership 20%, autonomy, accountability and impact 38%. Sources: S46–S51 Korn Ferry Hay evaluations · S04, S52 Mercer IPE · S53–S57 NHS, UK NJC/PSC, GLPC, SJC and US OPM point-factor plans.</t>
        </is>
      </c>
    </row>
    <row r="25" ht="54" customHeight="1">
      <c r="A25" s="14" t="inlineStr">
        <is>
          <t>Player-Coach B+ · between B and C</t>
        </is>
      </c>
      <c r="B25" s="8" t="inlineStr">
        <is>
          <t>44%</t>
        </is>
      </c>
      <c r="C25" s="8" t="inlineStr">
        <is>
          <t>18%</t>
        </is>
      </c>
      <c r="D25" s="8" t="inlineStr">
        <is>
          <t>10%</t>
        </is>
      </c>
      <c r="E25" s="8" t="inlineStr">
        <is>
          <t>10%</t>
        </is>
      </c>
      <c r="F25" s="8" t="inlineStr">
        <is>
          <t>10%</t>
        </is>
      </c>
      <c r="G25" s="8" t="inlineStr">
        <is>
          <t>8%</t>
        </is>
      </c>
      <c r="H25" s="9" t="inlineStr">
        <is>
          <r>
            <rPr>
              <rFont val="Calibri"/>
              <b val="1"/>
              <sz val="10"/>
            </rPr>
            <t>Half expert, half leader:</t>
          </r>
          <r>
            <rPr>
              <rFont val="Calibri"/>
              <sz val="10"/>
            </rPr>
            <t xml:space="preserve"> between the Band B expert and manager rows. Sources: S46–S51 Korn Ferry Hay evaluations · S04, S52 Mercer IPE · S53–S57 NHS, UK NJC/PSC, GLPC, SJC and US OPM point-factor plans.</t>
          </r>
        </is>
      </c>
    </row>
    <row r="26" ht="67" customHeight="1">
      <c r="A26" s="14" t="inlineStr">
        <is>
          <t>Player-Coach C+ · between C and D</t>
        </is>
      </c>
      <c r="B26" s="8" t="inlineStr">
        <is>
          <t>38%</t>
        </is>
      </c>
      <c r="C26" s="8" t="inlineStr">
        <is>
          <t>18%</t>
        </is>
      </c>
      <c r="D26" s="8" t="inlineStr">
        <is>
          <t>11%</t>
        </is>
      </c>
      <c r="E26" s="8" t="inlineStr">
        <is>
          <t>20%</t>
        </is>
      </c>
      <c r="F26" s="8" t="inlineStr">
        <is>
          <t>5%</t>
        </is>
      </c>
      <c r="G26" s="8" t="inlineStr">
        <is>
          <t>8%</t>
        </is>
      </c>
      <c r="H26" s="9" t="inlineStr">
        <is>
          <r>
            <rPr>
              <rFont val="Calibri"/>
              <b val="1"/>
              <sz val="10"/>
            </rPr>
            <t>Leads a function and still delivers personally:</t>
          </r>
          <r>
            <rPr>
              <rFont val="Calibri"/>
              <sz val="10"/>
            </rPr>
            <t xml:space="preserve"> between the Band C head and Bands D–E rows. Sources: S46–S51 Korn Ferry Hay evaluations · S04, S52 Mercer IPE · S53–S57 NHS, UK NJC/PSC, GLPC, SJC and US OPM point-factor plans.</t>
          </r>
        </is>
      </c>
    </row>
    <row r="27" ht="15" customHeight="1"/>
    <row r="28" ht="20" customHeight="1">
      <c r="A28" s="6" t="inlineStr">
        <is>
          <t>The same base for every team — the tilt by type of work</t>
        </is>
      </c>
    </row>
    <row r="29" ht="28" customHeight="1">
      <c r="A29" s="12" t="inlineStr">
        <is>
          <t>Each department is assigned one type of work. The tilt moves 5% of the weight between factors and always adds to zero. No tilt at D–E or C+: at that height everyone is judged on running the business. 8 types × 8 band/track keys = 64 weight sets.</t>
        </is>
      </c>
    </row>
    <row r="30" ht="28" customHeight="1">
      <c r="A30" s="7" t="inlineStr">
        <is>
          <t>Type of work</t>
        </is>
      </c>
      <c r="B30" s="7" t="inlineStr">
        <is>
          <t>Complexity</t>
        </is>
      </c>
      <c r="C30" s="7" t="inlineStr">
        <is>
          <t>Autonomy</t>
        </is>
      </c>
      <c r="D30" s="7" t="inlineStr">
        <is>
          <t>Accountability</t>
        </is>
      </c>
      <c r="E30" s="7" t="inlineStr">
        <is>
          <t>Leadership</t>
        </is>
      </c>
      <c r="F30" s="7" t="inlineStr">
        <is>
          <t>Experience</t>
        </is>
      </c>
      <c r="G30" s="7" t="inlineStr">
        <is>
          <t>Business impact</t>
        </is>
      </c>
      <c r="H30" s="7" t="inlineStr">
        <is>
          <t>Why</t>
        </is>
      </c>
    </row>
    <row r="31" ht="41" customHeight="1">
      <c r="A31" s="14" t="inlineStr">
        <is>
          <t>Technology &amp; engineering</t>
        </is>
      </c>
      <c r="B31" s="8" t="inlineStr">
        <is>
          <t>+5</t>
        </is>
      </c>
      <c r="C31" s="8" t="inlineStr">
        <is>
          <t>0</t>
        </is>
      </c>
      <c r="D31" s="8" t="inlineStr">
        <is>
          <t>-5</t>
        </is>
      </c>
      <c r="E31" s="8" t="inlineStr">
        <is>
          <t>0</t>
        </is>
      </c>
      <c r="F31" s="8" t="inlineStr">
        <is>
          <t>0</t>
        </is>
      </c>
      <c r="G31" s="8" t="inlineStr">
        <is>
          <t>0</t>
        </is>
      </c>
      <c r="H31" s="9" t="inlineStr">
        <is>
          <r>
            <rPr>
              <rFont val="Calibri"/>
              <b val="1"/>
              <sz val="10"/>
            </rPr>
            <t>Thinking-led:</t>
          </r>
          <r>
            <rPr>
              <rFont val="Calibri"/>
              <sz val="10"/>
            </rPr>
            <t xml:space="preserve"> value comes from technical depth → +5 Complexity, −5 Accountability. Basis: S06 Hay short profile; the ±5 size is an IRIS rule.</t>
          </r>
        </is>
      </c>
    </row>
    <row r="32" ht="41" customHeight="1">
      <c r="A32" s="14" t="inlineStr">
        <is>
          <t>Product &amp; programme</t>
        </is>
      </c>
      <c r="B32" s="8" t="inlineStr">
        <is>
          <t>-5</t>
        </is>
      </c>
      <c r="C32" s="8" t="inlineStr">
        <is>
          <t>+5</t>
        </is>
      </c>
      <c r="D32" s="8" t="inlineStr">
        <is>
          <t>0</t>
        </is>
      </c>
      <c r="E32" s="8" t="inlineStr">
        <is>
          <t>0</t>
        </is>
      </c>
      <c r="F32" s="8" t="inlineStr">
        <is>
          <t>0</t>
        </is>
      </c>
      <c r="G32" s="8" t="inlineStr">
        <is>
          <t>0</t>
        </is>
      </c>
      <c r="H32" s="9" t="inlineStr">
        <is>
          <r>
            <rPr>
              <rFont val="Calibri"/>
              <b val="1"/>
              <sz val="10"/>
            </rPr>
            <t>Wide freedom to act:</t>
          </r>
          <r>
            <rPr>
              <rFont val="Calibri"/>
              <sz val="10"/>
            </rPr>
            <t xml:space="preserve"> product roles decide trade-offs → +5 Autonomy, −5 Complexity. Basis: S06 Hay short profile; the ±5 size is an IRIS rule.</t>
          </r>
        </is>
      </c>
    </row>
    <row r="33" ht="41" customHeight="1">
      <c r="A33" s="14" t="inlineStr">
        <is>
          <t>Regulatory &amp; domain consulting</t>
        </is>
      </c>
      <c r="B33" s="8" t="inlineStr">
        <is>
          <t>0</t>
        </is>
      </c>
      <c r="C33" s="8" t="inlineStr">
        <is>
          <t>0</t>
        </is>
      </c>
      <c r="D33" s="8" t="inlineStr">
        <is>
          <t>0</t>
        </is>
      </c>
      <c r="E33" s="8" t="inlineStr">
        <is>
          <t>0</t>
        </is>
      </c>
      <c r="F33" s="8" t="inlineStr">
        <is>
          <t>0</t>
        </is>
      </c>
      <c r="G33" s="8" t="inlineStr">
        <is>
          <t>0</t>
        </is>
      </c>
      <c r="H33" s="9" t="inlineStr">
        <is>
          <t>Expertise and accountability balanced → base weights unchanged. Basis: S06 Hay short profile; the ±5 size is an IRIS rule.</t>
        </is>
      </c>
    </row>
    <row r="34" ht="54" customHeight="1">
      <c r="A34" s="14" t="inlineStr">
        <is>
          <t>Service delivery &amp; data operations</t>
        </is>
      </c>
      <c r="B34" s="8" t="inlineStr">
        <is>
          <t>-5</t>
        </is>
      </c>
      <c r="C34" s="8" t="inlineStr">
        <is>
          <t>0</t>
        </is>
      </c>
      <c r="D34" s="8" t="inlineStr">
        <is>
          <t>+5</t>
        </is>
      </c>
      <c r="E34" s="8" t="inlineStr">
        <is>
          <t>0</t>
        </is>
      </c>
      <c r="F34" s="8" t="inlineStr">
        <is>
          <t>0</t>
        </is>
      </c>
      <c r="G34" s="8" t="inlineStr">
        <is>
          <t>0</t>
        </is>
      </c>
      <c r="H34" s="9" t="inlineStr">
        <is>
          <r>
            <rPr>
              <rFont val="Calibri"/>
              <b val="1"/>
              <sz val="10"/>
            </rPr>
            <t>Results-led:</t>
          </r>
          <r>
            <rPr>
              <rFont val="Calibri"/>
              <sz val="10"/>
            </rPr>
            <t xml:space="preserve"> standardised delivery judged on accuracy and turnaround → +5 Accountability, −5 Complexity. Basis: S06 Hay short profile; the ±5 size is an IRIS rule.</t>
          </r>
        </is>
      </c>
    </row>
    <row r="35" ht="41" customHeight="1">
      <c r="A35" s="14" t="inlineStr">
        <is>
          <t>Customer support &amp; success</t>
        </is>
      </c>
      <c r="B35" s="8" t="inlineStr">
        <is>
          <t>-5</t>
        </is>
      </c>
      <c r="C35" s="8" t="inlineStr">
        <is>
          <t>0</t>
        </is>
      </c>
      <c r="D35" s="8" t="inlineStr">
        <is>
          <t>0</t>
        </is>
      </c>
      <c r="E35" s="8" t="inlineStr">
        <is>
          <t>0</t>
        </is>
      </c>
      <c r="F35" s="8" t="inlineStr">
        <is>
          <t>0</t>
        </is>
      </c>
      <c r="G35" s="8" t="inlineStr">
        <is>
          <t>+5</t>
        </is>
      </c>
      <c r="H35" s="9" t="inlineStr">
        <is>
          <t>Judged on client outcomes → +5 Business Impact, −5 Complexity. Basis: S06 Hay short profile; the ±5 size is an IRIS rule.</t>
        </is>
      </c>
    </row>
    <row r="36" ht="54" customHeight="1">
      <c r="A36" s="14" t="inlineStr">
        <is>
          <t>Sales &amp; marketing</t>
        </is>
      </c>
      <c r="B36" s="8" t="inlineStr">
        <is>
          <t>-5</t>
        </is>
      </c>
      <c r="C36" s="8" t="inlineStr">
        <is>
          <t>+5</t>
        </is>
      </c>
      <c r="D36" s="8" t="inlineStr">
        <is>
          <t>-5</t>
        </is>
      </c>
      <c r="E36" s="8" t="inlineStr">
        <is>
          <t>0</t>
        </is>
      </c>
      <c r="F36" s="8" t="inlineStr">
        <is>
          <t>0</t>
        </is>
      </c>
      <c r="G36" s="8" t="inlineStr">
        <is>
          <t>+5</t>
        </is>
      </c>
      <c r="H36" s="9" t="inlineStr">
        <is>
          <t>Judged on pipeline and revenue → +5 Business Impact, +5 Autonomy, −5 Complexity, −5 Accountability. Basis: S06 Hay short profile; the ±5 size is an IRIS rule.</t>
        </is>
      </c>
    </row>
    <row r="37" ht="54" customHeight="1">
      <c r="A37" s="14" t="inlineStr">
        <is>
          <t>Corporate functions</t>
        </is>
      </c>
      <c r="B37" s="8" t="inlineStr">
        <is>
          <t>-5</t>
        </is>
      </c>
      <c r="C37" s="8" t="inlineStr">
        <is>
          <t>0</t>
        </is>
      </c>
      <c r="D37" s="8" t="inlineStr">
        <is>
          <t>0</t>
        </is>
      </c>
      <c r="E37" s="8" t="inlineStr">
        <is>
          <t>0</t>
        </is>
      </c>
      <c r="F37" s="8" t="inlineStr">
        <is>
          <t>+5</t>
        </is>
      </c>
      <c r="G37" s="8" t="inlineStr">
        <is>
          <t>0</t>
        </is>
      </c>
      <c r="H37" s="9" t="inlineStr">
        <is>
          <r>
            <rPr>
              <rFont val="Calibri"/>
              <b val="1"/>
              <sz val="10"/>
            </rPr>
            <t>Licence-to-practise work such as CA, CS or LLB:</t>
          </r>
          <r>
            <rPr>
              <rFont val="Calibri"/>
              <sz val="10"/>
            </rPr>
            <t xml:space="preserve"> qualification differentiates → +5 Experience &amp; Qualification, −5 Complexity. Basis: S06 Hay short profile; the ±5 size is an IRIS rule.</t>
          </r>
        </is>
      </c>
    </row>
    <row r="38" ht="41" customHeight="1">
      <c r="A38" s="14" t="inlineStr">
        <is>
          <t>General management</t>
        </is>
      </c>
      <c r="B38" s="8" t="inlineStr">
        <is>
          <t>0</t>
        </is>
      </c>
      <c r="C38" s="8" t="inlineStr">
        <is>
          <t>0</t>
        </is>
      </c>
      <c r="D38" s="8" t="inlineStr">
        <is>
          <t>0</t>
        </is>
      </c>
      <c r="E38" s="8" t="inlineStr">
        <is>
          <t>0</t>
        </is>
      </c>
      <c r="F38" s="8" t="inlineStr">
        <is>
          <t>0</t>
        </is>
      </c>
      <c r="G38" s="8" t="inlineStr">
        <is>
          <t>0</t>
        </is>
      </c>
      <c r="H38" s="9" t="inlineStr">
        <is>
          <t>General management is assessed on the base weights. Basis: S06 Hay short profile; the ±5 size is an IRIS rule.</t>
        </is>
      </c>
    </row>
    <row r="39" ht="15" customHeight="1"/>
    <row r="40" ht="20" customHeight="1">
      <c r="A40" s="6" t="inlineStr">
        <is>
          <t>Example — Band B individual contributors, same ratings, two departments</t>
        </is>
      </c>
    </row>
    <row r="41" ht="28" customHeight="1">
      <c r="A41" s="7" t="inlineStr">
        <is>
          <t>Department type</t>
        </is>
      </c>
      <c r="B41" s="7" t="inlineStr">
        <is>
          <t>Complexity</t>
        </is>
      </c>
      <c r="C41" s="7" t="inlineStr">
        <is>
          <t>Autonomy</t>
        </is>
      </c>
      <c r="D41" s="7" t="inlineStr">
        <is>
          <t>Accountability</t>
        </is>
      </c>
      <c r="E41" s="7" t="inlineStr">
        <is>
          <t>Leadership</t>
        </is>
      </c>
      <c r="F41" s="7" t="inlineStr">
        <is>
          <t>Experience</t>
        </is>
      </c>
      <c r="G41" s="7" t="inlineStr">
        <is>
          <t>Business impact</t>
        </is>
      </c>
      <c r="H41" s="7" t="inlineStr">
        <is>
          <t>Score</t>
        </is>
      </c>
      <c r="I41" s="7" t="inlineStr">
        <is>
          <t>Level</t>
        </is>
      </c>
    </row>
    <row r="42" ht="15" customHeight="1">
      <c r="A42" s="14" t="inlineStr">
        <is>
          <t>Technology &amp; engineering</t>
        </is>
      </c>
      <c r="B42" s="8" t="inlineStr">
        <is>
          <t>56%</t>
        </is>
      </c>
      <c r="C42" s="8" t="inlineStr">
        <is>
          <t>17%</t>
        </is>
      </c>
      <c r="D42" s="8" t="inlineStr">
        <is>
          <t>5%</t>
        </is>
      </c>
      <c r="E42" s="8" t="inlineStr">
        <is>
          <t>5%</t>
        </is>
      </c>
      <c r="F42" s="8" t="inlineStr">
        <is>
          <t>10%</t>
        </is>
      </c>
      <c r="G42" s="8" t="inlineStr">
        <is>
          <t>7%</t>
        </is>
      </c>
      <c r="H42" s="8" t="inlineStr">
        <is>
          <t>4.67</t>
        </is>
      </c>
      <c r="I42" s="8" t="inlineStr">
        <is>
          <t>→ B2</t>
        </is>
      </c>
    </row>
    <row r="43" ht="15" customHeight="1">
      <c r="A43" s="14" t="inlineStr">
        <is>
          <t>Customer support &amp; success</t>
        </is>
      </c>
      <c r="B43" s="8" t="inlineStr">
        <is>
          <t>46%</t>
        </is>
      </c>
      <c r="C43" s="8" t="inlineStr">
        <is>
          <t>17%</t>
        </is>
      </c>
      <c r="D43" s="8" t="inlineStr">
        <is>
          <t>10%</t>
        </is>
      </c>
      <c r="E43" s="8" t="inlineStr">
        <is>
          <t>5%</t>
        </is>
      </c>
      <c r="F43" s="8" t="inlineStr">
        <is>
          <t>10%</t>
        </is>
      </c>
      <c r="G43" s="8" t="inlineStr">
        <is>
          <t>12%</t>
        </is>
      </c>
      <c r="H43" s="8" t="inlineStr">
        <is>
          <t>4.62</t>
        </is>
      </c>
      <c r="I43" s="8" t="inlineStr">
        <is>
          <t>→ B2</t>
        </is>
      </c>
    </row>
    <row r="44" ht="15" customHeight="1"/>
    <row r="45" ht="28" customHeight="1">
      <c r="A45" s="12" t="inlineStr">
        <is>
          <r>
            <rPr>
              <rFont val="Calibri"/>
              <b val="1"/>
              <i val="1"/>
              <color rgb="00595959"/>
              <sz val="10"/>
            </rPr>
            <t>Ratings used:</t>
          </r>
          <r>
            <rPr>
              <rFont val="Calibri"/>
              <i val="1"/>
              <color rgb="00595959"/>
              <sz val="10"/>
            </rPr>
            <t xml:space="preserve"> Complexity 5, Autonomy 4, Accountability 4.5, Leadership 3, Experience 5, Business impact 4.5. The tilt is a nudge, not a different system: it usually moves a score by 0.05–0.1.</t>
          </r>
        </is>
      </c>
    </row>
    <row r="46" ht="20" customHeight="1">
      <c r="A46" s="6" t="inlineStr">
        <is>
          <t>What decides which weights apply to a person</t>
        </is>
      </c>
    </row>
    <row r="47" ht="15" customHeight="1">
      <c r="A47" s="7" t="inlineStr">
        <is>
          <t>Choice</t>
        </is>
      </c>
      <c r="B47" s="63" t="n"/>
      <c r="C47" s="7" t="inlineStr">
        <is>
          <t>Decided by</t>
        </is>
      </c>
      <c r="D47" s="64" t="n"/>
      <c r="E47" s="64" t="n"/>
      <c r="F47" s="64" t="n"/>
      <c r="G47" s="64" t="n"/>
      <c r="H47" s="63" t="n"/>
    </row>
    <row r="48" ht="15" customHeight="1">
      <c r="A48" s="14" t="inlineStr">
        <is>
          <t>Band</t>
        </is>
      </c>
      <c r="B48" s="63" t="n"/>
      <c r="C48" s="9" t="inlineStr">
        <is>
          <r>
            <rPr>
              <rFont val="Calibri"/>
              <b val="1"/>
              <sz val="10"/>
            </rPr>
            <t>The band check:</t>
          </r>
          <r>
            <rPr>
              <rFont val="Calibri"/>
              <sz val="10"/>
            </rPr>
            <t xml:space="preserve"> the score on each band's own weights; the highest band that holds</t>
          </r>
        </is>
      </c>
      <c r="D48" s="64" t="n"/>
      <c r="E48" s="64" t="n"/>
      <c r="F48" s="64" t="n"/>
      <c r="G48" s="64" t="n"/>
      <c r="H48" s="63" t="n"/>
    </row>
    <row r="49" ht="28" customHeight="1">
      <c r="A49" s="14" t="inlineStr">
        <is>
          <t>Track</t>
        </is>
      </c>
      <c r="B49" s="63" t="n"/>
      <c r="C49" s="9" t="inlineStr">
        <is>
          <r>
            <rPr>
              <rFont val="Calibri"/>
              <b val="1"/>
              <sz val="10"/>
            </rPr>
            <t>Proposed Track:</t>
          </r>
          <r>
            <rPr>
              <rFont val="Calibri"/>
              <sz val="10"/>
            </rPr>
            <t xml:space="preserve"> People Manager → manager weights; everyone else · including POD Leads → IC weights; the Player-Coach steps have their own</t>
          </r>
        </is>
      </c>
      <c r="D49" s="64" t="n"/>
      <c r="E49" s="64" t="n"/>
      <c r="F49" s="64" t="n"/>
      <c r="G49" s="64" t="n"/>
      <c r="H49" s="63" t="n"/>
    </row>
    <row r="50" ht="15" customHeight="1">
      <c r="A50" s="14" t="inlineStr">
        <is>
          <t>Type of work</t>
        </is>
      </c>
      <c r="B50" s="63" t="n"/>
      <c r="C50" s="9" t="inlineStr">
        <is>
          <t>The department's type of work</t>
        </is>
      </c>
      <c r="D50" s="64" t="n"/>
      <c r="E50" s="64" t="n"/>
      <c r="F50" s="64" t="n"/>
      <c r="G50" s="64" t="n"/>
      <c r="H50" s="63" t="n"/>
    </row>
    <row r="51" ht="15" customHeight="1"/>
    <row r="52" ht="28" customHeight="1">
      <c r="A52" s="12" t="inlineStr">
        <is>
          <r>
            <rPr>
              <rFont val="Calibri"/>
              <b val="1"/>
              <i val="1"/>
              <color rgb="00595959"/>
              <sz val="10"/>
            </rPr>
            <t>Status:</t>
          </r>
          <r>
            <rPr>
              <rFont val="Calibri"/>
              <i val="1"/>
              <color rgb="00595959"/>
              <sz val="10"/>
            </rPr>
            <t xml:space="preserve"> the base weights are a judgement built on established methods, not derived from IRIS data. The weight-sensitivity test shows the placements are stable; the calibration panel confirms the weights on 20–30 anchor roles before they are frozen for the cycle.</t>
          </r>
        </is>
      </c>
    </row>
  </sheetData>
  <mergeCells count="37">
    <mergeCell ref="A48:B48"/>
    <mergeCell ref="C47:H47"/>
    <mergeCell ref="D10:E10"/>
    <mergeCell ref="C50:H50"/>
    <mergeCell ref="A49:B49"/>
    <mergeCell ref="F8:H8"/>
    <mergeCell ref="A1:H1"/>
    <mergeCell ref="A45:H45"/>
    <mergeCell ref="A6:H6"/>
    <mergeCell ref="F13:H13"/>
    <mergeCell ref="D11:E11"/>
    <mergeCell ref="D13:E13"/>
    <mergeCell ref="A16:H16"/>
    <mergeCell ref="F9:H9"/>
    <mergeCell ref="C48:H48"/>
    <mergeCell ref="A46:H46"/>
    <mergeCell ref="A50:B50"/>
    <mergeCell ref="A3:H3"/>
    <mergeCell ref="D7:E7"/>
    <mergeCell ref="F14:H14"/>
    <mergeCell ref="A2:H2"/>
    <mergeCell ref="A47:B47"/>
    <mergeCell ref="C49:H49"/>
    <mergeCell ref="A5:H5"/>
    <mergeCell ref="D9:E9"/>
    <mergeCell ref="F11:H11"/>
    <mergeCell ref="D12:E12"/>
    <mergeCell ref="A17:H17"/>
    <mergeCell ref="D8:E8"/>
    <mergeCell ref="F10:H10"/>
    <mergeCell ref="A29:H29"/>
    <mergeCell ref="A52:H52"/>
    <mergeCell ref="A28:H28"/>
    <mergeCell ref="D14:E14"/>
    <mergeCell ref="F12:H12"/>
    <mergeCell ref="F7:H7"/>
    <mergeCell ref="A40:H40"/>
  </mergeCells>
  <hyperlinks>
    <hyperlink xmlns:r="http://schemas.openxmlformats.org/officeDocument/2006/relationships" ref="I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worksheet>
</file>

<file path=xl/worksheets/sheet7.xml><?xml version="1.0" encoding="utf-8"?>
<worksheet xmlns="http://schemas.openxmlformats.org/spreadsheetml/2006/main">
  <sheetPr>
    <tabColor rgb="00548235"/>
    <outlinePr summaryBelow="1" summaryRight="1"/>
    <pageSetUpPr fitToPage="1"/>
  </sheetPr>
  <dimension ref="A1:D36"/>
  <sheetViews>
    <sheetView showGridLines="0" workbookViewId="0">
      <pane ySplit="4" topLeftCell="A5" activePane="bottomLeft" state="frozen"/>
      <selection pane="bottomLeft" activeCell="A1" sqref="A1"/>
    </sheetView>
  </sheetViews>
  <sheetFormatPr baseColWidth="8" defaultRowHeight="15"/>
  <cols>
    <col width="34" customWidth="1" min="1" max="1"/>
    <col width="34" customWidth="1" min="2" max="2"/>
    <col width="34" customWidth="1" min="3" max="3"/>
    <col width="13" customWidth="1" min="4" max="4"/>
  </cols>
  <sheetData>
    <row r="1" ht="34" customHeight="1">
      <c r="A1" s="1" t="inlineStr">
        <is>
          <t>Our model against established job-evaluation methods</t>
        </is>
      </c>
      <c r="D1" s="99" t="inlineStr">
        <is>
          <t>◂ Contents</t>
        </is>
      </c>
    </row>
    <row r="2" ht="32" customHeight="1">
      <c r="A2" s="3" t="inlineStr">
        <is>
          <t>Sheet E · What is borrowed from recognised methods, what is designed for IRIS, where each is stronger, and what a wider · global use would still need.</t>
        </is>
      </c>
    </row>
    <row r="3">
      <c r="A3" s="4" t="inlineStr">
        <is>
          <t>IRIS · Job Architecture &amp; Job Design · Final v1.12 · October 2026 · Internal — Confidential</t>
        </is>
      </c>
    </row>
    <row r="4"/>
    <row r="5" ht="20" customHeight="1">
      <c r="A5" s="6" t="inlineStr">
        <is>
          <t>Borrowed from established methods</t>
        </is>
      </c>
    </row>
    <row r="6" ht="15" customHeight="1">
      <c r="A6" s="7" t="inlineStr">
        <is>
          <t>Element</t>
        </is>
      </c>
      <c r="B6" s="7" t="inlineStr">
        <is>
          <t>Source</t>
        </is>
      </c>
      <c r="C6" s="7" t="inlineStr">
        <is>
          <t>Used here as</t>
        </is>
      </c>
    </row>
    <row r="7" ht="28" customHeight="1">
      <c r="A7" s="14" t="inlineStr">
        <is>
          <t>Weighted factors · point-factor evaluation</t>
        </is>
      </c>
      <c r="B7" s="9" t="inlineStr">
        <is>
          <t>Korn Ferry Hay, Mercer IPE, WTW GGS, Aon Radford</t>
        </is>
      </c>
      <c r="C7" s="9" t="inlineStr">
        <is>
          <t>Six factors × weights = score</t>
        </is>
      </c>
    </row>
    <row r="8" ht="41" customHeight="1">
      <c r="A8" s="14" t="inlineStr">
        <is>
          <t>Know-how · problem solving · accountability · leadership</t>
        </is>
      </c>
      <c r="B8" s="9" t="inlineStr">
        <is>
          <t>Hay, Mercer</t>
        </is>
      </c>
      <c r="C8" s="9" t="inlineStr">
        <is>
          <t>Complexity, Autonomy, Accountability, Leadership, Experience &amp; Qualification</t>
        </is>
      </c>
    </row>
    <row r="9" ht="28" customHeight="1">
      <c r="A9" s="14" t="inlineStr">
        <is>
          <t>Thinking-led / balanced / results-led work</t>
        </is>
      </c>
      <c r="B9" s="9" t="inlineStr">
        <is>
          <t>Hay short profiles · P / L / A</t>
        </is>
      </c>
      <c r="C9" s="9" t="inlineStr">
        <is>
          <t>The ±5 tilt by type of work</t>
        </is>
      </c>
    </row>
    <row r="10" ht="28" customHeight="1">
      <c r="A10" s="14" t="inlineStr">
        <is>
          <t>IC and manager tracks, bands and levels</t>
        </is>
      </c>
      <c r="B10" s="9" t="inlineStr">
        <is>
          <t>Radford, Mercer, technology career ladders</t>
        </is>
      </c>
      <c r="C10" s="9" t="inlineStr">
        <is>
          <t>Five bands, 12 levels, five tracks</t>
        </is>
      </c>
    </row>
    <row r="11" ht="28" customHeight="1">
      <c r="A11" s="14" t="inlineStr">
        <is>
          <t>Skill-level descriptors</t>
        </is>
      </c>
      <c r="B11" s="9" t="inlineStr">
        <is>
          <t>SFIA</t>
        </is>
      </c>
      <c r="C11" s="9" t="inlineStr">
        <is>
          <t>Level expectations and competencies</t>
        </is>
      </c>
    </row>
    <row r="12" ht="15" customHeight="1"/>
    <row r="13" ht="20" customHeight="1">
      <c r="A13" s="6" t="inlineStr">
        <is>
          <t>Designed for IRIS</t>
        </is>
      </c>
    </row>
    <row r="14" ht="15" customHeight="1">
      <c r="A14" s="7" t="inlineStr">
        <is>
          <t>Feature</t>
        </is>
      </c>
      <c r="B14" s="7" t="inlineStr">
        <is>
          <t>What it does</t>
        </is>
      </c>
      <c r="C14" s="7" t="inlineStr">
        <is>
          <t>Why it helps</t>
        </is>
      </c>
    </row>
    <row r="15" ht="15" customHeight="1">
      <c r="A15" s="14" t="inlineStr">
        <is>
          <t>Score · in level units</t>
        </is>
      </c>
      <c r="B15" s="9" t="inlineStr">
        <is>
          <t>4.9 reads as 'nearly B2'</t>
        </is>
      </c>
      <c r="C15" s="9" t="inlineStr">
        <is>
          <t>No points-to-grade lookup table</t>
        </is>
      </c>
    </row>
    <row r="16" ht="28" customHeight="1">
      <c r="A16" s="14" t="inlineStr">
        <is>
          <t>Weights by band, and the band check</t>
        </is>
      </c>
      <c r="B16" s="9" t="inlineStr">
        <is>
          <t>The score is tested on every band's own weights</t>
        </is>
      </c>
      <c r="C16" s="9" t="inlineStr">
        <is>
          <t>You enter a band only on its own terms</t>
        </is>
      </c>
    </row>
    <row r="17" ht="28" customHeight="1">
      <c r="A17" s="14" t="inlineStr">
        <is>
          <t>Tilt by type of work</t>
        </is>
      </c>
      <c r="B17" s="9" t="inlineStr">
        <is>
          <t>±5 between factors</t>
        </is>
      </c>
      <c r="C17" s="9" t="inlineStr">
        <is>
          <t>Fair across disciplines with one base</t>
        </is>
      </c>
    </row>
    <row r="18" ht="28" customHeight="1">
      <c r="A18" s="14" t="inlineStr">
        <is>
          <t>Player-Coach steps B+ / C+</t>
        </is>
      </c>
      <c r="B18" s="9" t="inlineStr">
        <is>
          <t>Transition levels with their own rules</t>
        </is>
      </c>
      <c r="C18" s="9" t="inlineStr">
        <is>
          <t>Recognises hands-on leaders</t>
        </is>
      </c>
    </row>
    <row r="19" ht="28" customHeight="1">
      <c r="A19" s="14" t="inlineStr">
        <is>
          <t>Explicit rules with recorded reasons</t>
        </is>
      </c>
      <c r="B19" s="9" t="inlineStr">
        <is>
          <t>R1–R10 and the numbers behind them</t>
        </is>
      </c>
      <c r="C19" s="9" t="inlineStr">
        <is>
          <t>Every placement explains itself</t>
        </is>
      </c>
    </row>
    <row r="20" ht="28" customHeight="1">
      <c r="A20" s="14" t="inlineStr">
        <is>
          <t>Close-call and near-a-gate flags</t>
        </is>
      </c>
      <c r="B20" s="9" t="inlineStr">
        <is>
          <t>Borderline cases sent to calibration</t>
        </is>
      </c>
      <c r="C20" s="9" t="inlineStr">
        <is>
          <t>Panel time goes where it matters</t>
        </is>
      </c>
    </row>
    <row r="21" ht="15" customHeight="1"/>
    <row r="22" ht="20" customHeight="1">
      <c r="A22" s="6" t="inlineStr">
        <is>
          <t>Where each is stronger</t>
        </is>
      </c>
    </row>
    <row r="23" ht="15" customHeight="1">
      <c r="A23" s="7" t="inlineStr">
        <is>
          <t>Ours</t>
        </is>
      </c>
      <c r="B23" s="7" t="inlineStr">
        <is>
          <t>Established methods</t>
        </is>
      </c>
      <c r="C23" s="63" t="n"/>
    </row>
    <row r="24" ht="28" customHeight="1">
      <c r="A24" s="9" t="inlineStr">
        <is>
          <r>
            <rPr>
              <rFont val="Calibri"/>
              <b val="1"/>
              <sz val="10"/>
            </rPr>
            <t>Transparent:</t>
          </r>
          <r>
            <rPr>
              <rFont val="Calibri"/>
              <sz val="10"/>
            </rPr>
            <t xml:space="preserve"> every number can be followed in Excel</t>
          </r>
        </is>
      </c>
      <c r="B24" s="9" t="inlineStr">
        <is>
          <t>Tested over decades on many thousands of jobs</t>
        </is>
      </c>
      <c r="C24" s="63" t="n"/>
    </row>
    <row r="25" ht="28" customHeight="1">
      <c r="A25" s="9" t="inlineStr">
        <is>
          <t>Built around IRIS's structure and work types</t>
        </is>
      </c>
      <c r="B25" s="9" t="inlineStr">
        <is>
          <t>Linked directly to market pay data</t>
        </is>
      </c>
      <c r="C25" s="63" t="n"/>
    </row>
    <row r="26" ht="15" customHeight="1">
      <c r="A26" s="9" t="inlineStr">
        <is>
          <t>Every placement explains itself</t>
        </is>
      </c>
      <c r="B26" s="9" t="inlineStr">
        <is>
          <t>Trained evaluators; results defensible in audit or court</t>
        </is>
      </c>
      <c r="C26" s="63" t="n"/>
    </row>
    <row r="27" ht="28" customHeight="1">
      <c r="A27" s="9" t="inlineStr">
        <is>
          <t>No licence cost; quick to change and rebuild</t>
        </is>
      </c>
      <c r="B27" s="9" t="inlineStr">
        <is>
          <t>Recognised externally; levels compare across companies</t>
        </is>
      </c>
      <c r="C27" s="63" t="n"/>
    </row>
    <row r="28" ht="15" customHeight="1"/>
    <row r="29" ht="20" customHeight="1">
      <c r="A29" s="6" t="inlineStr">
        <is>
          <t>What a wider · global use would still need</t>
        </is>
      </c>
    </row>
    <row r="30" ht="15" customHeight="1">
      <c r="A30" s="7" t="inlineStr">
        <is>
          <t>Gap</t>
        </is>
      </c>
      <c r="B30" s="7" t="inlineStr">
        <is>
          <t>Why it matters</t>
        </is>
      </c>
      <c r="C30" s="7" t="inlineStr">
        <is>
          <t>How it closes</t>
        </is>
      </c>
    </row>
    <row r="31" ht="41" customHeight="1">
      <c r="A31" s="14" t="inlineStr">
        <is>
          <t>Effort and working conditions in the score</t>
        </is>
      </c>
      <c r="B31" s="9" t="inlineStr">
        <is>
          <t>EU Pay Transparency Directive and ILO expect skills, effort, responsibility and working conditions</t>
        </is>
      </c>
      <c r="C31" s="9" t="inlineStr">
        <is>
          <r>
            <rPr>
              <rFont val="Calibri"/>
              <b val="1"/>
              <sz val="10"/>
            </rPr>
            <t>Add them as factors · today:</t>
          </r>
          <r>
            <rPr>
              <rFont val="Calibri"/>
              <sz val="10"/>
            </rPr>
            <t xml:space="preserve"> panel anchors only</t>
          </r>
        </is>
      </c>
    </row>
    <row r="32" ht="28" customHeight="1">
      <c r="A32" s="14" t="inlineStr">
        <is>
          <t>Configurable tilts and ladders</t>
        </is>
      </c>
      <c r="B32" s="9" t="inlineStr">
        <is>
          <t>Today's tilts are IRIS-specific</t>
        </is>
      </c>
      <c r="C32" s="9" t="inlineStr">
        <is>
          <t>A library of work types for any industry</t>
        </is>
      </c>
    </row>
    <row r="33" ht="28" customHeight="1">
      <c r="A33" s="14" t="inlineStr">
        <is>
          <t>Validation</t>
        </is>
      </c>
      <c r="B33" s="9" t="inlineStr">
        <is>
          <t>Rater agreement and agreement with an established method</t>
        </is>
      </c>
      <c r="C33" s="9" t="inlineStr">
        <is>
          <t>Panel ratings on anchor roles; comparison study</t>
        </is>
      </c>
    </row>
    <row r="34" ht="28" customHeight="1">
      <c r="A34" s="14" t="inlineStr">
        <is>
          <t>Bias testing</t>
        </is>
      </c>
      <c r="B34" s="9" t="inlineStr">
        <is>
          <t>Gender-neutral job evaluation</t>
        </is>
      </c>
      <c r="C34" s="9" t="inlineStr">
        <is>
          <t>Test for under-valuation of female-majority roles</t>
        </is>
      </c>
    </row>
    <row r="35" ht="15" customHeight="1">
      <c r="A35" s="14" t="inlineStr">
        <is>
          <t>Market pay link</t>
        </is>
      </c>
      <c r="B35" s="9" t="inlineStr">
        <is>
          <t>Companies must price the levels</t>
        </is>
      </c>
      <c r="C35" s="9" t="inlineStr">
        <is>
          <t>Pay survey by market code</t>
        </is>
      </c>
    </row>
    <row r="36" ht="28" customHeight="1">
      <c r="A36" s="14" t="inlineStr">
        <is>
          <t>More than one company</t>
        </is>
      </c>
      <c r="B36" s="9" t="inlineStr">
        <is>
          <t>Proof beyond one organisation</t>
        </is>
      </c>
      <c r="C36" s="9" t="inlineStr">
        <is>
          <t>Pilots in 3–5 companies across sectors</t>
        </is>
      </c>
    </row>
  </sheetData>
  <mergeCells count="12">
    <mergeCell ref="B24:C24"/>
    <mergeCell ref="A13:C13"/>
    <mergeCell ref="A1:C1"/>
    <mergeCell ref="B25:C25"/>
    <mergeCell ref="A5:C5"/>
    <mergeCell ref="A22:C22"/>
    <mergeCell ref="B23:C23"/>
    <mergeCell ref="A3:C3"/>
    <mergeCell ref="B26:C26"/>
    <mergeCell ref="B27:C27"/>
    <mergeCell ref="A2:C2"/>
    <mergeCell ref="A29:C29"/>
  </mergeCells>
  <hyperlinks>
    <hyperlink xmlns:r="http://schemas.openxmlformats.org/officeDocument/2006/relationships" ref="D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worksheet>
</file>

<file path=xl/worksheets/sheet8.xml><?xml version="1.0" encoding="utf-8"?>
<worksheet xmlns="http://schemas.openxmlformats.org/spreadsheetml/2006/main">
  <sheetPr>
    <tabColor rgb="00806000"/>
    <outlinePr summaryBelow="1" summaryRight="1"/>
    <pageSetUpPr fitToPage="1"/>
  </sheetPr>
  <dimension ref="A1:E35"/>
  <sheetViews>
    <sheetView showGridLines="0" workbookViewId="0">
      <pane ySplit="4" topLeftCell="A5" activePane="bottomLeft" state="frozen"/>
      <selection pane="bottomLeft" activeCell="A1" sqref="A1"/>
    </sheetView>
  </sheetViews>
  <sheetFormatPr baseColWidth="8" defaultRowHeight="15"/>
  <cols>
    <col width="9" customWidth="1" min="1" max="1"/>
    <col width="11" customWidth="1" min="2" max="2"/>
    <col width="50" customWidth="1" min="3" max="3"/>
    <col width="60" customWidth="1" min="4" max="4"/>
    <col width="13" customWidth="1" min="5" max="5"/>
  </cols>
  <sheetData>
    <row r="1" ht="34" customHeight="1">
      <c r="A1" s="1" t="inlineStr">
        <is>
          <t>Decision log — what was decided, and what it changed</t>
        </is>
      </c>
      <c r="E1" s="99" t="inlineStr">
        <is>
          <t>◂ Contents</t>
        </is>
      </c>
    </row>
    <row r="2" ht="32" customHeight="1">
      <c r="A2" s="3" t="inlineStr">
        <is>
          <t>Sheet F · Every decision taken on the model and the files, in order. Open decisions · Player-Coach code choice confirmed as B+ / C+ for now; pay survey; panel validation of the weights are tracked in the HR Super Master.</t>
        </is>
      </c>
    </row>
    <row r="3">
      <c r="A3" s="4" t="inlineStr">
        <is>
          <t>IRIS · Job Architecture &amp; Job Design · Final v1.12 · October 2026 · Internal — Confidential</t>
        </is>
      </c>
    </row>
    <row r="4"/>
    <row r="5" ht="15" customHeight="1">
      <c r="A5" s="7" t="inlineStr">
        <is>
          <t>Date</t>
        </is>
      </c>
      <c r="B5" s="7" t="inlineStr">
        <is>
          <t>Version</t>
        </is>
      </c>
      <c r="C5" s="7" t="inlineStr">
        <is>
          <t>Decision</t>
        </is>
      </c>
      <c r="D5" s="7" t="inlineStr">
        <is>
          <t>Effect</t>
        </is>
      </c>
    </row>
    <row r="6" ht="28" customHeight="1">
      <c r="A6" s="9" t="inlineStr">
        <is>
          <t>7 Oct</t>
        </is>
      </c>
      <c r="B6" s="9" t="inlineStr">
        <is>
          <t>v1.2</t>
        </is>
      </c>
      <c r="C6" s="9" t="inlineStr">
        <is>
          <t>Apply the reviewer's no-decision fixes</t>
        </is>
      </c>
      <c r="D6" s="9" t="inlineStr">
        <is>
          <t>Personal data out, survey answers never quoted, sources and peers corrected, crosswalk rebuilt</t>
        </is>
      </c>
    </row>
    <row r="7" ht="28" customHeight="1">
      <c r="A7" s="9" t="inlineStr">
        <is>
          <t>7 Oct</t>
        </is>
      </c>
      <c r="B7" s="9" t="inlineStr">
        <is>
          <t>v1.3</t>
        </is>
      </c>
      <c r="C7" s="9" t="inlineStr">
        <is>
          <t>Simple score explanation on every opening sheet; change log</t>
        </is>
      </c>
      <c r="D7" s="9" t="inlineStr">
        <is>
          <t>Four-step section on every opening sheet</t>
        </is>
      </c>
    </row>
    <row r="8" ht="28" customHeight="1">
      <c r="A8" s="9" t="inlineStr">
        <is>
          <t>7 Oct</t>
        </is>
      </c>
      <c r="B8" s="9" t="inlineStr">
        <is>
          <t>v1.4 · 1</t>
        </is>
      </c>
      <c r="C8" s="9" t="inlineStr">
        <is>
          <t>Rename BC / CD and keep a buffer</t>
        </is>
      </c>
      <c r="D8" s="9" t="inlineStr">
        <is>
          <t>Player-Coach steps with a 0.15 tolerance; span norms flagged, never blocking</t>
        </is>
      </c>
    </row>
    <row r="9" ht="28" customHeight="1">
      <c r="A9" s="9" t="inlineStr">
        <is>
          <t>7 Oct</t>
        </is>
      </c>
      <c r="B9" s="9" t="inlineStr">
        <is>
          <t>v1.4 · 2</t>
        </is>
      </c>
      <c r="C9" s="9" t="inlineStr">
        <is>
          <t>Close calls only where the score decided; add 'near a gate'</t>
        </is>
      </c>
      <c r="D9" s="9" t="inlineStr">
        <is>
          <t>34 close calls; near-a-gate flags for rule-set levels</t>
        </is>
      </c>
    </row>
    <row r="10" ht="28" customHeight="1">
      <c r="A10" s="9" t="inlineStr">
        <is>
          <t>7 Oct</t>
        </is>
      </c>
      <c r="B10" s="9" t="inlineStr">
        <is>
          <t>v1.4 · 3</t>
        </is>
      </c>
      <c r="C10" s="9" t="inlineStr">
        <is>
          <t>Four-sheet, self-sufficient edition for business heads</t>
        </is>
      </c>
      <c r="D10" s="9" t="inlineStr">
        <is>
          <t>Now the Product Simplified edition</t>
        </is>
      </c>
    </row>
    <row r="11" ht="28" customHeight="1">
      <c r="A11" s="9" t="inlineStr">
        <is>
          <t>7 Oct</t>
        </is>
      </c>
      <c r="B11" s="9" t="inlineStr">
        <is>
          <t>v1.4 · 4</t>
        </is>
      </c>
      <c r="C11" s="9" t="inlineStr">
        <is>
          <t>Use matched responses only where consent covers it</t>
        </is>
      </c>
      <c r="D11" s="9" t="inlineStr">
        <is>
          <t>Superseded by v1.5 · 2</t>
        </is>
      </c>
    </row>
    <row r="12" ht="15" customHeight="1">
      <c r="A12" s="9" t="inlineStr">
        <is>
          <t>7 Oct</t>
        </is>
      </c>
      <c r="B12" s="9" t="inlineStr">
        <is>
          <t>v1.4 · 5</t>
        </is>
      </c>
      <c r="C12" s="9" t="inlineStr">
        <is>
          <t>A crosswalk that fits the framework</t>
        </is>
      </c>
      <c r="D12" s="9" t="inlineStr">
        <is>
          <r>
            <rPr>
              <rFont val="Calibri"/>
              <b val="1"/>
              <sz val="10"/>
            </rPr>
            <t>Rule M13:</t>
          </r>
          <r>
            <rPr>
              <rFont val="Calibri"/>
              <sz val="10"/>
            </rPr>
            <t xml:space="preserve"> experience-matched, never higher</t>
          </r>
        </is>
      </c>
    </row>
    <row r="13" ht="28" customHeight="1">
      <c r="A13" s="9" t="inlineStr">
        <is>
          <t>7 Oct</t>
        </is>
      </c>
      <c r="B13" s="9" t="inlineStr">
        <is>
          <t>v1.4 · 6</t>
        </is>
      </c>
      <c r="C13" s="9" t="inlineStr">
        <is>
          <t>Create the role catalogue using holders' own inputs</t>
        </is>
      </c>
      <c r="D13" s="9" t="inlineStr">
        <is>
          <t>176 entries; counted themes, no first-person text</t>
        </is>
      </c>
    </row>
    <row r="14" ht="28" customHeight="1">
      <c r="A14" s="9" t="inlineStr">
        <is>
          <t>7 Oct</t>
        </is>
      </c>
      <c r="B14" s="9" t="inlineStr">
        <is>
          <t>v1.4 · 7</t>
        </is>
      </c>
      <c r="C14" s="9" t="inlineStr">
        <is>
          <t>Group single-person leadership rows into 'Leadership'</t>
        </is>
      </c>
      <c r="D14" s="9" t="inlineStr">
        <is>
          <t>No level can be read off in the summary</t>
        </is>
      </c>
    </row>
    <row r="15" ht="15" customHeight="1">
      <c r="A15" s="9" t="inlineStr">
        <is>
          <t>7 Oct</t>
        </is>
      </c>
      <c r="B15" s="9" t="inlineStr">
        <is>
          <t>v1.4 · 8</t>
        </is>
      </c>
      <c r="C15" s="9" t="inlineStr">
        <is>
          <t>A role count that applies to real data</t>
        </is>
      </c>
      <c r="D15" s="9" t="inlineStr">
        <is>
          <t>Role = designation × level × department × family × track</t>
        </is>
      </c>
    </row>
    <row r="16" ht="15" customHeight="1">
      <c r="A16" s="9" t="inlineStr">
        <is>
          <t>7 Oct</t>
        </is>
      </c>
      <c r="B16" s="9" t="inlineStr">
        <is>
          <t>v1.5 · 1</t>
        </is>
      </c>
      <c r="C16" s="9" t="inlineStr">
        <is>
          <t>A transition code that suits the flow</t>
        </is>
      </c>
      <c r="D16" s="9" t="inlineStr">
        <is>
          <t>B3.5 and C2.5 · renamed B+ and C+ in v1.8</t>
        </is>
      </c>
    </row>
    <row r="17" ht="28" customHeight="1">
      <c r="A17" s="9" t="inlineStr">
        <is>
          <t>7 Oct</t>
        </is>
      </c>
      <c r="B17" s="9" t="inlineStr">
        <is>
          <t>v1.5 · 2–3</t>
        </is>
      </c>
      <c r="C17" s="9" t="inlineStr">
        <is>
          <t>Use a matched response if we know where it came from</t>
        </is>
      </c>
      <c r="D17" s="9" t="inlineStr">
        <is>
          <t>Used where the source names the person; the person is told and may correct</t>
        </is>
      </c>
    </row>
    <row r="18" ht="28" customHeight="1">
      <c r="A18" s="9" t="inlineStr">
        <is>
          <t>7 Oct</t>
        </is>
      </c>
      <c r="B18" s="9" t="inlineStr">
        <is>
          <t>v1.5 · 4</t>
        </is>
      </c>
      <c r="C18" s="9" t="inlineStr">
        <is>
          <t>Adopt what we can from the Career Architecture V2 research</t>
        </is>
      </c>
      <c r="D18" s="9" t="inlineStr">
        <is>
          <t>Family boundaries, discipline stages, panel anchors, evidence register</t>
        </is>
      </c>
    </row>
    <row r="19" ht="28" customHeight="1">
      <c r="A19" s="9" t="inlineStr">
        <is>
          <t>8 Oct</t>
        </is>
      </c>
      <c r="B19" s="9" t="inlineStr">
        <is>
          <t>v1.6</t>
        </is>
      </c>
      <c r="C19" s="9" t="inlineStr">
        <is>
          <t>Implement every improvement; hold only what lacks data</t>
        </is>
      </c>
      <c r="D19" s="9" t="inlineStr">
        <is>
          <t>Charts, slim view, person card, tracker, insights, sensitivity, importer, letters; pay held</t>
        </is>
      </c>
    </row>
    <row r="20" ht="28" customHeight="1">
      <c r="A20" s="9" t="inlineStr">
        <is>
          <t>8 Oct</t>
        </is>
      </c>
      <c r="B20" s="9" t="inlineStr">
        <is>
          <t>v1.7</t>
        </is>
      </c>
      <c r="C20" s="9" t="inlineStr">
        <is>
          <t>HR super master, product masters, simplified versions, and a framework &amp; model master</t>
        </is>
      </c>
      <c r="D20" s="9" t="inlineStr">
        <is>
          <t>This file set</t>
        </is>
      </c>
    </row>
    <row r="21" ht="41" customHeight="1">
      <c r="A21" s="9" t="inlineStr">
        <is>
          <t>8 Oct</t>
        </is>
      </c>
      <c r="B21" s="9" t="inlineStr">
        <is>
          <t>v1.8</t>
        </is>
      </c>
      <c r="C21" s="9" t="inlineStr">
        <is>
          <r>
            <rPr>
              <rFont val="Calibri"/>
              <b val="1"/>
              <sz val="10"/>
            </rPr>
            <t>Player-Coach codes:</t>
          </r>
          <r>
            <rPr>
              <rFont val="Calibri"/>
              <sz val="10"/>
            </rPr>
            <t xml:space="preserve"> B-star / C-star or a market convention</t>
          </r>
        </is>
      </c>
      <c r="D21" s="9" t="inlineStr">
        <is>
          <t>B+ and C+ — the Korn Ferry Hay '+' convention for a step between two levels; '*' avoided because Excel reads it as a wildcard in filters and counts</t>
        </is>
      </c>
    </row>
    <row r="22" ht="28" customHeight="1">
      <c r="A22" s="9" t="inlineStr">
        <is>
          <t>8 Oct</t>
        </is>
      </c>
      <c r="B22" s="9" t="inlineStr">
        <is>
          <t>v1.9</t>
        </is>
      </c>
      <c r="C22" s="9" t="inlineStr">
        <is>
          <t>Build the calibration panel pack; easier person search; refine what exists</t>
        </is>
      </c>
      <c r="D22" s="9" t="inlineStr">
        <is>
          <t>Panel pack with anchor roles and two raters; person card search by product, department, name or Emp ID; text fixes</t>
        </is>
      </c>
    </row>
    <row r="23" ht="28" customHeight="1">
      <c r="A23" s="9" t="inlineStr">
        <is>
          <t>8 Oct</t>
        </is>
      </c>
      <c r="B23" s="9" t="inlineStr">
        <is>
          <t>v1.10 · 1</t>
        </is>
      </c>
      <c r="C23" s="9" t="inlineStr">
        <is>
          <t>Verify what needs verifying</t>
        </is>
      </c>
      <c r="D23" s="9" t="inlineStr">
        <is>
          <t>Every external source and peer ladder re-read; register corrected</t>
        </is>
      </c>
    </row>
    <row r="24" ht="67" customHeight="1">
      <c r="A24" s="9" t="inlineStr">
        <is>
          <t>8 Oct</t>
        </is>
      </c>
      <c r="B24" s="9" t="inlineStr">
        <is>
          <t>v1.10 · 2</t>
        </is>
      </c>
      <c r="C24" s="9" t="inlineStr">
        <is>
          <t>Flag only critical missing inputs</t>
        </is>
      </c>
      <c r="D24" s="9" t="inlineStr">
        <is>
          <t>Experience, department, any evidence of the work, consent, R2 experience, Player-Coach hands-on share, R5 structure, reporting line, conflicting records; rating / potential / 9-box, qualification and fuller survey answers no longer flagged</t>
        </is>
      </c>
    </row>
    <row r="25" ht="28" customHeight="1">
      <c r="A25" s="9" t="inlineStr">
        <is>
          <t>8 Oct</t>
        </is>
      </c>
      <c r="B25" s="9" t="inlineStr">
        <is>
          <t>v1.10 · 3</t>
        </is>
      </c>
      <c r="C25" s="9" t="inlineStr">
        <is>
          <r>
            <rPr>
              <rFont val="Calibri"/>
              <b val="1"/>
              <sz val="10"/>
            </rPr>
            <t>Person card:</t>
          </r>
          <r>
            <rPr>
              <rFont val="Calibri"/>
              <sz val="10"/>
            </rPr>
            <t xml:space="preserve"> drop-downs only</t>
          </r>
        </is>
      </c>
      <c r="D25" s="9" t="inlineStr">
        <is>
          <r>
            <rPr>
              <rFont val="Calibri"/>
              <b val="1"/>
              <sz val="10"/>
            </rPr>
            <t>HR:</t>
          </r>
          <r>
            <rPr>
              <rFont val="Calibri"/>
              <sz val="10"/>
            </rPr>
            <t xml:space="preserve"> Product, Department, Emp ID, Name · product masters: Department, Emp ID, Name</t>
          </r>
        </is>
      </c>
    </row>
    <row r="26" ht="41" customHeight="1">
      <c r="A26" s="9" t="inlineStr">
        <is>
          <t>8 Oct</t>
        </is>
      </c>
      <c r="B26" s="9" t="inlineStr">
        <is>
          <t>v1.11</t>
        </is>
      </c>
      <c r="C26" s="9" t="inlineStr">
        <is>
          <t>Final review; add what each person's role does, its responsibilities and competencies to Talent Mapping</t>
        </is>
      </c>
      <c r="D26" s="9" t="inlineStr">
        <is>
          <t>Role-profile column on sheet 2 and the person card, from the role catalogue · survey themes, never one person's words; review fixes</t>
        </is>
      </c>
    </row>
    <row r="27" ht="41" customHeight="1">
      <c r="A27" s="9" t="inlineStr">
        <is>
          <t>9 Oct</t>
        </is>
      </c>
      <c r="B27" s="9" t="inlineStr">
        <is>
          <t>v1.11 · HR review</t>
        </is>
      </c>
      <c r="C27" s="9" t="inlineStr">
        <is>
          <t>Leadership levels, removals, D–E reporting-line rule, how-it-works first sheet, simple scoring guide, typed Emp ID search</t>
        </is>
      </c>
      <c r="D27" s="9" t="inlineStr">
        <is>
          <t>Approved levels as validated inputs; R12 cap; journey sheet in every file; 1c in HR; nomenclature from the HR review copy</t>
        </is>
      </c>
    </row>
    <row r="28" ht="67" customHeight="1">
      <c r="A28" s="9" t="inlineStr">
        <is>
          <t>11 Oct</t>
        </is>
      </c>
      <c r="B28" s="9" t="inlineStr">
        <is>
          <t>v1.12</t>
        </is>
      </c>
      <c r="C28" s="9" t="inlineStr">
        <is>
          <t>Experience and education as low as possible; add Business Impact; an editable weightage matrix for leaders, by department and role; no bracketed references; bold pointers; searchable person-card drop-downs</t>
        </is>
      </c>
      <c r="D28" s="9" t="inlineStr">
        <is>
          <t>Six factors; Experience &amp; Qualification 10% in Bands A–B and 5% in Bands C–E, set in one place; Business Impact estimated from the role's scope and the survey, managers overwrite it; Weightage Matrix in every file that holds people, live to the scores; edits imported back for the next build</t>
        </is>
      </c>
    </row>
    <row r="29" ht="15" customHeight="1"/>
    <row r="30" ht="20" customHeight="1">
      <c r="A30" s="6" t="inlineStr">
        <is>
          <t>Still open</t>
        </is>
      </c>
    </row>
    <row r="31" ht="15" customHeight="1">
      <c r="A31" s="7" t="inlineStr">
        <is>
          <t>Item</t>
        </is>
      </c>
      <c r="B31" s="63" t="n"/>
      <c r="C31" s="7" t="inlineStr">
        <is>
          <t>Why open</t>
        </is>
      </c>
      <c r="D31" s="7" t="inlineStr">
        <is>
          <t>Next step</t>
        </is>
      </c>
    </row>
    <row r="32" ht="28" customHeight="1">
      <c r="A32" s="14" t="inlineStr">
        <is>
          <t>Pay ranges and compa-ratios</t>
        </is>
      </c>
      <c r="B32" s="63" t="n"/>
      <c r="C32" s="9" t="inlineStr">
        <is>
          <t>No pay data supplied</t>
        </is>
      </c>
      <c r="D32" s="9" t="inlineStr">
        <is>
          <t>Buy one India survey; price each level by market code</t>
        </is>
      </c>
    </row>
    <row r="33" ht="28" customHeight="1">
      <c r="A33" s="14" t="inlineStr">
        <is>
          <t>Weight validation</t>
        </is>
      </c>
      <c r="B33" s="63" t="n"/>
      <c r="C33" s="9" t="inlineStr">
        <is>
          <t>Weights are judgement-based · stable under the sensitivity test</t>
        </is>
      </c>
      <c r="D33" s="9" t="inlineStr">
        <is>
          <t>Panel rates 20–30 anchor roles; freeze for the cycle</t>
        </is>
      </c>
    </row>
    <row r="34" ht="28" customHeight="1">
      <c r="A34" s="14" t="inlineStr">
        <is>
          <t>Manager-rated competencies</t>
        </is>
      </c>
      <c r="B34" s="63" t="n"/>
      <c r="C34" s="9" t="inlineStr">
        <is>
          <t>Today's competency ratings are indicative</t>
        </is>
      </c>
      <c r="D34" s="9" t="inlineStr">
        <is>
          <t>First manager-rated cycle</t>
        </is>
      </c>
    </row>
    <row r="35" ht="28" customHeight="1">
      <c r="A35" s="14" t="inlineStr">
        <is>
          <t>Business-head review and calibration</t>
        </is>
      </c>
      <c r="B35" s="63" t="n"/>
      <c r="C35" s="9" t="inlineStr">
        <is>
          <t>Editions not yet returned</t>
        </is>
      </c>
      <c r="D35" s="9" t="inlineStr">
        <is>
          <t>Import feedback; work the tracker; rebuild</t>
        </is>
      </c>
    </row>
  </sheetData>
  <mergeCells count="9">
    <mergeCell ref="A1:D1"/>
    <mergeCell ref="A33:B33"/>
    <mergeCell ref="A3:D3"/>
    <mergeCell ref="A30:D30"/>
    <mergeCell ref="A32:B32"/>
    <mergeCell ref="A2:D2"/>
    <mergeCell ref="A31:B31"/>
    <mergeCell ref="A34:B34"/>
    <mergeCell ref="A35:B35"/>
  </mergeCells>
  <hyperlinks>
    <hyperlink xmlns:r="http://schemas.openxmlformats.org/officeDocument/2006/relationships" ref="E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worksheet>
</file>

<file path=xl/worksheets/sheet9.xml><?xml version="1.0" encoding="utf-8"?>
<worksheet xmlns="http://schemas.openxmlformats.org/spreadsheetml/2006/main">
  <sheetPr>
    <tabColor rgb="001F3864"/>
    <outlinePr summaryBelow="1" summaryRight="1"/>
    <pageSetUpPr fitToPage="1"/>
  </sheetPr>
  <dimension ref="A1:E20"/>
  <sheetViews>
    <sheetView showGridLines="0" workbookViewId="0">
      <pane ySplit="4" topLeftCell="A5" activePane="bottomLeft" state="frozen"/>
      <selection pane="bottomLeft" activeCell="A1" sqref="A1"/>
    </sheetView>
  </sheetViews>
  <sheetFormatPr baseColWidth="8" defaultRowHeight="15"/>
  <cols>
    <col width="40" customWidth="1" min="1" max="1"/>
    <col width="22" customWidth="1" min="2" max="2"/>
    <col width="56" customWidth="1" min="3" max="3"/>
    <col width="26" customWidth="1" min="4" max="4"/>
    <col width="13" customWidth="1" min="5" max="5"/>
  </cols>
  <sheetData>
    <row r="1" ht="34" customHeight="1">
      <c r="A1" s="1" t="inlineStr">
        <is>
          <t>The files, who they are for, and how to keep them current</t>
        </is>
      </c>
      <c r="E1" s="99" t="inlineStr">
        <is>
          <t>◂ Contents</t>
        </is>
      </c>
    </row>
    <row r="2" ht="30" customHeight="1">
      <c r="A2" s="3" t="inlineStr">
        <is>
          <t>Sheet G · The file set by audience, what each holds, who may see it, and the commands to rebuild and check.</t>
        </is>
      </c>
    </row>
    <row r="3">
      <c r="A3" s="4" t="inlineStr">
        <is>
          <t>IRIS · Job Architecture &amp; Job Design · Final v1.12 · October 2026 · Internal — Confidential</t>
        </is>
      </c>
    </row>
    <row r="4"/>
    <row r="5" ht="15" customHeight="1">
      <c r="A5" s="7" t="inlineStr">
        <is>
          <t>File</t>
        </is>
      </c>
      <c r="B5" s="7" t="inlineStr">
        <is>
          <t>Audience</t>
        </is>
      </c>
      <c r="C5" s="7" t="inlineStr">
        <is>
          <t>What it holds</t>
        </is>
      </c>
      <c r="D5" s="7" t="inlineStr">
        <is>
          <t>Sharing</t>
        </is>
      </c>
    </row>
    <row r="6" ht="41" customHeight="1">
      <c r="A6" s="14" t="inlineStr">
        <is>
          <t>IRIS_JA_1_Leadership_Dashboard.xlsx</t>
        </is>
      </c>
      <c r="B6" s="9" t="inlineStr">
        <is>
          <t>CEO, executive committee</t>
        </is>
      </c>
      <c r="C6" s="9" t="inlineStr">
        <is>
          <r>
            <rPr>
              <rFont val="Calibri"/>
              <b val="1"/>
              <sz val="10"/>
            </rPr>
            <t>Counts and charts only:</t>
          </r>
          <r>
            <rPr>
              <rFont val="Calibri"/>
              <sz val="10"/>
            </rPr>
            <t xml:space="preserve"> shape, moves, the job architecture map, findings and recommendations, summary by product</t>
          </r>
        </is>
      </c>
      <c r="D6" s="9" t="inlineStr">
        <is>
          <t>Wide · no names</t>
        </is>
      </c>
    </row>
    <row r="7" ht="80" customHeight="1">
      <c r="A7" s="14" t="inlineStr">
        <is>
          <t>IRIS_JA_2_HR_Super_Master.xlsx</t>
        </is>
      </c>
      <c r="B7" s="9" t="inlineStr">
        <is>
          <t>HR</t>
        </is>
      </c>
      <c r="C7" s="9" t="inlineStr">
        <is>
          <r>
            <rPr>
              <rFont val="Calibri"/>
              <b val="1"/>
              <sz val="10"/>
            </rPr>
            <t>Everything, in one file:</t>
          </r>
          <r>
            <rPr>
              <rFont val="Calibri"/>
              <sz val="10"/>
            </rPr>
            <t xml:space="preserve"> every person · slim view, person card, full reasoning, detail sheets 3–11, insight sheets 12–17, the career ladder · 18, 18a–18c, the calibration tracker, and every sheet of the other files · L1–L12 leadership summaries, FA–FG and F0–F19 framework &amp; model, CP1–CP6 calibration panel</t>
          </r>
        </is>
      </c>
      <c r="D7" s="9" t="inlineStr">
        <is>
          <t>HR only</t>
        </is>
      </c>
    </row>
    <row r="8" ht="41" customHeight="1">
      <c r="A8" s="14" t="inlineStr">
        <is>
          <t>IRIS_JA_3_Framework_and_Model_Master.xlsx</t>
        </is>
      </c>
      <c r="B8" s="9" t="inlineStr">
        <is>
          <t>Everyone</t>
        </is>
      </c>
      <c r="C8" s="9" t="inlineStr">
        <is>
          <r>
            <rPr>
              <rFont val="Calibri"/>
              <b val="1"/>
              <sz val="10"/>
            </rPr>
            <t>This file:</t>
          </r>
          <r>
            <rPr>
              <rFont val="Calibri"/>
              <sz val="10"/>
            </rPr>
            <t xml:space="preserve"> what we did, the workflow, how the model works, the framework, the master, references, catalogue, career lanes</t>
          </r>
        </is>
      </c>
      <c r="D8" s="9" t="inlineStr">
        <is>
          <t>Wide · no names</t>
        </is>
      </c>
    </row>
    <row r="9" ht="41" customHeight="1">
      <c r="A9" s="14" t="inlineStr">
        <is>
          <t>IRIS_JA_4_Calibration_Panel_Pack.xlsx</t>
        </is>
      </c>
      <c r="B9" s="9" t="inlineStr">
        <is>
          <t>Calibration panel</t>
        </is>
      </c>
      <c r="C9" s="9" t="inlineStr">
        <is>
          <t>Anchor roles described by their work · titles hidden, two rater sheets, the comparison with the model and the decision on the weights</t>
        </is>
      </c>
      <c r="D9" s="9" t="inlineStr">
        <is>
          <t>Panel members and HR</t>
        </is>
      </c>
    </row>
    <row r="10" ht="54" customHeight="1">
      <c r="A10" s="14" t="inlineStr">
        <is>
          <t>IRIS_JA_5_Job_Family_and_Ladder_Master.xlsx</t>
        </is>
      </c>
      <c r="B10" s="9" t="inlineStr">
        <is>
          <t>HR, business heads, hiring managers</t>
        </is>
      </c>
      <c r="C10" s="9" t="inlineStr">
        <is>
          <r>
            <rPr>
              <rFont val="Calibri"/>
              <b val="1"/>
              <sz val="10"/>
            </rPr>
            <t>Standalone, no names:</t>
          </r>
          <r>
            <rPr>
              <rFont val="Calibri"/>
              <sz val="10"/>
            </rPr>
            <t xml:space="preserve"> every job family, sub-family and designation; family summary; per product the department → band → level ladder, competencies required and overlaps within the product and across IRIS</t>
          </r>
        </is>
      </c>
      <c r="D10" s="9" t="inlineStr">
        <is>
          <t>Wide · no names</t>
        </is>
      </c>
    </row>
    <row r="11" ht="28" customHeight="1">
      <c r="A11" s="14" t="inlineStr">
        <is>
          <t>Product_Masters/IRIS_JA_PM_0n_&lt;Product&gt;.xlsx</t>
        </is>
      </c>
      <c r="B11" s="9" t="inlineStr">
        <is>
          <t>HR, product leadership</t>
        </is>
      </c>
      <c r="C11" s="9" t="inlineStr">
        <is>
          <r>
            <rPr>
              <rFont val="Calibri"/>
              <b val="1"/>
              <sz val="10"/>
            </rPr>
            <t>The full master for one product:</t>
          </r>
          <r>
            <rPr>
              <rFont val="Calibri"/>
              <sz val="10"/>
            </rPr>
            <t xml:space="preserve"> every sheet of the super master for that product's people</t>
          </r>
        </is>
      </c>
      <c r="D11" s="9" t="inlineStr">
        <is>
          <t>Product head and HR</t>
        </is>
      </c>
    </row>
    <row r="12" ht="41" customHeight="1">
      <c r="A12" s="14" t="inlineStr">
        <is>
          <t>Product_Simplified/IRIS_JA_PS_0n_&lt;Product&gt;_Simplified.xlsx</t>
        </is>
      </c>
      <c r="B12" s="9" t="inlineStr">
        <is>
          <t>Business head</t>
        </is>
      </c>
      <c r="C12" s="9" t="inlineStr">
        <is>
          <t>Six sheets plus the Start page — the Weightage Matrix is the sixth: the numbers and charts, every placement with reasons, roles, decisions, the career ladder</t>
        </is>
      </c>
      <c r="D12" s="9" t="inlineStr">
        <is>
          <t>Product head and HR</t>
        </is>
      </c>
    </row>
    <row r="13" ht="28" customHeight="1">
      <c r="A13" s="14" t="inlineStr">
        <is>
          <t>Draft_Letters/IRIS_JA_Draft_Letters_0n_&lt;Product&gt;.docx</t>
        </is>
      </c>
      <c r="B13" s="9" t="inlineStr">
        <is>
          <t>HR</t>
        </is>
      </c>
      <c r="C13" s="9" t="inlineStr">
        <is>
          <t>One draft letter per employee, marked DRAFT — NOT FOR ISSUE</t>
        </is>
      </c>
      <c r="D13" s="9" t="inlineStr">
        <is>
          <t>HR only until sign-off</t>
        </is>
      </c>
    </row>
    <row r="14" ht="15" customHeight="1"/>
    <row r="15" ht="20" customHeight="1">
      <c r="A15" s="6" t="inlineStr">
        <is>
          <t>Keeping the files current</t>
        </is>
      </c>
    </row>
    <row r="16" ht="15" customHeight="1">
      <c r="A16" s="7" t="inlineStr">
        <is>
          <t>Task</t>
        </is>
      </c>
      <c r="B16" s="63" t="n"/>
      <c r="C16" s="7" t="inlineStr">
        <is>
          <t>How</t>
        </is>
      </c>
      <c r="D16" s="64" t="n"/>
      <c r="E16" s="63" t="n"/>
    </row>
    <row r="17" ht="28" customHeight="1">
      <c r="A17" s="14" t="inlineStr">
        <is>
          <t>Change a person's level, rating or data so it survives a rebuild</t>
        </is>
      </c>
      <c r="B17" s="63" t="n"/>
      <c r="C17" s="9" t="inlineStr">
        <is>
          <t>Add a row to build/inputs/overrides.csv, then rebuild</t>
        </is>
      </c>
      <c r="D17" s="64" t="n"/>
      <c r="E17" s="63" t="n"/>
    </row>
    <row r="18" ht="15" customHeight="1">
      <c r="A18" s="14" t="inlineStr">
        <is>
          <t>Bring in business-head responses</t>
        </is>
      </c>
      <c r="B18" s="63" t="n"/>
      <c r="C18" s="9" t="inlineStr">
        <is>
          <t>python3 build/import_feedback.py &lt;returned files&gt;, then rebuild</t>
        </is>
      </c>
      <c r="D18" s="64" t="n"/>
      <c r="E18" s="63" t="n"/>
    </row>
    <row r="19" ht="15" customHeight="1">
      <c r="A19" s="14" t="inlineStr">
        <is>
          <t>Rebuild everything</t>
        </is>
      </c>
      <c r="B19" s="63" t="n"/>
      <c r="C19" s="9" t="inlineStr">
        <is>
          <t>python3 build/final2.py · needs the six source workbooks and LibreOffice</t>
        </is>
      </c>
      <c r="D19" s="64" t="n"/>
      <c r="E19" s="63" t="n"/>
    </row>
    <row r="20" ht="15" customHeight="1">
      <c r="A20" s="14" t="inlineStr">
        <is>
          <t>Check everything</t>
        </is>
      </c>
      <c r="B20" s="63" t="n"/>
      <c r="C20" s="9" t="inlineStr">
        <is>
          <t>python3 build/verify.py · --quick skips the LibreOffice recalculation</t>
        </is>
      </c>
      <c r="D20" s="64" t="n"/>
      <c r="E20" s="63" t="n"/>
    </row>
  </sheetData>
  <mergeCells count="14">
    <mergeCell ref="C16:E16"/>
    <mergeCell ref="A1:D1"/>
    <mergeCell ref="A20:B20"/>
    <mergeCell ref="A16:B16"/>
    <mergeCell ref="C19:E19"/>
    <mergeCell ref="A19:B19"/>
    <mergeCell ref="A3:D3"/>
    <mergeCell ref="C18:E18"/>
    <mergeCell ref="A15:D15"/>
    <mergeCell ref="C17:E17"/>
    <mergeCell ref="A2:D2"/>
    <mergeCell ref="A17:B17"/>
    <mergeCell ref="A18:B18"/>
    <mergeCell ref="C20:E20"/>
  </mergeCells>
  <hyperlinks>
    <hyperlink xmlns:r="http://schemas.openxmlformats.org/officeDocument/2006/relationships" ref="E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worksheet>
</file>

<file path=xl/worksheets/sheet10.xml><?xml version="1.0" encoding="utf-8"?>
<worksheet xmlns="http://schemas.openxmlformats.org/spreadsheetml/2006/main">
  <sheetPr>
    <tabColor rgb="001F3864"/>
    <outlinePr summaryBelow="1" summaryRight="1"/>
    <pageSetUpPr fitToPage="1"/>
  </sheetPr>
  <dimension ref="A1:E51"/>
  <sheetViews>
    <sheetView showGridLines="0" workbookViewId="0">
      <pane ySplit="4" topLeftCell="A5" activePane="bottomLeft" state="frozen"/>
      <selection pane="bottomLeft" activeCell="A1" sqref="A1"/>
    </sheetView>
  </sheetViews>
  <sheetFormatPr baseColWidth="8" defaultRowHeight="15"/>
  <cols>
    <col width="7" customWidth="1" min="1" max="1"/>
    <col width="34" customWidth="1" min="2" max="2"/>
    <col width="78" customWidth="1" min="3" max="3"/>
    <col width="14" customWidth="1" min="4" max="4"/>
    <col width="13" customWidth="1" min="5" max="5"/>
  </cols>
  <sheetData>
    <row r="1" ht="34" customHeight="1">
      <c r="A1" s="1" t="inlineStr">
        <is>
          <t>IRIS Job Architecture — Framework and Structure Guide</t>
        </is>
      </c>
      <c r="E1" s="99" t="inlineStr">
        <is>
          <t>◂ Contents</t>
        </is>
      </c>
    </row>
    <row r="2" ht="32" customHeight="1">
      <c r="A2" s="3" t="inlineStr">
        <is>
          <r>
            <rPr>
              <rFont val="Calibri"/>
              <b val="1"/>
              <i val="1"/>
              <color rgb="00404040"/>
              <sz val="10"/>
            </rPr>
            <t>How the framework works, in the order it works:</t>
          </r>
          <r>
            <rPr>
              <rFont val="Calibri"/>
              <i val="1"/>
              <color rgb="00404040"/>
              <sz val="10"/>
            </rPr>
            <t xml:space="preserve"> principles → flow → architecture → levels → tracks and titles → factors → weights → score to level → competencies → every department's structure → career paths → governance. No person-level data: counts only.</t>
          </r>
        </is>
      </c>
    </row>
    <row r="3">
      <c r="A3" s="4" t="inlineStr">
        <is>
          <t>IRIS · Job Architecture &amp; Job Design · Final v1.12 · October 2026 · Internal — Confidential</t>
        </is>
      </c>
    </row>
    <row r="4"/>
    <row r="5" ht="20" customHeight="1">
      <c r="A5" s="6" t="inlineStr">
        <is>
          <t>Read in order</t>
        </is>
      </c>
    </row>
    <row r="6" ht="15" customHeight="1">
      <c r="A6" s="7" t="inlineStr">
        <is>
          <t>No.</t>
        </is>
      </c>
      <c r="B6" s="7" t="inlineStr">
        <is>
          <t>Sheet</t>
        </is>
      </c>
      <c r="C6" s="7" t="inlineStr">
        <is>
          <t>What it answers</t>
        </is>
      </c>
      <c r="D6" s="7" t="inlineStr">
        <is>
          <t>Open</t>
        </is>
      </c>
    </row>
    <row r="7" ht="15" customHeight="1">
      <c r="A7" s="8" t="n">
        <v>1</v>
      </c>
      <c r="B7" s="9" t="inlineStr">
        <is>
          <t>1. Principles</t>
        </is>
      </c>
      <c r="C7" s="9" t="inlineStr">
        <is>
          <t>Why the framework is built the way it is</t>
        </is>
      </c>
      <c r="D7" s="10" t="inlineStr">
        <is>
          <t>Go to →</t>
        </is>
      </c>
    </row>
    <row r="8" ht="15" customHeight="1">
      <c r="A8" s="8" t="n">
        <v>2</v>
      </c>
      <c r="B8" s="9" t="inlineStr">
        <is>
          <t>2. How It Works</t>
        </is>
      </c>
      <c r="C8" s="9" t="inlineStr">
        <is>
          <t>The end-to-end flow, step by step</t>
        </is>
      </c>
      <c r="D8" s="10" t="inlineStr">
        <is>
          <t>Go to →</t>
        </is>
      </c>
    </row>
    <row r="9" ht="15" customHeight="1">
      <c r="A9" s="8" t="n">
        <v>3</v>
      </c>
      <c r="B9" s="9" t="inlineStr">
        <is>
          <t>3. Architecture</t>
        </is>
      </c>
      <c r="C9" s="9" t="inlineStr">
        <is>
          <t>The hierarchy, its rules, and every job family</t>
        </is>
      </c>
      <c r="D9" s="10" t="inlineStr">
        <is>
          <t>Go to →</t>
        </is>
      </c>
    </row>
    <row r="10" ht="15" customHeight="1">
      <c r="A10" s="8" t="n">
        <v>4</v>
      </c>
      <c r="B10" s="9" t="inlineStr">
        <is>
          <t>4. Levels &amp; Bands</t>
        </is>
      </c>
      <c r="C10" s="9" t="inlineStr">
        <is>
          <t>What each level means, in full</t>
        </is>
      </c>
      <c r="D10" s="10" t="inlineStr">
        <is>
          <t>Go to →</t>
        </is>
      </c>
    </row>
    <row r="11" ht="15" customHeight="1">
      <c r="A11" s="8" t="n">
        <v>5</v>
      </c>
      <c r="B11" s="9" t="inlineStr">
        <is>
          <t>5. Tracks &amp; Titles</t>
        </is>
      </c>
      <c r="C11" s="9" t="inlineStr">
        <is>
          <t>Tracks, spans, title rules, and the designations in use</t>
        </is>
      </c>
      <c r="D11" s="10" t="inlineStr">
        <is>
          <t>Go to →</t>
        </is>
      </c>
    </row>
    <row r="12" ht="15" customHeight="1">
      <c r="A12" s="8" t="n">
        <v>6</v>
      </c>
      <c r="B12" s="9" t="inlineStr">
        <is>
          <t>6. Factors &amp; Ratings</t>
        </is>
      </c>
      <c r="C12" s="9" t="inlineStr">
        <is>
          <t>The six factors, the scale and how a rating is set</t>
        </is>
      </c>
      <c r="D12" s="10" t="inlineStr">
        <is>
          <t>Go to →</t>
        </is>
      </c>
    </row>
    <row r="13" ht="15" customHeight="1">
      <c r="A13" s="8" t="n">
        <v>7</v>
      </c>
      <c r="B13" s="9" t="inlineStr">
        <is>
          <t>7. Weights</t>
        </is>
      </c>
      <c r="C13" s="9" t="inlineStr">
        <is>
          <t>Base weights, tilts, and all 64 weight sets</t>
        </is>
      </c>
      <c r="D13" s="10" t="inlineStr">
        <is>
          <t>Go to →</t>
        </is>
      </c>
    </row>
    <row r="14" ht="15" customHeight="1">
      <c r="A14" s="8" t="n">
        <v>8</v>
      </c>
      <c r="B14" s="9" t="inlineStr">
        <is>
          <t>8. Score → Level</t>
        </is>
      </c>
      <c r="C14" s="9" t="inlineStr">
        <is>
          <t>How the score becomes the final level, with worked examples</t>
        </is>
      </c>
      <c r="D14" s="10" t="inlineStr">
        <is>
          <t>Go to →</t>
        </is>
      </c>
    </row>
    <row r="15" ht="15" customHeight="1">
      <c r="A15" s="8" t="n">
        <v>9</v>
      </c>
      <c r="B15" s="9" t="inlineStr">
        <is>
          <t>9. Competencies</t>
        </is>
      </c>
      <c r="C15" s="9" t="inlineStr">
        <is>
          <t>Clusters, proficiency scale, required proficiency and scoring</t>
        </is>
      </c>
      <c r="D15" s="10" t="inlineStr">
        <is>
          <t>Go to →</t>
        </is>
      </c>
    </row>
    <row r="16" ht="15" customHeight="1">
      <c r="A16" s="8" t="n">
        <v>10</v>
      </c>
      <c r="B16" s="9" t="inlineStr">
        <is>
          <t>10. Department Structures</t>
        </is>
      </c>
      <c r="C16" s="9" t="inlineStr">
        <is>
          <t>How each department is structured</t>
        </is>
      </c>
      <c r="D16" s="10" t="inlineStr">
        <is>
          <t>Go to →</t>
        </is>
      </c>
    </row>
    <row r="17" ht="15" customHeight="1">
      <c r="A17" s="8" t="n">
        <v>11</v>
      </c>
      <c r="B17" s="9" t="inlineStr">
        <is>
          <t>11. Career Paths</t>
        </is>
      </c>
      <c r="C17" s="9" t="inlineStr">
        <is>
          <t>Promotion, track and lateral-move rules, and every family's ladder</t>
        </is>
      </c>
      <c r="D17" s="10" t="inlineStr">
        <is>
          <t>Go to →</t>
        </is>
      </c>
    </row>
    <row r="18" ht="28" customHeight="1">
      <c r="A18" s="8" t="n">
        <v>12</v>
      </c>
      <c r="B18" s="9" t="inlineStr">
        <is>
          <t>12. Governance &amp; Change</t>
        </is>
      </c>
      <c r="C18" s="9" t="inlineStr">
        <is>
          <t>Ownership, validation, data rules, pay principles and how to change the model</t>
        </is>
      </c>
      <c r="D18" s="10" t="inlineStr">
        <is>
          <t>Go to →</t>
        </is>
      </c>
    </row>
    <row r="19" ht="15" customHeight="1">
      <c r="A19" s="8" t="n">
        <v>13</v>
      </c>
      <c r="B19" s="9" t="inlineStr">
        <is>
          <t>13. Glossary</t>
        </is>
      </c>
      <c r="C19" s="9" t="inlineStr">
        <is>
          <t>What every term means</t>
        </is>
      </c>
      <c r="D19" s="10" t="inlineStr">
        <is>
          <t>Go to →</t>
        </is>
      </c>
    </row>
    <row r="20" ht="15" customHeight="1"/>
    <row r="21" ht="20" customHeight="1">
      <c r="A21" s="6" t="inlineStr">
        <is>
          <t>The model in one line</t>
        </is>
      </c>
    </row>
    <row r="22" ht="41" customHeight="1">
      <c r="A22" s="11" t="inlineStr">
        <is>
          <t>Classify the work · family, sub-family, type of work → choose the track → rate six factors on the ladder scale → weight them from the department's row on the Weightage Matrix → score → apply ten rules in order → final level and title → benchmark to market → required competencies → development → validation and governance.</t>
        </is>
      </c>
    </row>
    <row r="23" ht="15" customHeight="1"/>
    <row r="24" ht="20" customHeight="1">
      <c r="A24" s="6" t="inlineStr">
        <is>
          <t>How a role's level is worked out — in four steps · the detail is on sheets 6–8</t>
        </is>
      </c>
    </row>
    <row r="25" ht="28" customHeight="1">
      <c r="A25" s="12" t="inlineStr">
        <is>
          <t>The score measures the size of the role, not how well the person performs, and it is not linked to pay. It uses the same scale as the ladder · A1 = 1, A2 = 2 … B1 = 4 … E2 = 12, so a score reads as a level.</t>
        </is>
      </c>
    </row>
    <row r="26" ht="15" customHeight="1">
      <c r="A26" s="7" t="inlineStr">
        <is>
          <t>Step</t>
        </is>
      </c>
      <c r="B26" s="7" t="inlineStr">
        <is>
          <t>What happens</t>
        </is>
      </c>
      <c r="C26" s="7" t="inlineStr">
        <is>
          <t>In plain words</t>
        </is>
      </c>
      <c r="D26" s="63" t="n"/>
    </row>
    <row r="27" ht="106" customHeight="1">
      <c r="A27" s="14" t="inlineStr">
        <is>
          <t>1 · Rate</t>
        </is>
      </c>
      <c r="B27" s="9" t="inlineStr">
        <is>
          <r>
            <rPr>
              <rFont val="Calibri"/>
              <b val="1"/>
              <sz val="10"/>
            </rPr>
            <t>Six factors are each rated:</t>
          </r>
          <r>
            <rPr>
              <rFont val="Calibri"/>
              <sz val="10"/>
            </rPr>
            <t xml:space="preserve"> Complexity, Autonomy, Accountability, Leadership, Experience &amp; Qualification, Business Impact. Each rating starts from the designation and reporting line; survey or KRA evidence can move it by up to one level.</t>
          </r>
        </is>
      </c>
      <c r="C27" s="9" t="inlineStr">
        <is>
          <t>How hard the work is, how freely the person decides, what the role answers for, how much it leads others, the experience it needs and its impact on the business.</t>
        </is>
      </c>
      <c r="D27" s="63" t="n"/>
    </row>
    <row r="28" ht="80" customHeight="1">
      <c r="A28" s="14" t="inlineStr">
        <is>
          <t>2 · Weigh</t>
        </is>
      </c>
      <c r="B28" s="9" t="inlineStr">
        <is>
          <t>Each factor has a weight; the six weights add to 100%. They depend on the band and track and the department's type of work, and leaders can edit them on the Weightage Matrix.</t>
        </is>
      </c>
      <c r="C28" s="9" t="inlineStr">
        <is>
          <t>Junior roles count the work itself most · Leadership counts 0% in Band A. Senior roles count accountability, leadership and business impact most. Experience counts little.</t>
        </is>
      </c>
      <c r="D28" s="63" t="n"/>
    </row>
    <row r="29" ht="54" customHeight="1">
      <c r="A29" s="14" t="inlineStr">
        <is>
          <t>3 · Score</t>
        </is>
      </c>
      <c r="B29" s="9" t="inlineStr">
        <is>
          <t>Score = the six ratings × their weights, added up. Rounded to the nearest whole number ·.5 rounds up, it gives the indicated level.</t>
        </is>
      </c>
      <c r="C29" s="9" t="inlineStr">
        <is>
          <t>A weighted average rating — so 4.73 means 'between B1 and B2, nearer B2', which rounds to B2.</t>
        </is>
      </c>
      <c r="D29" s="63" t="n"/>
    </row>
    <row r="30" ht="106" customHeight="1">
      <c r="A30" s="14" t="inlineStr">
        <is>
          <t>4 · Check</t>
        </is>
      </c>
      <c r="B30" s="9" t="inlineStr">
        <is>
          <r>
            <rPr>
              <rFont val="Calibri"/>
              <b val="1"/>
              <sz val="10"/>
            </rPr>
            <t>Rules confirm or adjust the indicated level:</t>
          </r>
          <r>
            <rPr>
              <rFont val="Calibri"/>
              <sz val="10"/>
            </rPr>
            <t xml:space="preserve"> the work itself must support it, senior levels need the structure in the org chart, experience limits apply in Bands A–B, POD Leads and managers start at B1, and Player-Coaches can sit on a Player-Coach transition step.</t>
          </r>
        </is>
      </c>
      <c r="C30" s="9" t="inlineStr">
        <is>
          <t>The score proposes; the rules make sure the role really carries that level. Any change is named, with its numbers, on sheet 2 of the HR Super Master.</t>
        </is>
      </c>
      <c r="D30" s="63" t="n"/>
    </row>
    <row r="31" ht="15" customHeight="1"/>
    <row r="32" ht="28" customHeight="1">
      <c r="A32" s="16" t="inlineStr">
        <is>
          <t>Worked example · invented numbers — a Band B individual contributor doing technology work: 5 × 56% + 4 × 17% + 5 × 5% + 3 × 5% + 5 × 10% + 5 × 7% = 4.73 → B2.</t>
        </is>
      </c>
    </row>
    <row r="33" ht="15" customHeight="1"/>
    <row r="34" ht="15" customHeight="1">
      <c r="A34" s="16" t="inlineStr">
        <is>
          <t>What the numbers mean — all businesses</t>
        </is>
      </c>
    </row>
    <row r="35" ht="15" customHeight="1">
      <c r="A35" s="7" t="inlineStr">
        <is>
          <t>Term</t>
        </is>
      </c>
      <c r="B35" s="63" t="n"/>
      <c r="C35" s="7" t="inlineStr">
        <is>
          <t>Meaning</t>
        </is>
      </c>
      <c r="D35" s="7" t="inlineStr">
        <is>
          <t>People</t>
        </is>
      </c>
    </row>
    <row r="36" ht="15" customHeight="1">
      <c r="A36" s="14" t="inlineStr">
        <is>
          <t>Score</t>
        </is>
      </c>
      <c r="B36" s="63" t="n"/>
      <c r="C36" s="9" t="inlineStr">
        <is>
          <t>The size of the role in level units. Not performance, not pay.</t>
        </is>
      </c>
      <c r="D36" s="8" t="n">
        <v>540</v>
      </c>
    </row>
    <row r="37" ht="15" customHeight="1">
      <c r="A37" s="14" t="inlineStr">
        <is>
          <t>Indicated level</t>
        </is>
      </c>
      <c r="B37" s="63" t="n"/>
      <c r="C37" s="9" t="inlineStr">
        <is>
          <t>The score rounded to the nearest level.</t>
        </is>
      </c>
      <c r="D37" s="8" t="n">
        <v>540</v>
      </c>
    </row>
    <row r="38" ht="28" customHeight="1">
      <c r="A38" s="14" t="inlineStr">
        <is>
          <t>Final level</t>
        </is>
      </c>
      <c r="B38" s="63" t="n"/>
      <c r="C38" s="9" t="inlineStr">
        <is>
          <t>The level after the rules. Where it differs from the indicated level, a rule moved it and the reason is recorded.</t>
        </is>
      </c>
      <c r="D38" s="8" t="inlineStr">
        <is>
          <t>134 differ</t>
        </is>
      </c>
    </row>
    <row r="39" ht="28" customHeight="1">
      <c r="A39" s="14" t="inlineStr">
        <is>
          <t>Close call</t>
        </is>
      </c>
      <c r="B39" s="63" t="n"/>
      <c r="C39" s="9" t="inlineStr">
        <is>
          <t>The score decided the level and sits within ±0.05 of a rounding point. Sent to the calibration panel.</t>
        </is>
      </c>
      <c r="D39" s="8" t="n">
        <v>38</v>
      </c>
    </row>
    <row r="40" ht="28" customHeight="1">
      <c r="A40" s="14" t="inlineStr">
        <is>
          <t>Near a gate</t>
        </is>
      </c>
      <c r="B40" s="63" t="n"/>
      <c r="C40" s="9" t="inlineStr">
        <is>
          <t>A rule set the level, and the number behind that rule is within a quarter-point of flipping it. Sent to the calibration panel.</t>
        </is>
      </c>
      <c r="D40" s="8" t="n">
        <v>30</v>
      </c>
    </row>
    <row r="41" ht="28" customHeight="1">
      <c r="A41" s="14" t="inlineStr">
        <is>
          <t>Not scored</t>
        </is>
      </c>
      <c r="B41" s="63" t="n"/>
      <c r="C41" s="9" t="inlineStr">
        <is>
          <t>Interns and first-year trainees, consultants and anyone with incomplete ratings are placed by rule.</t>
        </is>
      </c>
      <c r="D41" s="8" t="n">
        <v>46</v>
      </c>
    </row>
    <row r="42" ht="15" customHeight="1"/>
    <row r="43" ht="20" customHeight="1">
      <c r="A43" s="6" t="inlineStr">
        <is>
          <t>Companion files</t>
        </is>
      </c>
    </row>
    <row r="44" ht="15" customHeight="1">
      <c r="A44" s="7" t="inlineStr">
        <is>
          <t>File</t>
        </is>
      </c>
      <c r="B44" s="63" t="n"/>
      <c r="C44" s="7" t="inlineStr">
        <is>
          <t>What it holds</t>
        </is>
      </c>
      <c r="D44" s="63" t="n"/>
    </row>
    <row r="45" ht="28" customHeight="1">
      <c r="A45" s="14" t="inlineStr">
        <is>
          <t>IRIS_JA_1_Leadership_Dashboard.xlsx</t>
        </is>
      </c>
      <c r="B45" s="63" t="n"/>
      <c r="C45" s="9" t="inlineStr">
        <is>
          <r>
            <rPr>
              <rFont val="Calibri"/>
              <b val="1"/>
              <sz val="10"/>
            </rPr>
            <t>Counts only:</t>
          </r>
          <r>
            <rPr>
              <rFont val="Calibri"/>
              <sz val="10"/>
            </rPr>
            <t xml:space="preserve"> charts, org health and insights, then families, sub-families and levels by product</t>
          </r>
        </is>
      </c>
      <c r="D45" s="63" t="n"/>
    </row>
    <row r="46" ht="54" customHeight="1">
      <c r="A46" s="14" t="inlineStr">
        <is>
          <t>IRIS_JA_2_HR_Super_Master.xlsx</t>
        </is>
      </c>
      <c r="B46" s="63" t="n"/>
      <c r="C46" s="9" t="inlineStr">
        <is>
          <r>
            <rPr>
              <rFont val="Calibri"/>
              <b val="1"/>
              <sz val="10"/>
            </rPr>
            <t>Everything, in one file:</t>
          </r>
          <r>
            <rPr>
              <rFont val="Calibri"/>
              <sz val="10"/>
            </rPr>
            <t xml:space="preserve"> every person · slim view, person card, full reasoning, detail sheets 3–11, insight sheets 12–17, the career ladder · 18, 18a–18c, the calibration tracker, and every sheet of the other files · L1–L12 leadership summaries, FA–FG and F0–F19 framework &amp; model, CP1–CP6 calibration panel</t>
          </r>
        </is>
      </c>
      <c r="D46" s="63" t="n"/>
    </row>
    <row r="47" ht="28" customHeight="1">
      <c r="A47" s="14" t="inlineStr">
        <is>
          <t>IRIS_JA_3_Framework_and_Model_Master.xlsx</t>
        </is>
      </c>
      <c r="B47" s="63" t="n"/>
      <c r="C47" s="9" t="inlineStr">
        <is>
          <r>
            <rPr>
              <rFont val="Calibri"/>
              <b val="1"/>
              <sz val="10"/>
            </rPr>
            <t>This file:</t>
          </r>
          <r>
            <rPr>
              <rFont val="Calibri"/>
              <sz val="10"/>
            </rPr>
            <t xml:space="preserve"> what we did, the workflow, how the model works, the framework, the master, references, the role catalogue and career lanes</t>
          </r>
        </is>
      </c>
      <c r="D47" s="63" t="n"/>
    </row>
    <row r="48" ht="15" customHeight="1">
      <c r="A48" s="14" t="inlineStr">
        <is>
          <t>IRIS_JA_4_Calibration_Panel_Pack.xlsx</t>
        </is>
      </c>
      <c r="B48" s="63" t="n"/>
      <c r="C48" s="9" t="inlineStr">
        <is>
          <t>Anchor roles, two rater sheets and the comparison with the model, to confirm the weights</t>
        </is>
      </c>
      <c r="D48" s="63" t="n"/>
    </row>
    <row r="49" ht="28" customHeight="1">
      <c r="A49" s="14" t="inlineStr">
        <is>
          <t>Product_Masters/IRIS_JA_PM_0n_&lt;product&gt;.xlsx</t>
        </is>
      </c>
      <c r="B49" s="63" t="n"/>
      <c r="C49" s="9" t="inlineStr">
        <is>
          <t>The full master for one product</t>
        </is>
      </c>
      <c r="D49" s="63" t="n"/>
    </row>
    <row r="50" ht="41" customHeight="1">
      <c r="A50" s="14" t="inlineStr">
        <is>
          <t>IRIS_JA_5_Job_Family_and_Ladder_Master.xlsx</t>
        </is>
      </c>
      <c r="B50" s="63" t="n"/>
      <c r="C50" s="9" t="inlineStr">
        <is>
          <r>
            <rPr>
              <rFont val="Calibri"/>
              <b val="1"/>
              <sz val="10"/>
            </rPr>
            <t>Standalone, no names:</t>
          </r>
          <r>
            <rPr>
              <rFont val="Calibri"/>
              <sz val="10"/>
            </rPr>
            <t xml:space="preserve"> every job family, sub-family and designation; family summary; per product the department → band → level ladder, competencies required and overlaps within the product and across IRIS</t>
          </r>
        </is>
      </c>
      <c r="D50" s="63" t="n"/>
    </row>
    <row r="51" ht="28" customHeight="1">
      <c r="A51" s="14" t="inlineStr">
        <is>
          <t>Product_Simplified/IRIS_JA_PS_0n_&lt;product&gt;_Simplified.xlsx</t>
        </is>
      </c>
      <c r="B51" s="63" t="n"/>
      <c r="C51" s="9" t="inlineStr">
        <is>
          <r>
            <rPr>
              <rFont val="Calibri"/>
              <b val="1"/>
              <sz val="10"/>
            </rPr>
            <t>Six sheets per product for its head, plus the Start page:</t>
          </r>
          <r>
            <rPr>
              <rFont val="Calibri"/>
              <sz val="10"/>
            </rPr>
            <t xml:space="preserve"> the weightage matrix as the sixth; the numbers, every placement, the roles, the decisions, the career ladder</t>
          </r>
        </is>
      </c>
      <c r="D51" s="63" t="n"/>
    </row>
  </sheetData>
  <mergeCells count="39">
    <mergeCell ref="A5:D5"/>
    <mergeCell ref="A48:B48"/>
    <mergeCell ref="C30:D30"/>
    <mergeCell ref="A22:D22"/>
    <mergeCell ref="A49:B49"/>
    <mergeCell ref="A51:B51"/>
    <mergeCell ref="A45:B45"/>
    <mergeCell ref="A36:B36"/>
    <mergeCell ref="C45:D45"/>
    <mergeCell ref="A43:D43"/>
    <mergeCell ref="C26:D26"/>
    <mergeCell ref="C29:D29"/>
    <mergeCell ref="C47:D47"/>
    <mergeCell ref="A34:D34"/>
    <mergeCell ref="A41:B41"/>
    <mergeCell ref="A37:B37"/>
    <mergeCell ref="A46:B46"/>
    <mergeCell ref="C50:D50"/>
    <mergeCell ref="C44:D44"/>
    <mergeCell ref="A24:D24"/>
    <mergeCell ref="A50:B50"/>
    <mergeCell ref="A1:D1"/>
    <mergeCell ref="C46:D46"/>
    <mergeCell ref="C51:D51"/>
    <mergeCell ref="C27:D27"/>
    <mergeCell ref="A47:B47"/>
    <mergeCell ref="A25:D25"/>
    <mergeCell ref="C48:D48"/>
    <mergeCell ref="A35:B35"/>
    <mergeCell ref="A38:B38"/>
    <mergeCell ref="A3:D3"/>
    <mergeCell ref="A21:D21"/>
    <mergeCell ref="C28:D28"/>
    <mergeCell ref="A44:B44"/>
    <mergeCell ref="A2:D2"/>
    <mergeCell ref="A40:B40"/>
    <mergeCell ref="A32:D32"/>
    <mergeCell ref="A39:B39"/>
    <mergeCell ref="C49:D49"/>
  </mergeCells>
  <hyperlinks>
    <hyperlink xmlns:r="http://schemas.openxmlformats.org/officeDocument/2006/relationships" ref="E1" r:id="rId1"/>
    <hyperlink xmlns:r="http://schemas.openxmlformats.org/officeDocument/2006/relationships" ref="D7" r:id="rId2"/>
    <hyperlink xmlns:r="http://schemas.openxmlformats.org/officeDocument/2006/relationships" ref="D8" r:id="rId3"/>
    <hyperlink xmlns:r="http://schemas.openxmlformats.org/officeDocument/2006/relationships" ref="D9" r:id="rId4"/>
    <hyperlink xmlns:r="http://schemas.openxmlformats.org/officeDocument/2006/relationships" ref="D10" r:id="rId5"/>
    <hyperlink xmlns:r="http://schemas.openxmlformats.org/officeDocument/2006/relationships" ref="D11" r:id="rId6"/>
    <hyperlink xmlns:r="http://schemas.openxmlformats.org/officeDocument/2006/relationships" ref="D12" r:id="rId7"/>
    <hyperlink xmlns:r="http://schemas.openxmlformats.org/officeDocument/2006/relationships" ref="D13" r:id="rId8"/>
    <hyperlink xmlns:r="http://schemas.openxmlformats.org/officeDocument/2006/relationships" ref="D14" r:id="rId9"/>
    <hyperlink xmlns:r="http://schemas.openxmlformats.org/officeDocument/2006/relationships" ref="D15" r:id="rId10"/>
    <hyperlink xmlns:r="http://schemas.openxmlformats.org/officeDocument/2006/relationships" ref="D16" r:id="rId11"/>
    <hyperlink xmlns:r="http://schemas.openxmlformats.org/officeDocument/2006/relationships" ref="D17" r:id="rId12"/>
    <hyperlink xmlns:r="http://schemas.openxmlformats.org/officeDocument/2006/relationships" ref="D18" r:id="rId13"/>
    <hyperlink xmlns:r="http://schemas.openxmlformats.org/officeDocument/2006/relationships" ref="D19" r:id="rId14"/>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worksheet>
</file>

<file path=xl/worksheets/sheet11.xml><?xml version="1.0" encoding="utf-8"?>
<worksheet xmlns="http://schemas.openxmlformats.org/spreadsheetml/2006/main">
  <sheetPr>
    <tabColor rgb="001F3864"/>
    <outlinePr summaryBelow="1" summaryRight="1"/>
    <pageSetUpPr fitToPage="1"/>
  </sheetPr>
  <dimension ref="A1:E18"/>
  <sheetViews>
    <sheetView showGridLines="0" workbookViewId="0">
      <pane ySplit="4" topLeftCell="A5" activePane="bottomLeft" state="frozen"/>
      <selection pane="bottomLeft" activeCell="A1" sqref="A1"/>
    </sheetView>
  </sheetViews>
  <sheetFormatPr baseColWidth="8" defaultRowHeight="15"/>
  <cols>
    <col width="8" customWidth="1" min="1" max="1"/>
    <col width="34" customWidth="1" min="2" max="2"/>
    <col width="76" customWidth="1" min="3" max="3"/>
    <col width="22" customWidth="1" min="4" max="4"/>
    <col width="13" customWidth="1" min="5" max="5"/>
  </cols>
  <sheetData>
    <row r="1" ht="34" customHeight="1">
      <c r="A1" s="1" t="inlineStr">
        <is>
          <t>1 · Design principles — the rules behind every other rule</t>
        </is>
      </c>
      <c r="E1" s="99" t="inlineStr">
        <is>
          <t>◂ Contents</t>
        </is>
      </c>
    </row>
    <row r="2" ht="30" customHeight="1">
      <c r="A2" s="3" t="inlineStr">
        <is>
          <t>Twelve principles decide every design choice in the framework. When a case is unclear, these settle it.</t>
        </is>
      </c>
    </row>
    <row r="3">
      <c r="A3" s="4" t="inlineStr">
        <is>
          <t>IRIS · Job Architecture &amp; Job Design · Final v1.12 · October 2026 · Internal — Confidential</t>
        </is>
      </c>
    </row>
    <row r="4"/>
    <row r="5" ht="20" customHeight="1">
      <c r="A5" s="6" t="inlineStr">
        <is>
          <t>The twelve principles</t>
        </is>
      </c>
    </row>
    <row r="6" ht="15" customHeight="1">
      <c r="A6" s="7" t="inlineStr">
        <is>
          <t>ID</t>
        </is>
      </c>
      <c r="B6" s="7" t="inlineStr">
        <is>
          <t>Principle</t>
        </is>
      </c>
      <c r="C6" s="7" t="inlineStr">
        <is>
          <t>What it means in practice</t>
        </is>
      </c>
      <c r="D6" s="7" t="inlineStr">
        <is>
          <t>Sources</t>
        </is>
      </c>
    </row>
    <row r="7" ht="28" customHeight="1">
      <c r="A7" s="17" t="inlineStr">
        <is>
          <t>P1</t>
        </is>
      </c>
      <c r="B7" s="9" t="inlineStr">
        <is>
          <t>Size the role, not the person</t>
        </is>
      </c>
      <c r="C7" s="9" t="inlineStr">
        <is>
          <t>The level measures the work the role carries. Tenure, title and pay history do not decide it.</t>
        </is>
      </c>
      <c r="D7" s="9" t="inlineStr">
        <is>
          <t>S04, S05, S07</t>
        </is>
      </c>
    </row>
    <row r="8" ht="28" customHeight="1">
      <c r="A8" s="17" t="inlineStr">
        <is>
          <t>P2</t>
        </is>
      </c>
      <c r="B8" s="9" t="inlineStr">
        <is>
          <t>One ladder for every family</t>
        </is>
      </c>
      <c r="C8" s="9" t="inlineStr">
        <is>
          <t>All families share the same 12 levels, so an A3 in Finance is the same size as an A3 in Engineering.</t>
        </is>
      </c>
      <c r="D8" s="9" t="inlineStr">
        <is>
          <t>S01, S02, S03</t>
        </is>
      </c>
    </row>
    <row r="9" ht="28" customHeight="1">
      <c r="A9" s="17" t="inlineStr">
        <is>
          <t>P3</t>
        </is>
      </c>
      <c r="B9" s="9" t="inlineStr">
        <is>
          <t>Two equal career tracks</t>
        </is>
      </c>
      <c r="C9" s="9" t="inlineStr">
        <is>
          <t>Individual Contributors and People Managers progress at equal grades from B1. Experts do not have to manage to grow.</t>
        </is>
      </c>
      <c r="D9" s="9" t="inlineStr">
        <is>
          <t>S01, S03, S07, S37</t>
        </is>
      </c>
    </row>
    <row r="10" ht="28" customHeight="1">
      <c r="A10" s="17" t="inlineStr">
        <is>
          <t>P4</t>
        </is>
      </c>
      <c r="B10" s="9" t="inlineStr">
        <is>
          <t>Few, meaningful levels</t>
        </is>
      </c>
      <c r="C10" s="9" t="inlineStr">
        <is>
          <t>12 employee levels for c. 590 people. Each level is a distinct step in scope.</t>
        </is>
      </c>
      <c r="D10" s="9" t="inlineStr">
        <is>
          <t>S10, S07, S37</t>
        </is>
      </c>
    </row>
    <row r="11" ht="28" customHeight="1">
      <c r="A11" s="17" t="inlineStr">
        <is>
          <t>P5</t>
        </is>
      </c>
      <c r="B11" s="9" t="inlineStr">
        <is>
          <t>Seniority shifts weight from know-how to accountability</t>
        </is>
      </c>
      <c r="C11" s="9" t="inlineStr">
        <is>
          <t>Lower levels are judged mainly on knowledge and skill, higher levels on what they answer for.</t>
        </is>
      </c>
      <c r="D11" s="9" t="inlineStr">
        <is>
          <t>S05, S04</t>
        </is>
      </c>
    </row>
    <row r="12" ht="28" customHeight="1">
      <c r="A12" s="17" t="inlineStr">
        <is>
          <t>P6</t>
        </is>
      </c>
      <c r="B12" s="9" t="inlineStr">
        <is>
          <t>The type of work shapes the profile</t>
        </is>
      </c>
      <c r="C12" s="9" t="inlineStr">
        <is>
          <t>Thinking-led · P, balanced · L and results-led · A work weight the factors differently.</t>
        </is>
      </c>
      <c r="D12" s="9" t="inlineStr">
        <is>
          <t>S06</t>
        </is>
      </c>
    </row>
    <row r="13" ht="54" customHeight="1">
      <c r="A13" s="17" t="inlineStr">
        <is>
          <t>P7</t>
        </is>
      </c>
      <c r="B13" s="9" t="inlineStr">
        <is>
          <t>Experience informs, never decides</t>
        </is>
      </c>
      <c r="C13" s="9" t="inlineStr">
        <is>
          <r>
            <rPr>
              <rFont val="Calibri"/>
              <b val="1"/>
              <sz val="10"/>
            </rPr>
            <t>Experience is one factor of six and is weighted low:</t>
          </r>
          <r>
            <rPr>
              <rFont val="Calibri"/>
              <sz val="10"/>
            </rPr>
            <t xml:space="preserve"> 10% in Bands A–B, 5% in Bands C–E, plus 5 in corporate functions where a professional qualification is the requirement. It can lift a level by one at most, and never past what the role shows.</t>
          </r>
        </is>
      </c>
      <c r="D13" s="9" t="inlineStr">
        <is>
          <t>S05, S01</t>
        </is>
      </c>
    </row>
    <row r="14" ht="28" customHeight="1">
      <c r="A14" s="17" t="inlineStr">
        <is>
          <t>P8</t>
        </is>
      </c>
      <c r="B14" s="9" t="inlineStr">
        <is>
          <t>Structure proves management</t>
        </is>
      </c>
      <c r="C14" s="9" t="inlineStr">
        <is>
          <t>The manager track needs formal reports and most of the time spent managing.</t>
        </is>
      </c>
      <c r="D14" s="9" t="inlineStr">
        <is>
          <t>S03, S09</t>
        </is>
      </c>
    </row>
    <row r="15" ht="28" customHeight="1">
      <c r="A15" s="17" t="inlineStr">
        <is>
          <t>P9</t>
        </is>
      </c>
      <c r="B15" s="9" t="inlineStr">
        <is>
          <t>Evidence before title</t>
        </is>
      </c>
      <c r="C15" s="9" t="inlineStr">
        <is>
          <t>Every rating starts from the designation and reporting line and moves only on survey / KRA evidence.</t>
        </is>
      </c>
      <c r="D15" s="9" t="inlineStr">
        <is>
          <t>S08, S41, S42</t>
        </is>
      </c>
    </row>
    <row r="16" ht="28" customHeight="1">
      <c r="A16" s="17" t="inlineStr">
        <is>
          <t>P10</t>
        </is>
      </c>
      <c r="B16" s="9" t="inlineStr">
        <is>
          <t>Levels say how big; competencies say how well</t>
        </is>
      </c>
      <c r="C16" s="9" t="inlineStr">
        <is>
          <t>The level sizes the role; the competency profile defines the capability expected in it.</t>
        </is>
      </c>
      <c r="D16" s="9" t="inlineStr">
        <is>
          <t>S08, S14, S15</t>
        </is>
      </c>
    </row>
    <row r="17" ht="28" customHeight="1">
      <c r="A17" s="17" t="inlineStr">
        <is>
          <t>P11</t>
        </is>
      </c>
      <c r="B17" s="9" t="inlineStr">
        <is>
          <t>Anchored to the market</t>
        </is>
      </c>
      <c r="C17" s="9" t="inlineStr">
        <is>
          <t>Every level maps to Radford / Mercer codes and to peer ladders, so pay can be benchmarked.</t>
        </is>
      </c>
      <c r="D17" s="9" t="inlineStr">
        <is>
          <t>S01, S02, S30–S36</t>
        </is>
      </c>
    </row>
    <row r="18" ht="28" customHeight="1">
      <c r="A18" s="17" t="inlineStr">
        <is>
          <t>P12</t>
        </is>
      </c>
      <c r="B18" s="9" t="inlineStr">
        <is>
          <t>Traceable and governed</t>
        </is>
      </c>
      <c r="C18" s="9" t="inlineStr">
        <is>
          <t>Every decision cites rule IDs and every element cites a source. The framework is reviewed every year.</t>
        </is>
      </c>
      <c r="D18" s="9" t="inlineStr">
        <is>
          <t>—</t>
        </is>
      </c>
    </row>
  </sheetData>
  <mergeCells count="4">
    <mergeCell ref="A1:D1"/>
    <mergeCell ref="A5:D5"/>
    <mergeCell ref="A3:D3"/>
    <mergeCell ref="A2:D2"/>
  </mergeCells>
  <hyperlinks>
    <hyperlink xmlns:r="http://schemas.openxmlformats.org/officeDocument/2006/relationships" ref="E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worksheet>
</file>

<file path=xl/worksheets/sheet12.xml><?xml version="1.0" encoding="utf-8"?>
<worksheet xmlns="http://schemas.openxmlformats.org/spreadsheetml/2006/main">
  <sheetPr>
    <tabColor rgb="002E75B6"/>
    <outlinePr summaryBelow="1" summaryRight="1"/>
    <pageSetUpPr fitToPage="1"/>
  </sheetPr>
  <dimension ref="A1:G32"/>
  <sheetViews>
    <sheetView showGridLines="0" workbookViewId="0">
      <pane ySplit="4" topLeftCell="A5" activePane="bottomLeft" state="frozen"/>
      <selection pane="bottomLeft" activeCell="A1" sqref="A1"/>
    </sheetView>
  </sheetViews>
  <sheetFormatPr baseColWidth="8" defaultRowHeight="15"/>
  <cols>
    <col width="7" customWidth="1" min="1" max="1"/>
    <col width="26" customWidth="1" min="2" max="2"/>
    <col width="40" customWidth="1" min="3" max="3"/>
    <col width="30" customWidth="1" min="4" max="4"/>
    <col width="34" customWidth="1" min="5" max="5"/>
    <col width="34" customWidth="1" min="6" max="6"/>
    <col width="13" customWidth="1" min="7" max="7"/>
  </cols>
  <sheetData>
    <row r="1" ht="34" customHeight="1">
      <c r="A1" s="1" t="inlineStr">
        <is>
          <t>2 · How it works — the 12 steps from raw data to an approved level</t>
        </is>
      </c>
      <c r="G1" s="99" t="inlineStr">
        <is>
          <t>◂ Contents</t>
        </is>
      </c>
    </row>
    <row r="2" ht="30" customHeight="1">
      <c r="A2" s="3" t="inlineStr">
        <is>
          <t>Every person goes through the same 12 steps, in this order. The later sheets of this guide explain each step in detail.</t>
        </is>
      </c>
    </row>
    <row r="3">
      <c r="A3" s="4" t="inlineStr">
        <is>
          <t>IRIS · Job Architecture &amp; Job Design · Final v1.12 · October 2026 · Internal — Confidential</t>
        </is>
      </c>
    </row>
    <row r="4"/>
    <row r="5" ht="20" customHeight="1">
      <c r="A5" s="6" t="inlineStr">
        <is>
          <t>The 12 steps</t>
        </is>
      </c>
    </row>
    <row r="6" ht="28" customHeight="1">
      <c r="A6" s="7" t="inlineStr">
        <is>
          <t>Step</t>
        </is>
      </c>
      <c r="B6" s="7" t="inlineStr">
        <is>
          <t>What happens</t>
        </is>
      </c>
      <c r="C6" s="7" t="inlineStr">
        <is>
          <t>Input</t>
        </is>
      </c>
      <c r="D6" s="7" t="inlineStr">
        <is>
          <t>Rules used · master IDs</t>
        </is>
      </c>
      <c r="E6" s="7" t="inlineStr">
        <is>
          <t>Output</t>
        </is>
      </c>
      <c r="F6" s="7" t="inlineStr">
        <is>
          <t>Where to see it · HR Super Master / Product Masters</t>
        </is>
      </c>
    </row>
    <row r="7" ht="28" customHeight="1">
      <c r="A7" s="17" t="inlineStr">
        <is>
          <t>1</t>
        </is>
      </c>
      <c r="B7" s="9" t="inlineStr">
        <is>
          <t>Collect inputs</t>
        </is>
      </c>
      <c r="C7" s="9" t="inlineStr">
        <is>
          <t>HRIS record, survey answers, KRAs, manager talent mapping, org chart</t>
        </is>
      </c>
      <c r="D7" s="9" t="inlineStr">
        <is>
          <t>Data rules D1–D3</t>
        </is>
      </c>
      <c r="E7" s="9" t="inlineStr">
        <is>
          <t>Complete, dated input set per person</t>
        </is>
      </c>
      <c r="F7" s="9" t="inlineStr">
        <is>
          <t>Sheet 3 · raw data; Sheet 2 · person</t>
        </is>
      </c>
    </row>
    <row r="8" ht="28" customHeight="1">
      <c r="A8" s="17" t="inlineStr">
        <is>
          <t>2</t>
        </is>
      </c>
      <c r="B8" s="9" t="inlineStr">
        <is>
          <t>Classify the work</t>
        </is>
      </c>
      <c r="C8" s="9" t="inlineStr">
        <is>
          <t>What the person actually does</t>
        </is>
      </c>
      <c r="D8" s="9" t="inlineStr">
        <is>
          <t>Taxonomy rules T1–T4</t>
        </is>
      </c>
      <c r="E8" s="9" t="inlineStr">
        <is>
          <t>Department → Job family → Sub-family; type of work; Hay profile</t>
        </is>
      </c>
      <c r="F8" s="9" t="inlineStr">
        <is>
          <t>Sheet 1 · changes; Sheet 2</t>
        </is>
      </c>
    </row>
    <row r="9" ht="28" customHeight="1">
      <c r="A9" s="17" t="inlineStr">
        <is>
          <t>3</t>
        </is>
      </c>
      <c r="B9" s="9" t="inlineStr">
        <is>
          <t>Set the track</t>
        </is>
      </c>
      <c r="C9" s="9" t="inlineStr">
        <is>
          <t>Formal reports, time spent managing, hands-on delivery</t>
        </is>
      </c>
      <c r="D9" s="9" t="inlineStr">
        <is>
          <t>Track rules K1–K6</t>
        </is>
      </c>
      <c r="E9" s="9" t="inlineStr">
        <is>
          <t>IC / POD Lead / Player-Coach / People Manager / Consultant</t>
        </is>
      </c>
      <c r="F9" s="9" t="inlineStr">
        <is>
          <t>Sheet 2 · track</t>
        </is>
      </c>
    </row>
    <row r="10" ht="28" customHeight="1">
      <c r="A10" s="17" t="inlineStr">
        <is>
          <t>4</t>
        </is>
      </c>
      <c r="B10" s="9" t="inlineStr">
        <is>
          <t>Rate the six factors</t>
        </is>
      </c>
      <c r="C10" s="9" t="inlineStr">
        <is>
          <t>Designation and reporting line, moved by evidence</t>
        </is>
      </c>
      <c r="D10" s="9" t="inlineStr">
        <is>
          <t>Factor scales F1–F5; evidence rules E1–E3</t>
        </is>
      </c>
      <c r="E10" s="9" t="inlineStr">
        <is>
          <t>Six ratings on the ladder scale</t>
        </is>
      </c>
      <c r="F10" s="9" t="inlineStr">
        <is>
          <t>Sheet 2 · ratings + justification</t>
        </is>
      </c>
    </row>
    <row r="11" ht="15" customHeight="1">
      <c r="A11" s="17" t="inlineStr">
        <is>
          <t>5</t>
        </is>
      </c>
      <c r="B11" s="9" t="inlineStr">
        <is>
          <t>Pick the weights</t>
        </is>
      </c>
      <c r="C11" s="9" t="inlineStr">
        <is>
          <t>Type of work × band × track</t>
        </is>
      </c>
      <c r="D11" s="9" t="inlineStr">
        <is>
          <t>Weight model W1–W4</t>
        </is>
      </c>
      <c r="E11" s="9" t="inlineStr">
        <is>
          <t>Weight set · adds to 100%</t>
        </is>
      </c>
      <c r="F11" s="9" t="inlineStr">
        <is>
          <t>Sheet 2 · weights</t>
        </is>
      </c>
    </row>
    <row r="12" ht="28" customHeight="1">
      <c r="A12" s="17" t="inlineStr">
        <is>
          <t>6</t>
        </is>
      </c>
      <c r="B12" s="9" t="inlineStr">
        <is>
          <t>Score</t>
        </is>
      </c>
      <c r="C12" s="9" t="inlineStr">
        <is>
          <t>Ratings × weights</t>
        </is>
      </c>
      <c r="D12" s="9" t="inlineStr">
        <is>
          <t>R3</t>
        </is>
      </c>
      <c r="E12" s="9" t="inlineStr">
        <is>
          <t>Weighted score and the level it indicates</t>
        </is>
      </c>
      <c r="F12" s="9" t="inlineStr">
        <is>
          <t>Sheet 2 · score formula</t>
        </is>
      </c>
    </row>
    <row r="13" ht="41" customHeight="1">
      <c r="A13" s="17" t="inlineStr">
        <is>
          <t>7</t>
        </is>
      </c>
      <c r="B13" s="9" t="inlineStr">
        <is>
          <t>Apply limits, gates and Player-Coach transition steps</t>
        </is>
      </c>
      <c r="C13" s="9" t="inlineStr">
        <is>
          <t>Score, role substance, structure, experience, player-coach evidence</t>
        </is>
      </c>
      <c r="D13" s="9" t="inlineStr">
        <is>
          <t>R1–R10 in order</t>
        </is>
      </c>
      <c r="E13" s="9" t="inlineStr">
        <is>
          <t>Final level with the rule IDs applied</t>
        </is>
      </c>
      <c r="F13" s="9" t="inlineStr">
        <is>
          <t>Sheet 2 · gates &amp; limits; Sheet 9</t>
        </is>
      </c>
    </row>
    <row r="14" ht="28" customHeight="1">
      <c r="A14" s="17" t="inlineStr">
        <is>
          <t>8</t>
        </is>
      </c>
      <c r="B14" s="9" t="inlineStr">
        <is>
          <t>Place level and title</t>
        </is>
      </c>
      <c r="C14" s="9" t="inlineStr">
        <is>
          <t>Final level, family ladder</t>
        </is>
      </c>
      <c r="D14" s="9" t="inlineStr">
        <is>
          <t>Title rules N1–N5</t>
        </is>
      </c>
      <c r="E14" s="9" t="inlineStr">
        <is>
          <t>Level, level title, designation, title check</t>
        </is>
      </c>
      <c r="F14" s="9" t="inlineStr">
        <is>
          <t>Sheet 2; Sheet 7</t>
        </is>
      </c>
    </row>
    <row r="15" ht="28" customHeight="1">
      <c r="A15" s="17" t="inlineStr">
        <is>
          <t>9</t>
        </is>
      </c>
      <c r="B15" s="9" t="inlineStr">
        <is>
          <t>Benchmark to market</t>
        </is>
      </c>
      <c r="C15" s="9" t="inlineStr">
        <is>
          <t>Level, family</t>
        </is>
      </c>
      <c r="D15" s="9" t="inlineStr">
        <is>
          <t>Crosswalk</t>
        </is>
      </c>
      <c r="E15" s="9" t="inlineStr">
        <is>
          <t>Radford / Mercer code, SFIA level, market title, peer equivalents</t>
        </is>
      </c>
      <c r="F15" s="9" t="inlineStr">
        <is>
          <t>Sheet 3 · market standards; Sheet 7; Sheet 11</t>
        </is>
      </c>
    </row>
    <row r="16" ht="28" customHeight="1">
      <c r="A16" s="17" t="inlineStr">
        <is>
          <t>10</t>
        </is>
      </c>
      <c r="B16" s="9" t="inlineStr">
        <is>
          <t>Set the capability profile</t>
        </is>
      </c>
      <c r="C16" s="9" t="inlineStr">
        <is>
          <t>Level, family, department</t>
        </is>
      </c>
      <c r="D16" s="9" t="inlineStr">
        <is>
          <t>Competency model C1–C5</t>
        </is>
      </c>
      <c r="E16" s="9" t="inlineStr">
        <is>
          <t>Required proficiency, competency index, gaps</t>
        </is>
      </c>
      <c r="F16" s="9" t="inlineStr">
        <is>
          <t>Sheet 4 · role competencies; Sheet 5</t>
        </is>
      </c>
    </row>
    <row r="17" ht="28" customHeight="1">
      <c r="A17" s="17" t="inlineStr">
        <is>
          <t>11</t>
        </is>
      </c>
      <c r="B17" s="9" t="inlineStr">
        <is>
          <t>Develop, retain and move</t>
        </is>
      </c>
      <c r="C17" s="9" t="inlineStr">
        <is>
          <t>Gaps, potential, mobility analysis</t>
        </is>
      </c>
      <c r="D17" s="9" t="inlineStr">
        <is>
          <t>Career rules G1–G6</t>
        </is>
      </c>
      <c r="E17" s="9" t="inlineStr">
        <is>
          <t>Development plan, readiness, lateral options, succession</t>
        </is>
      </c>
      <c r="F17" s="9" t="inlineStr">
        <is>
          <t>Sheet 6 · role profiles; Sheet 8</t>
        </is>
      </c>
    </row>
    <row r="18" ht="28" customHeight="1">
      <c r="A18" s="17" t="inlineStr">
        <is>
          <t>12</t>
        </is>
      </c>
      <c r="B18" s="9" t="inlineStr">
        <is>
          <t>Validate and govern</t>
        </is>
      </c>
      <c r="C18" s="9" t="inlineStr">
        <is>
          <t>Manager and HR review, calibration</t>
        </is>
      </c>
      <c r="D18" s="9" t="inlineStr">
        <is>
          <t>Governance V1–V6</t>
        </is>
      </c>
      <c r="E18" s="9" t="inlineStr">
        <is>
          <t>Approved level and designation; change log</t>
        </is>
      </c>
      <c r="F18" s="9" t="inlineStr">
        <is>
          <t>Sheet 2 · validation; Sheet 9</t>
        </is>
      </c>
    </row>
    <row r="19" ht="15" customHeight="1"/>
    <row r="20" ht="20" customHeight="1">
      <c r="A20" s="6" t="inlineStr">
        <is>
          <t>Where each step is explained in this guide</t>
        </is>
      </c>
    </row>
    <row r="21" ht="15" customHeight="1">
      <c r="A21" s="7" t="inlineStr">
        <is>
          <t>Steps</t>
        </is>
      </c>
      <c r="B21" s="7" t="inlineStr">
        <is>
          <t>Explained on</t>
        </is>
      </c>
      <c r="C21" s="64" t="n"/>
      <c r="D21" s="64" t="n"/>
      <c r="E21" s="64" t="n"/>
      <c r="F21" s="63" t="n"/>
    </row>
    <row r="22" ht="15" customHeight="1">
      <c r="A22" s="17" t="inlineStr">
        <is>
          <t>1</t>
        </is>
      </c>
      <c r="B22" s="9" t="inlineStr">
        <is>
          <t>Sheet 12 · data rules and sheet 3 · architecture</t>
        </is>
      </c>
      <c r="C22" s="64" t="n"/>
      <c r="D22" s="64" t="n"/>
      <c r="E22" s="64" t="n"/>
      <c r="F22" s="63" t="n"/>
    </row>
    <row r="23" ht="15" customHeight="1">
      <c r="A23" s="17" t="inlineStr">
        <is>
          <t>2</t>
        </is>
      </c>
      <c r="B23" s="9" t="inlineStr">
        <is>
          <t>Sheet 3 — Architecture</t>
        </is>
      </c>
      <c r="C23" s="64" t="n"/>
      <c r="D23" s="64" t="n"/>
      <c r="E23" s="64" t="n"/>
      <c r="F23" s="63" t="n"/>
    </row>
    <row r="24" ht="15" customHeight="1">
      <c r="A24" s="17" t="inlineStr">
        <is>
          <t>3</t>
        </is>
      </c>
      <c r="B24" s="9" t="inlineStr">
        <is>
          <t>Sheet 5 — Tracks &amp; Titles</t>
        </is>
      </c>
      <c r="C24" s="64" t="n"/>
      <c r="D24" s="64" t="n"/>
      <c r="E24" s="64" t="n"/>
      <c r="F24" s="63" t="n"/>
    </row>
    <row r="25" ht="15" customHeight="1">
      <c r="A25" s="17" t="inlineStr">
        <is>
          <t>4</t>
        </is>
      </c>
      <c r="B25" s="9" t="inlineStr">
        <is>
          <t>Sheet 6 — Factors &amp; Ratings</t>
        </is>
      </c>
      <c r="C25" s="64" t="n"/>
      <c r="D25" s="64" t="n"/>
      <c r="E25" s="64" t="n"/>
      <c r="F25" s="63" t="n"/>
    </row>
    <row r="26" ht="15" customHeight="1">
      <c r="A26" s="17" t="inlineStr">
        <is>
          <t>5</t>
        </is>
      </c>
      <c r="B26" s="9" t="inlineStr">
        <is>
          <t>Sheet 7 — Weights</t>
        </is>
      </c>
      <c r="C26" s="64" t="n"/>
      <c r="D26" s="64" t="n"/>
      <c r="E26" s="64" t="n"/>
      <c r="F26" s="63" t="n"/>
    </row>
    <row r="27" ht="15" customHeight="1">
      <c r="A27" s="17" t="inlineStr">
        <is>
          <t>6–7</t>
        </is>
      </c>
      <c r="B27" s="9" t="inlineStr">
        <is>
          <t>Sheet 8 — Score → Level, with worked examples</t>
        </is>
      </c>
      <c r="C27" s="64" t="n"/>
      <c r="D27" s="64" t="n"/>
      <c r="E27" s="64" t="n"/>
      <c r="F27" s="63" t="n"/>
    </row>
    <row r="28" ht="15" customHeight="1">
      <c r="A28" s="17" t="inlineStr">
        <is>
          <t>8</t>
        </is>
      </c>
      <c r="B28" s="9" t="inlineStr">
        <is>
          <t>Sheets 4 and 5 — Levels, Tracks &amp; Titles</t>
        </is>
      </c>
      <c r="C28" s="64" t="n"/>
      <c r="D28" s="64" t="n"/>
      <c r="E28" s="64" t="n"/>
      <c r="F28" s="63" t="n"/>
    </row>
    <row r="29" ht="15" customHeight="1">
      <c r="A29" s="17" t="inlineStr">
        <is>
          <t>9</t>
        </is>
      </c>
      <c r="B29" s="9" t="inlineStr">
        <is>
          <t>Sheet 4 · market codes and sheet 14 of this file</t>
        </is>
      </c>
      <c r="C29" s="64" t="n"/>
      <c r="D29" s="64" t="n"/>
      <c r="E29" s="64" t="n"/>
      <c r="F29" s="63" t="n"/>
    </row>
    <row r="30" ht="15" customHeight="1">
      <c r="A30" s="17" t="inlineStr">
        <is>
          <t>10</t>
        </is>
      </c>
      <c r="B30" s="9" t="inlineStr">
        <is>
          <t>Sheet 9 — Competencies</t>
        </is>
      </c>
      <c r="C30" s="64" t="n"/>
      <c r="D30" s="64" t="n"/>
      <c r="E30" s="64" t="n"/>
      <c r="F30" s="63" t="n"/>
    </row>
    <row r="31" ht="15" customHeight="1">
      <c r="A31" s="17" t="inlineStr">
        <is>
          <t>11</t>
        </is>
      </c>
      <c r="B31" s="9" t="inlineStr">
        <is>
          <t>Sheet 11 — Career Paths</t>
        </is>
      </c>
      <c r="C31" s="64" t="n"/>
      <c r="D31" s="64" t="n"/>
      <c r="E31" s="64" t="n"/>
      <c r="F31" s="63" t="n"/>
    </row>
    <row r="32" ht="15" customHeight="1">
      <c r="A32" s="17" t="inlineStr">
        <is>
          <t>12</t>
        </is>
      </c>
      <c r="B32" s="9" t="inlineStr">
        <is>
          <t>Sheet 12 — Governance &amp; Change</t>
        </is>
      </c>
      <c r="C32" s="64" t="n"/>
      <c r="D32" s="64" t="n"/>
      <c r="E32" s="64" t="n"/>
      <c r="F32" s="63" t="n"/>
    </row>
  </sheetData>
  <mergeCells count="17">
    <mergeCell ref="B21:F21"/>
    <mergeCell ref="A2:F2"/>
    <mergeCell ref="B30:F30"/>
    <mergeCell ref="B29:F29"/>
    <mergeCell ref="B24:F24"/>
    <mergeCell ref="B32:F32"/>
    <mergeCell ref="A1:F1"/>
    <mergeCell ref="A5:F5"/>
    <mergeCell ref="B25:F25"/>
    <mergeCell ref="B28:F28"/>
    <mergeCell ref="B31:F31"/>
    <mergeCell ref="B23:F23"/>
    <mergeCell ref="B22:F22"/>
    <mergeCell ref="A3:F3"/>
    <mergeCell ref="A20:F20"/>
    <mergeCell ref="B26:F26"/>
    <mergeCell ref="B27:F27"/>
  </mergeCells>
  <hyperlinks>
    <hyperlink xmlns:r="http://schemas.openxmlformats.org/officeDocument/2006/relationships" ref="G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worksheet>
</file>

<file path=xl/worksheets/sheet13.xml><?xml version="1.0" encoding="utf-8"?>
<worksheet xmlns="http://schemas.openxmlformats.org/spreadsheetml/2006/main">
  <sheetPr>
    <tabColor rgb="00548235"/>
    <outlinePr summaryBelow="1" summaryRight="1"/>
    <pageSetUpPr fitToPage="1"/>
  </sheetPr>
  <dimension ref="A1:H79"/>
  <sheetViews>
    <sheetView showGridLines="0" workbookViewId="0">
      <pane ySplit="4" topLeftCell="A5" activePane="bottomLeft" state="frozen"/>
      <selection pane="bottomLeft" activeCell="A1" sqref="A1"/>
    </sheetView>
  </sheetViews>
  <sheetFormatPr baseColWidth="8" defaultRowHeight="15"/>
  <cols>
    <col width="24" customWidth="1" min="1" max="1"/>
    <col width="52" customWidth="1" min="2" max="2"/>
    <col width="12" customWidth="1" min="3" max="3"/>
    <col width="46" customWidth="1" min="4" max="4"/>
    <col width="14" customWidth="1" min="5" max="5"/>
    <col width="14" customWidth="1" min="6" max="6"/>
    <col width="14" customWidth="1" min="7" max="7"/>
    <col width="13" customWidth="1" min="8" max="8"/>
  </cols>
  <sheetData>
    <row r="1" ht="34" customHeight="1">
      <c r="A1" s="1" t="inlineStr">
        <is>
          <t>3 · Architecture — how the organisation is classified</t>
        </is>
      </c>
      <c r="H1" s="99" t="inlineStr">
        <is>
          <t>◂ Contents</t>
        </is>
      </c>
    </row>
    <row r="2" ht="30" customHeight="1">
      <c r="A2" s="3" t="inlineStr">
        <is>
          <t>Every role sits in one place in this hierarchy. Department comes from the HRIS; job family and sub-family come from the work itself.</t>
        </is>
      </c>
    </row>
    <row r="3">
      <c r="A3" s="4" t="inlineStr">
        <is>
          <t>IRIS · Job Architecture &amp; Job Design · Final v1.12 · October 2026 · Internal — Confidential</t>
        </is>
      </c>
    </row>
    <row r="4"/>
    <row r="5" ht="20" customHeight="1">
      <c r="A5" s="6" t="inlineStr">
        <is>
          <t>The hierarchy, top to bottom</t>
        </is>
      </c>
    </row>
    <row r="6" ht="15" customHeight="1">
      <c r="A6" s="7" t="inlineStr">
        <is>
          <t>Layer</t>
        </is>
      </c>
      <c r="B6" s="7" t="inlineStr">
        <is>
          <t>What it is</t>
        </is>
      </c>
      <c r="C6" s="63" t="n"/>
      <c r="D6" s="7" t="inlineStr">
        <is>
          <t>How many</t>
        </is>
      </c>
      <c r="E6" s="7" t="inlineStr">
        <is>
          <t>Example</t>
        </is>
      </c>
      <c r="F6" s="64" t="n"/>
      <c r="G6" s="63" t="n"/>
    </row>
    <row r="7" ht="15" customHeight="1">
      <c r="A7" s="14" t="inlineStr">
        <is>
          <t>Enterprise</t>
        </is>
      </c>
      <c r="B7" s="9" t="inlineStr">
        <is>
          <t>IRIS as a whole</t>
        </is>
      </c>
      <c r="C7" s="63" t="n"/>
      <c r="D7" s="8" t="n">
        <v>1</v>
      </c>
      <c r="E7" s="9" t="inlineStr">
        <is>
          <t>IRIS</t>
        </is>
      </c>
      <c r="F7" s="64" t="n"/>
      <c r="G7" s="63" t="n"/>
    </row>
    <row r="8" ht="28" customHeight="1">
      <c r="A8" s="14" t="inlineStr">
        <is>
          <t>Business line</t>
        </is>
      </c>
      <c r="B8" s="9" t="inlineStr">
        <is>
          <t>A business with its own P&amp;L and leadership</t>
        </is>
      </c>
      <c r="C8" s="63" t="n"/>
      <c r="D8" s="8" t="n">
        <v>6</v>
      </c>
      <c r="E8" s="9" t="inlineStr">
        <is>
          <t>CARBON, iFile, iDEAL, Datatech, Consume, Corporate</t>
        </is>
      </c>
      <c r="F8" s="64" t="n"/>
      <c r="G8" s="63" t="n"/>
    </row>
    <row r="9" ht="28" customHeight="1">
      <c r="A9" s="14" t="inlineStr">
        <is>
          <t>Department</t>
        </is>
      </c>
      <c r="B9" s="9" t="inlineStr">
        <is>
          <t>The reporting unit in the HRIS; the framework never changes it. Counted per business line</t>
        </is>
      </c>
      <c r="C9" s="63" t="n"/>
      <c r="D9" s="8" t="n">
        <v>44</v>
      </c>
      <c r="E9" s="9" t="inlineStr">
        <is>
          <t>iFile · Technology</t>
        </is>
      </c>
      <c r="F9" s="64" t="n"/>
      <c r="G9" s="63" t="n"/>
    </row>
    <row r="10" ht="28" customHeight="1">
      <c r="A10" s="14" t="inlineStr">
        <is>
          <t>Job family</t>
        </is>
      </c>
      <c r="B10" s="9" t="inlineStr">
        <is>
          <r>
            <rPr>
              <rFont val="Calibri"/>
              <b val="1"/>
              <sz val="10"/>
            </rPr>
            <t>A discipline:</t>
          </r>
          <r>
            <rPr>
              <rFont val="Calibri"/>
              <sz val="10"/>
            </rPr>
            <t xml:space="preserve"> people who apply the same body of knowledge, wherever they sit; anchored to ISCO-08 / NCO-2015</t>
          </r>
        </is>
      </c>
      <c r="C10" s="63" t="n"/>
      <c r="D10" s="8" t="n">
        <v>19</v>
      </c>
      <c r="E10" s="9" t="inlineStr">
        <is>
          <t>Quality Assurance</t>
        </is>
      </c>
      <c r="F10" s="64" t="n"/>
      <c r="G10" s="63" t="n"/>
    </row>
    <row r="11" ht="15" customHeight="1">
      <c r="A11" s="14" t="inlineStr">
        <is>
          <t>Sub-family</t>
        </is>
      </c>
      <c r="B11" s="9" t="inlineStr">
        <is>
          <t>The actual work done inside the family</t>
        </is>
      </c>
      <c r="C11" s="63" t="n"/>
      <c r="D11" s="8" t="n">
        <v>61</v>
      </c>
      <c r="E11" s="9" t="inlineStr">
        <is>
          <t>Quality Assurance · Test Automation</t>
        </is>
      </c>
      <c r="F11" s="64" t="n"/>
      <c r="G11" s="63" t="n"/>
    </row>
    <row r="12" ht="15" customHeight="1">
      <c r="A12" s="14" t="inlineStr">
        <is>
          <t>Role</t>
        </is>
      </c>
      <c r="B12" s="9" t="inlineStr">
        <is>
          <t>Designation × level within a department, job family and track</t>
        </is>
      </c>
      <c r="C12" s="63" t="n"/>
      <c r="D12" s="8" t="n">
        <v>277</v>
      </c>
      <c r="E12" s="9" t="inlineStr">
        <is>
          <t>Senior QA Engineer at A3</t>
        </is>
      </c>
      <c r="F12" s="64" t="n"/>
      <c r="G12" s="63" t="n"/>
    </row>
    <row r="13" ht="15" customHeight="1">
      <c r="A13" s="14" t="inlineStr">
        <is>
          <t>Level</t>
        </is>
      </c>
      <c r="B13" s="9" t="inlineStr">
        <is>
          <t>The size of the role on the ladder</t>
        </is>
      </c>
      <c r="C13" s="63" t="n"/>
      <c r="D13" s="8" t="inlineStr">
        <is>
          <t>12 + 2 Player-Coach transition steps</t>
        </is>
      </c>
      <c r="E13" s="9" t="inlineStr">
        <is>
          <t>A3</t>
        </is>
      </c>
      <c r="F13" s="64" t="n"/>
      <c r="G13" s="63" t="n"/>
    </row>
    <row r="14" ht="28" customHeight="1">
      <c r="A14" s="14" t="inlineStr">
        <is>
          <t>Track</t>
        </is>
      </c>
      <c r="B14" s="9" t="inlineStr">
        <is>
          <r>
            <rPr>
              <rFont val="Calibri"/>
              <b val="1"/>
              <sz val="10"/>
            </rPr>
            <t>How the role contributes:</t>
          </r>
          <r>
            <rPr>
              <rFont val="Calibri"/>
              <sz val="10"/>
            </rPr>
            <t xml:space="preserve"> IC, POD Lead, Player-Coach, People Manager, Consultant</t>
          </r>
        </is>
      </c>
      <c r="C14" s="63" t="n"/>
      <c r="D14" s="8" t="n">
        <v>5</v>
      </c>
      <c r="E14" s="9" t="inlineStr">
        <is>
          <t>IC</t>
        </is>
      </c>
      <c r="F14" s="64" t="n"/>
      <c r="G14" s="63" t="n"/>
    </row>
    <row r="15" ht="15" customHeight="1"/>
    <row r="16" ht="20" customHeight="1">
      <c r="A16" s="6" t="inlineStr">
        <is>
          <t>Taxonomy rules</t>
        </is>
      </c>
    </row>
    <row r="17" ht="15" customHeight="1">
      <c r="A17" s="7" t="inlineStr">
        <is>
          <t>ID</t>
        </is>
      </c>
      <c r="B17" s="7" t="inlineStr">
        <is>
          <t>Rule</t>
        </is>
      </c>
      <c r="C17" s="64" t="n"/>
      <c r="D17" s="64" t="n"/>
      <c r="E17" s="63" t="n"/>
      <c r="F17" s="7" t="inlineStr">
        <is>
          <t>Sources</t>
        </is>
      </c>
      <c r="G17" s="63" t="n"/>
    </row>
    <row r="18" ht="15" customHeight="1">
      <c r="A18" s="17" t="inlineStr">
        <is>
          <t>T1</t>
        </is>
      </c>
      <c r="B18" s="9" t="inlineStr">
        <is>
          <t>Department is the reporting unit in the HRIS; it is not changed by this framework.</t>
        </is>
      </c>
      <c r="C18" s="64" t="n"/>
      <c r="D18" s="64" t="n"/>
      <c r="E18" s="63" t="n"/>
      <c r="F18" s="9" t="inlineStr">
        <is>
          <t>S40</t>
        </is>
      </c>
      <c r="G18" s="63" t="n"/>
    </row>
    <row r="19" ht="28" customHeight="1">
      <c r="A19" s="17" t="inlineStr">
        <is>
          <t>T2</t>
        </is>
      </c>
      <c r="B19" s="9" t="inlineStr">
        <is>
          <r>
            <rPr>
              <rFont val="Calibri"/>
              <b val="1"/>
              <sz val="10"/>
            </rPr>
            <t>A job family is a discipline:</t>
          </r>
          <r>
            <rPr>
              <rFont val="Calibri"/>
              <sz val="10"/>
            </rPr>
            <t xml:space="preserve"> people who apply the same body of knowledge, wherever they sit. Each family is anchored to an ISCO-08 / NCO-2015 occupation group.</t>
          </r>
        </is>
      </c>
      <c r="C19" s="64" t="n"/>
      <c r="D19" s="64" t="n"/>
      <c r="E19" s="63" t="n"/>
      <c r="F19" s="9" t="inlineStr">
        <is>
          <t>S26, S01</t>
        </is>
      </c>
      <c r="G19" s="63" t="n"/>
    </row>
    <row r="20" ht="28" customHeight="1">
      <c r="A20" s="17" t="inlineStr">
        <is>
          <t>T3</t>
        </is>
      </c>
      <c r="B20" s="9" t="inlineStr">
        <is>
          <t>A sub-family names the work the person actually does · product, market, method, so two people in one sub-family are interchangeable after a short handover.</t>
        </is>
      </c>
      <c r="C20" s="64" t="n"/>
      <c r="D20" s="64" t="n"/>
      <c r="E20" s="63" t="n"/>
      <c r="F20" s="9" t="inlineStr">
        <is>
          <t>S27</t>
        </is>
      </c>
      <c r="G20" s="63" t="n"/>
    </row>
    <row r="21" ht="15" customHeight="1">
      <c r="A21" s="17" t="inlineStr">
        <is>
          <t>T4</t>
        </is>
      </c>
      <c r="B21" s="9" t="inlineStr">
        <is>
          <t>Each department is assigned one type of work · P / L / A profile, which selects the weight tilt.</t>
        </is>
      </c>
      <c r="C21" s="64" t="n"/>
      <c r="D21" s="64" t="n"/>
      <c r="E21" s="63" t="n"/>
      <c r="F21" s="9" t="inlineStr">
        <is>
          <t>S06</t>
        </is>
      </c>
      <c r="G21" s="63" t="n"/>
    </row>
    <row r="22" ht="15" customHeight="1"/>
    <row r="23" ht="20" customHeight="1">
      <c r="A23" s="6" t="inlineStr">
        <is>
          <t>Type of work — set per department; it selects the weight tilt</t>
        </is>
      </c>
    </row>
    <row r="24" ht="15" customHeight="1">
      <c r="A24" s="7" t="inlineStr">
        <is>
          <t>Type of work</t>
        </is>
      </c>
      <c r="B24" s="7" t="inlineStr">
        <is>
          <t>What the tilt does</t>
        </is>
      </c>
      <c r="C24" s="63" t="n"/>
      <c r="D24" s="7" t="inlineStr">
        <is>
          <t>Code</t>
        </is>
      </c>
      <c r="E24" s="7" t="inlineStr">
        <is>
          <t>Hay profile</t>
        </is>
      </c>
      <c r="F24" s="64" t="n"/>
      <c r="G24" s="63" t="n"/>
    </row>
    <row r="25" ht="28" customHeight="1">
      <c r="A25" s="14" t="inlineStr">
        <is>
          <t>Technology &amp; engineering</t>
        </is>
      </c>
      <c r="B25" s="9" t="inlineStr">
        <is>
          <t>Technology work is valued for technical depth, so Complexity +5 and Accountability −5.</t>
        </is>
      </c>
      <c r="C25" s="63" t="n"/>
      <c r="D25" s="8" t="inlineStr">
        <is>
          <t>TE</t>
        </is>
      </c>
      <c r="E25" s="9" t="inlineStr">
        <is>
          <t>P</t>
        </is>
      </c>
      <c r="F25" s="64" t="n"/>
      <c r="G25" s="63" t="n"/>
    </row>
    <row r="26" ht="28" customHeight="1">
      <c r="A26" s="14" t="inlineStr">
        <is>
          <t>Product &amp; programme</t>
        </is>
      </c>
      <c r="B26" s="9" t="inlineStr">
        <is>
          <t>Product roles decide trade-offs, so Autonomy +5 and Complexity −5.</t>
        </is>
      </c>
      <c r="C26" s="63" t="n"/>
      <c r="D26" s="8" t="inlineStr">
        <is>
          <t>PP</t>
        </is>
      </c>
      <c r="E26" s="9" t="inlineStr">
        <is>
          <t>L · + freedom to act</t>
        </is>
      </c>
      <c r="F26" s="64" t="n"/>
      <c r="G26" s="63" t="n"/>
    </row>
    <row r="27" ht="28" customHeight="1">
      <c r="A27" s="14" t="inlineStr">
        <is>
          <t>Regulatory &amp; domain consulting</t>
        </is>
      </c>
      <c r="B27" s="9" t="inlineStr">
        <is>
          <t>Regulatory consulting balances expertise and accountability, so no change.</t>
        </is>
      </c>
      <c r="C27" s="63" t="n"/>
      <c r="D27" s="8" t="inlineStr">
        <is>
          <t>RC</t>
        </is>
      </c>
      <c r="E27" s="9" t="inlineStr">
        <is>
          <t>L</t>
        </is>
      </c>
      <c r="F27" s="64" t="n"/>
      <c r="G27" s="63" t="n"/>
    </row>
    <row r="28" ht="28" customHeight="1">
      <c r="A28" s="14" t="inlineStr">
        <is>
          <t>Service delivery &amp; data operations</t>
        </is>
      </c>
      <c r="B28" s="9" t="inlineStr">
        <is>
          <t>Delivery work is judged on accuracy and turnaround, so Accountability +5 and Complexity −5.</t>
        </is>
      </c>
      <c r="C28" s="63" t="n"/>
      <c r="D28" s="8" t="inlineStr">
        <is>
          <t>SD</t>
        </is>
      </c>
      <c r="E28" s="9" t="inlineStr">
        <is>
          <t>A</t>
        </is>
      </c>
      <c r="F28" s="64" t="n"/>
      <c r="G28" s="63" t="n"/>
    </row>
    <row r="29" ht="28" customHeight="1">
      <c r="A29" s="14" t="inlineStr">
        <is>
          <t>Customer support &amp; success</t>
        </is>
      </c>
      <c r="B29" s="9" t="inlineStr">
        <is>
          <t>Support is judged on client outcomes, so Business Impact +5 and Complexity −5.</t>
        </is>
      </c>
      <c r="C29" s="63" t="n"/>
      <c r="D29" s="8" t="inlineStr">
        <is>
          <t>CS</t>
        </is>
      </c>
      <c r="E29" s="9" t="inlineStr">
        <is>
          <t>A</t>
        </is>
      </c>
      <c r="F29" s="64" t="n"/>
      <c r="G29" s="63" t="n"/>
    </row>
    <row r="30" ht="41" customHeight="1">
      <c r="A30" s="14" t="inlineStr">
        <is>
          <t>Sales &amp; marketing</t>
        </is>
      </c>
      <c r="B30" s="9" t="inlineStr">
        <is>
          <t>Sales and marketing are judged on pipeline and revenue, so Business Impact +5, Autonomy +5, Complexity −5 and Accountability −5.</t>
        </is>
      </c>
      <c r="C30" s="63" t="n"/>
      <c r="D30" s="8" t="inlineStr">
        <is>
          <t>SM</t>
        </is>
      </c>
      <c r="E30" s="9" t="inlineStr">
        <is>
          <t>A · + freedom to act</t>
        </is>
      </c>
      <c r="F30" s="64" t="n"/>
      <c r="G30" s="63" t="n"/>
    </row>
    <row r="31" ht="41" customHeight="1">
      <c r="A31" s="14" t="inlineStr">
        <is>
          <t>Corporate functions</t>
        </is>
      </c>
      <c r="B31" s="9" t="inlineStr">
        <is>
          <t>Corporate functions rely on professional qualifications such as CA, CS or law, so Experience &amp; Qualification +5 and Complexity −5.</t>
        </is>
      </c>
      <c r="C31" s="63" t="n"/>
      <c r="D31" s="8" t="inlineStr">
        <is>
          <t>CF</t>
        </is>
      </c>
      <c r="E31" s="9" t="inlineStr">
        <is>
          <t>L · licence to practise</t>
        </is>
      </c>
      <c r="F31" s="64" t="n"/>
      <c r="G31" s="63" t="n"/>
    </row>
    <row r="32" ht="15" customHeight="1">
      <c r="A32" s="14" t="inlineStr">
        <is>
          <t>General management</t>
        </is>
      </c>
      <c r="B32" s="9" t="inlineStr">
        <is>
          <t>General management uses the base weights, so no change.</t>
        </is>
      </c>
      <c r="C32" s="63" t="n"/>
      <c r="D32" s="8" t="inlineStr">
        <is>
          <t>GM</t>
        </is>
      </c>
      <c r="E32" s="9" t="inlineStr">
        <is>
          <t>A · base weights</t>
        </is>
      </c>
      <c r="F32" s="64" t="n"/>
      <c r="G32" s="63" t="n"/>
    </row>
    <row r="33" ht="15" customHeight="1"/>
    <row r="34" ht="20" customHeight="1">
      <c r="A34" s="6" t="inlineStr">
        <is>
          <t>The 19 job families</t>
        </is>
      </c>
    </row>
    <row r="35" ht="28" customHeight="1">
      <c r="A35" s="7" t="inlineStr">
        <is>
          <t>Job family</t>
        </is>
      </c>
      <c r="B35" s="7" t="inlineStr">
        <is>
          <t>ISCO-08 / NCO-2015 anchor</t>
        </is>
      </c>
      <c r="C35" s="7" t="inlineStr">
        <is>
          <t>Hay profile</t>
        </is>
      </c>
      <c r="D35" s="7" t="inlineStr">
        <is>
          <t>Sub-families</t>
        </is>
      </c>
      <c r="E35" s="7" t="inlineStr">
        <is>
          <t>Departments</t>
        </is>
      </c>
      <c r="F35" s="7" t="inlineStr">
        <is>
          <t>Business lines</t>
        </is>
      </c>
      <c r="G35" s="7" t="inlineStr">
        <is>
          <t>People</t>
        </is>
      </c>
    </row>
    <row r="36" ht="80" customHeight="1">
      <c r="A36" s="14" t="inlineStr">
        <is>
          <t>Engineering &amp; Development</t>
        </is>
      </c>
      <c r="B36" s="9" t="inlineStr">
        <is>
          <t>25 ICT professionals · 2512 Software developers / 2514 Applications programmers</t>
        </is>
      </c>
      <c r="C36" s="8" t="inlineStr">
        <is>
          <t>P</t>
        </is>
      </c>
      <c r="D36" s="9" t="inlineStr">
        <is>
          <t>AI / ML &amp; GenAI Engineering · Application Maintenance &amp; Production Support · Backend Development · Data Engineering &amp; Database Development · DevOps &amp; Release Engineering · Engineering Leadership · Front-End / UI Development · Full-Stack Development</t>
        </is>
      </c>
      <c r="E36" s="8" t="n">
        <v>4</v>
      </c>
      <c r="F36" s="8" t="n">
        <v>6</v>
      </c>
      <c r="G36" s="8" t="n">
        <v>179</v>
      </c>
    </row>
    <row r="37" ht="54" customHeight="1">
      <c r="A37" s="14" t="inlineStr">
        <is>
          <t>Consulting &amp; Professional Services</t>
        </is>
      </c>
      <c r="B37" s="9" t="inlineStr">
        <is>
          <t>24 Business &amp; administration professionals · 2411 Accountants; 33 · 3313 Accounting associate professionals</t>
        </is>
      </c>
      <c r="C37" s="8" t="inlineStr">
        <is>
          <t>L / A</t>
        </is>
      </c>
      <c r="D37" s="9" t="inlineStr">
        <is>
          <t>Professional Services Leadership · Service Delivery Operations · Taxonomy Design &amp; Regulatory Consulting · XBRL Tagging, Conversion &amp; Filing</t>
        </is>
      </c>
      <c r="E37" s="8" t="n">
        <v>2</v>
      </c>
      <c r="F37" s="8" t="n">
        <v>2</v>
      </c>
      <c r="G37" s="8" t="n">
        <v>89</v>
      </c>
    </row>
    <row r="38" ht="67" customHeight="1">
      <c r="A38" s="14" t="inlineStr">
        <is>
          <t>Sales &amp; Business Development</t>
        </is>
      </c>
      <c r="B38" s="9" t="inlineStr">
        <is>
          <t>24 · 2433 Technical sales professionals · ICT; 33 · 3322 Commercial sales representatives</t>
        </is>
      </c>
      <c r="C38" s="8" t="inlineStr">
        <is>
          <t>A</t>
        </is>
      </c>
      <c r="D38" s="9" t="inlineStr">
        <is>
          <t>Bids, RFP &amp; Sales Operations · Enterprise Sales &amp; Account Management · Field Outreach &amp; Programme Sales · Partnerships &amp; Alliances · Pre-Sales &amp; Solution Demos · Sales Development &amp; Prospecting · Sales Leadership</t>
        </is>
      </c>
      <c r="E38" s="8" t="n">
        <v>3</v>
      </c>
      <c r="F38" s="8" t="n">
        <v>4</v>
      </c>
      <c r="G38" s="8" t="n">
        <v>39</v>
      </c>
    </row>
    <row r="39" ht="28" customHeight="1">
      <c r="A39" s="14" t="inlineStr">
        <is>
          <t>Quality Assurance</t>
        </is>
      </c>
      <c r="B39" s="9" t="inlineStr">
        <is>
          <t>25 ICT professionals · 2519 Software &amp; applications developers and analysts n.e.c. · testers</t>
        </is>
      </c>
      <c r="C39" s="8" t="inlineStr">
        <is>
          <t>P</t>
        </is>
      </c>
      <c r="D39" s="9" t="inlineStr">
        <is>
          <t>Functional &amp; Domain Testing · Test Automation · Test Management &amp; QA Leadership</t>
        </is>
      </c>
      <c r="E39" s="8" t="n">
        <v>2</v>
      </c>
      <c r="F39" s="8" t="n">
        <v>4</v>
      </c>
      <c r="G39" s="8" t="n">
        <v>38</v>
      </c>
    </row>
    <row r="40" ht="41" customHeight="1">
      <c r="A40" s="14" t="inlineStr">
        <is>
          <t>Customer Success &amp; Support</t>
        </is>
      </c>
      <c r="B40" s="9" t="inlineStr">
        <is>
          <t>35 ICT technicians · 3512 ICT user support; 24 · 2433 ICT sales professionals</t>
        </is>
      </c>
      <c r="C40" s="8" t="inlineStr">
        <is>
          <t>A</t>
        </is>
      </c>
      <c r="D40" s="9" t="inlineStr">
        <is>
          <t>Application &amp; Product Support · Customer Success &amp; Account Management · Customer Success Leadership · Customer Training &amp; Enablement</t>
        </is>
      </c>
      <c r="E40" s="8" t="n">
        <v>5</v>
      </c>
      <c r="F40" s="8" t="n">
        <v>3</v>
      </c>
      <c r="G40" s="8" t="n">
        <v>37</v>
      </c>
    </row>
    <row r="41" ht="28" customHeight="1">
      <c r="A41" s="14" t="inlineStr">
        <is>
          <t>Data Operations &amp; Digitization</t>
        </is>
      </c>
      <c r="B41" s="9" t="inlineStr">
        <is>
          <t>41 General &amp; keyboard clerks · 4132 Data-entry clerks; 33 Associate professionals</t>
        </is>
      </c>
      <c r="C41" s="8" t="inlineStr">
        <is>
          <t>A</t>
        </is>
      </c>
      <c r="D41" s="9" t="inlineStr">
        <is>
          <t>Digitization Leadership · Document Conversion, Formatting &amp; Web Publishing</t>
        </is>
      </c>
      <c r="E41" s="8" t="n">
        <v>1</v>
      </c>
      <c r="F41" s="8" t="n">
        <v>2</v>
      </c>
      <c r="G41" s="8" t="n">
        <v>32</v>
      </c>
    </row>
    <row r="42" ht="15" customHeight="1">
      <c r="A42" s="14" t="inlineStr">
        <is>
          <t>Business Analysis</t>
        </is>
      </c>
      <c r="B42" s="9" t="inlineStr">
        <is>
          <t>25 ICT professionals · 2511 Systems analysts</t>
        </is>
      </c>
      <c r="C42" s="8" t="inlineStr">
        <is>
          <t>P / L</t>
        </is>
      </c>
      <c r="D42" s="9" t="inlineStr">
        <is>
          <t>Business Analysis</t>
        </is>
      </c>
      <c r="E42" s="8" t="n">
        <v>1</v>
      </c>
      <c r="F42" s="8" t="n">
        <v>3</v>
      </c>
      <c r="G42" s="8" t="n">
        <v>29</v>
      </c>
    </row>
    <row r="43" ht="67" customHeight="1">
      <c r="A43" s="14" t="inlineStr">
        <is>
          <t>Marketing &amp; Communications</t>
        </is>
      </c>
      <c r="B43" s="9" t="inlineStr">
        <is>
          <t>24 · 2431 Advertising &amp; marketing professionals; 2432 Public relations professionals</t>
        </is>
      </c>
      <c r="C43" s="8" t="inlineStr">
        <is>
          <t>A</t>
        </is>
      </c>
      <c r="D43" s="9" t="inlineStr">
        <is>
          <t>Content Marketing · Demand Generation, Brand &amp; Events · Digital Marketing, Web &amp; Social · Marketing · role not recorded · Marketing Leadership · Marketing Operations &amp; Automation · Product Marketing</t>
        </is>
      </c>
      <c r="E43" s="8" t="n">
        <v>1</v>
      </c>
      <c r="F43" s="8" t="n">
        <v>5</v>
      </c>
      <c r="G43" s="8" t="n">
        <v>23</v>
      </c>
    </row>
    <row r="44" ht="28" customHeight="1">
      <c r="A44" s="14" t="inlineStr">
        <is>
          <t>Project &amp; Program Management</t>
        </is>
      </c>
      <c r="B44" s="9" t="inlineStr">
        <is>
          <t>24 Business &amp; administration professionals; 1330 ICT services managers at manager levels</t>
        </is>
      </c>
      <c r="C44" s="8" t="inlineStr">
        <is>
          <t>L / A</t>
        </is>
      </c>
      <c r="D44" s="9" t="inlineStr">
        <is>
          <t>Delivery Leadership · PMO &amp; Delivery Excellence · Project &amp; Program Delivery</t>
        </is>
      </c>
      <c r="E44" s="8" t="n">
        <v>2</v>
      </c>
      <c r="F44" s="8" t="n">
        <v>5</v>
      </c>
      <c r="G44" s="8" t="n">
        <v>18</v>
      </c>
    </row>
    <row r="45" ht="28" customHeight="1">
      <c r="A45" s="14" t="inlineStr">
        <is>
          <t>Product Management</t>
        </is>
      </c>
      <c r="B45" s="9" t="inlineStr">
        <is>
          <t>24 Business &amp; administration professionals · 2421 Management &amp; organisation analysts</t>
        </is>
      </c>
      <c r="C45" s="8" t="inlineStr">
        <is>
          <t>L</t>
        </is>
      </c>
      <c r="D45" s="9" t="inlineStr">
        <is>
          <t>Product Management · Product Operations &amp; Research</t>
        </is>
      </c>
      <c r="E45" s="8" t="n">
        <v>3</v>
      </c>
      <c r="F45" s="8" t="n">
        <v>4</v>
      </c>
      <c r="G45" s="8" t="n">
        <v>15</v>
      </c>
    </row>
    <row r="46" ht="28" customHeight="1">
      <c r="A46" s="14" t="inlineStr">
        <is>
          <t>IT &amp; Infrastructure</t>
        </is>
      </c>
      <c r="B46" s="9" t="inlineStr">
        <is>
          <t>25 · 2522 Systems administrators / 2523 Network professionals; 35 · 3512 ICT user support</t>
        </is>
      </c>
      <c r="C46" s="8" t="inlineStr">
        <is>
          <t>P</t>
        </is>
      </c>
      <c r="D46" s="9" t="inlineStr">
        <is>
          <t>End-User Support · IT Infrastructure Leadership · Infrastructure &amp; Cloud Operations</t>
        </is>
      </c>
      <c r="E46" s="8" t="n">
        <v>1</v>
      </c>
      <c r="F46" s="8" t="n">
        <v>1</v>
      </c>
      <c r="G46" s="8" t="n">
        <v>13</v>
      </c>
    </row>
    <row r="47" ht="28" customHeight="1">
      <c r="A47" s="14" t="inlineStr">
        <is>
          <t>Data &amp; Analytics</t>
        </is>
      </c>
      <c r="B47" s="9" t="inlineStr">
        <is>
          <t>25 ICT professionals · 2521 Database designers; 21 · 2120 Statisticians</t>
        </is>
      </c>
      <c r="C47" s="8" t="inlineStr">
        <is>
          <t>P</t>
        </is>
      </c>
      <c r="D47" s="9" t="inlineStr">
        <is>
          <t>Financial Data Processing · MIS &amp; Business Reporting</t>
        </is>
      </c>
      <c r="E47" s="8" t="n">
        <v>3</v>
      </c>
      <c r="F47" s="8" t="n">
        <v>3</v>
      </c>
      <c r="G47" s="8" t="n">
        <v>11</v>
      </c>
    </row>
    <row r="48" ht="28" customHeight="1">
      <c r="A48" s="14" t="inlineStr">
        <is>
          <t>Executive Leadership</t>
        </is>
      </c>
      <c r="B48" s="9" t="inlineStr">
        <is>
          <t>11 · 1120 Managing directors &amp; chief executives; 12 Administrative &amp; commercial managers</t>
        </is>
      </c>
      <c r="C48" s="8" t="inlineStr">
        <is>
          <t>A</t>
        </is>
      </c>
      <c r="D48" s="9" t="inlineStr">
        <is>
          <t>Business &amp; Functional Leadership · Enterprise Leadership</t>
        </is>
      </c>
      <c r="E48" s="8" t="n">
        <v>9</v>
      </c>
      <c r="F48" s="8" t="n">
        <v>5</v>
      </c>
      <c r="G48" s="8" t="n">
        <v>11</v>
      </c>
    </row>
    <row r="49" ht="41" customHeight="1">
      <c r="A49" s="14" t="inlineStr">
        <is>
          <t>Finance &amp; Accounts</t>
        </is>
      </c>
      <c r="B49" s="9" t="inlineStr">
        <is>
          <t>24 · 2411 Accountants; 33 · 3313 Accounting associate professionals; 12 · 1211 Finance managers</t>
        </is>
      </c>
      <c r="C49" s="8" t="inlineStr">
        <is>
          <t>L</t>
        </is>
      </c>
      <c r="D49" s="9" t="inlineStr">
        <is>
          <t>Accounting &amp; Transaction Processing · Finance Leadership · Financial Reporting, Compliance &amp; Audit</t>
        </is>
      </c>
      <c r="E49" s="8" t="n">
        <v>1</v>
      </c>
      <c r="F49" s="8" t="n">
        <v>1</v>
      </c>
      <c r="G49" s="8" t="n">
        <v>10</v>
      </c>
    </row>
    <row r="50" ht="28" customHeight="1">
      <c r="A50" s="14" t="inlineStr">
        <is>
          <t>Engineering &amp; Architecture</t>
        </is>
      </c>
      <c r="B50" s="9" t="inlineStr">
        <is>
          <t>25 ICT professionals · 2511 Systems analysts / 2512 Software developers</t>
        </is>
      </c>
      <c r="C50" s="8" t="inlineStr">
        <is>
          <t>P</t>
        </is>
      </c>
      <c r="D50" s="9" t="inlineStr">
        <is>
          <t>Solution &amp; Technical Architecture</t>
        </is>
      </c>
      <c r="E50" s="8" t="n">
        <v>1</v>
      </c>
      <c r="F50" s="8" t="n">
        <v>3</v>
      </c>
      <c r="G50" s="8" t="n">
        <v>10</v>
      </c>
    </row>
    <row r="51" ht="28" customHeight="1">
      <c r="A51" s="14" t="inlineStr">
        <is>
          <t>Administration, Legal &amp; Secretarial</t>
        </is>
      </c>
      <c r="B51" s="9" t="inlineStr">
        <is>
          <t>26 · 2611 Lawyers / 2619 Legal professionals n.e.c.; 33 · 3343 Administrative secretaries; 12 · 1219</t>
        </is>
      </c>
      <c r="C51" s="8" t="inlineStr">
        <is>
          <t>L</t>
        </is>
      </c>
      <c r="D51" s="9" t="inlineStr">
        <is>
          <t>Administration &amp; Facilities · Company Secretarial &amp; Legal</t>
        </is>
      </c>
      <c r="E51" s="8" t="n">
        <v>2</v>
      </c>
      <c r="F51" s="8" t="n">
        <v>1</v>
      </c>
      <c r="G51" s="8" t="n">
        <v>9</v>
      </c>
    </row>
    <row r="52" ht="28" customHeight="1">
      <c r="A52" s="14" t="inlineStr">
        <is>
          <t>Human Resources</t>
        </is>
      </c>
      <c r="B52" s="9" t="inlineStr">
        <is>
          <t>24 · 2423 Personnel &amp; careers professionals; 12 · 1212 Human resource managers</t>
        </is>
      </c>
      <c r="C52" s="8" t="inlineStr">
        <is>
          <t>L</t>
        </is>
      </c>
      <c r="D52" s="9" t="inlineStr">
        <is>
          <t>HR Leadership · HR Operations &amp; Payroll · HR Transformation &amp; OD · Talent Acquisition</t>
        </is>
      </c>
      <c r="E52" s="8" t="n">
        <v>1</v>
      </c>
      <c r="F52" s="8" t="n">
        <v>1</v>
      </c>
      <c r="G52" s="8" t="n">
        <v>8</v>
      </c>
    </row>
    <row r="53" ht="28" customHeight="1">
      <c r="A53" s="14" t="inlineStr">
        <is>
          <t>Solution Consulting &amp; Implementation</t>
        </is>
      </c>
      <c r="B53" s="9" t="inlineStr">
        <is>
          <t>25 ICT professionals · 2511 Systems analysts; 24 Business professionals</t>
        </is>
      </c>
      <c r="C53" s="8" t="inlineStr">
        <is>
          <t>L</t>
        </is>
      </c>
      <c r="D53" s="9" t="inlineStr">
        <is>
          <t>Solution Consulting &amp; Implementation</t>
        </is>
      </c>
      <c r="E53" s="8" t="n">
        <v>1</v>
      </c>
      <c r="F53" s="8" t="n">
        <v>1</v>
      </c>
      <c r="G53" s="8" t="n">
        <v>7</v>
      </c>
    </row>
    <row r="54" ht="28" customHeight="1">
      <c r="A54" s="14" t="inlineStr">
        <is>
          <t>Design &amp; Creative</t>
        </is>
      </c>
      <c r="B54" s="9" t="inlineStr">
        <is>
          <t>21 Science &amp; engineering professionals · 2166 Graphic &amp; multimedia designers</t>
        </is>
      </c>
      <c r="C54" s="8" t="inlineStr">
        <is>
          <t>P</t>
        </is>
      </c>
      <c r="D54" s="9" t="inlineStr">
        <is>
          <t>Brand, Graphic &amp; Video Design · UX / UI Design</t>
        </is>
      </c>
      <c r="E54" s="8" t="n">
        <v>2</v>
      </c>
      <c r="F54" s="8" t="n">
        <v>3</v>
      </c>
      <c r="G54" s="8" t="n">
        <v>6</v>
      </c>
    </row>
    <row r="55" ht="15" customHeight="1"/>
    <row r="56" ht="15" customHeight="1">
      <c r="A56" s="12" t="inlineStr">
        <is>
          <t>'Unassigned' · 2 consultants with no role on record is not a job family and is left out.</t>
        </is>
      </c>
    </row>
    <row r="57" ht="20" customHeight="1">
      <c r="A57" s="6" t="inlineStr">
        <is>
          <t>Family boundaries — what belongs in each family</t>
        </is>
      </c>
    </row>
    <row r="58" ht="28" customHeight="1">
      <c r="A58" s="12" t="inlineStr">
        <is>
          <t>Each family's enduring purpose, what belongs in it and what belongs to a neighbouring family — from IRIS Career Architecture V2 · HR research, 7 Oct 2026. Use it to settle borderline family calls in validation and calibration.</t>
        </is>
      </c>
    </row>
    <row r="59" ht="41" customHeight="1">
      <c r="A59" s="7" t="inlineStr">
        <is>
          <t>Job family</t>
        </is>
      </c>
      <c r="B59" s="63" t="n"/>
      <c r="C59" s="7" t="inlineStr">
        <is>
          <t>Enduring purpose</t>
        </is>
      </c>
      <c r="D59" s="63" t="n"/>
      <c r="E59" s="7" t="inlineStr">
        <is>
          <t>Includes</t>
        </is>
      </c>
      <c r="F59" s="63" t="n"/>
      <c r="G59" s="7" t="inlineStr">
        <is>
          <t>Excludes / neighbouring profession</t>
        </is>
      </c>
    </row>
    <row r="60" ht="54" customHeight="1">
      <c r="A60" s="14" t="inlineStr">
        <is>
          <t>Administration, Legal &amp; Secretarial — Administration &amp; Workplace</t>
        </is>
      </c>
      <c r="B60" s="63" t="n"/>
      <c r="C60" s="9" t="inlineStr">
        <is>
          <t>Provide reliable workplace services</t>
        </is>
      </c>
      <c r="D60" s="63" t="n"/>
      <c r="E60" s="9" t="inlineStr">
        <is>
          <t>Facilities, office services and workplace planning</t>
        </is>
      </c>
      <c r="F60" s="63" t="n"/>
      <c r="G60" s="9" t="inlineStr">
        <is>
          <t>Strategic procurement; enterprise operating leadership</t>
        </is>
      </c>
    </row>
    <row r="61" ht="67" customHeight="1">
      <c r="A61" s="14" t="inlineStr">
        <is>
          <t>Administration, Legal &amp; Secretarial — Legal &amp; Corporate Governance</t>
        </is>
      </c>
      <c r="B61" s="63" t="n"/>
      <c r="C61" s="9" t="inlineStr">
        <is>
          <t>Provide legal advice and governance support</t>
        </is>
      </c>
      <c r="D61" s="63" t="n"/>
      <c r="E61" s="9" t="inlineStr">
        <is>
          <t>Commercial legal and company-secretarial/governance professions</t>
        </is>
      </c>
      <c r="F61" s="63" t="n"/>
      <c r="G61" s="9" t="inlineStr">
        <is>
          <t>Internal audit assurance; generic administrative filing</t>
        </is>
      </c>
    </row>
    <row r="62" ht="54" customHeight="1">
      <c r="A62" s="14" t="inlineStr">
        <is>
          <t>Business Analysis</t>
        </is>
      </c>
      <c r="B62" s="63" t="n"/>
      <c r="C62" s="9" t="inlineStr">
        <is>
          <t>Define business needs and evaluate solutions</t>
        </is>
      </c>
      <c r="D62" s="63" t="n"/>
      <c r="E62" s="9" t="inlineStr">
        <is>
          <t>Elicitation, process analysis, traceability and solution evaluation</t>
        </is>
      </c>
      <c r="F62" s="63" t="n"/>
      <c r="G62" s="9" t="inlineStr">
        <is>
          <t>Product investment authority; technical architecture</t>
        </is>
      </c>
    </row>
    <row r="63" ht="67" customHeight="1">
      <c r="A63" s="14" t="inlineStr">
        <is>
          <t>Consulting &amp; Professional Services</t>
        </is>
      </c>
      <c r="B63" s="63" t="n"/>
      <c r="C63" s="9" t="inlineStr">
        <is>
          <t>Deliver expert reporting and client-domain services</t>
        </is>
      </c>
      <c r="D63" s="63" t="n"/>
      <c r="E63" s="9" t="inlineStr">
        <is>
          <t>XBRL execution, taxonomy advice, service delivery and technical documentation</t>
        </is>
      </c>
      <c r="F63" s="63" t="n"/>
      <c r="G63" s="9" t="inlineStr">
        <is>
          <t>Internal corporate accounting; product roadmap ownership</t>
        </is>
      </c>
    </row>
    <row r="64" ht="54" customHeight="1">
      <c r="A64" s="14" t="inlineStr">
        <is>
          <t>Customer Success &amp; Support</t>
        </is>
      </c>
      <c r="B64" s="63" t="n"/>
      <c r="C64" s="9" t="inlineStr">
        <is>
          <t>Enable sustained customer value and issue resolution</t>
        </is>
      </c>
      <c r="D64" s="63" t="n"/>
      <c r="E64" s="9" t="inlineStr">
        <is>
          <t>Adoption, product support and customer education</t>
        </is>
      </c>
      <c r="F64" s="63" t="n"/>
      <c r="G64" s="9" t="inlineStr">
        <is>
          <t>Employee IT support; initial client implementation</t>
        </is>
      </c>
    </row>
    <row r="65" ht="67" customHeight="1">
      <c r="A65" s="14" t="inlineStr">
        <is>
          <t>Data &amp; Analytics</t>
        </is>
      </c>
      <c r="B65" s="63" t="n"/>
      <c r="C65" s="9" t="inlineStr">
        <is>
          <t>Turn data into defensible decisions and models</t>
        </is>
      </c>
      <c r="D65" s="63" t="n"/>
      <c r="E65" s="9" t="inlineStr">
        <is>
          <t>BI, decision analysis and data science</t>
        </is>
      </c>
      <c r="F65" s="63" t="n"/>
      <c r="G65" s="9" t="inlineStr">
        <is>
          <t>Financial-data production; software engineering of pipelines</t>
        </is>
      </c>
    </row>
    <row r="66" ht="67" customHeight="1">
      <c r="A66" s="14" t="inlineStr">
        <is>
          <t>Data Operations &amp; Digitization</t>
        </is>
      </c>
      <c r="B66" s="63" t="n"/>
      <c r="C66" s="9" t="inlineStr">
        <is>
          <t>Produce trustworthy structured content and data</t>
        </is>
      </c>
      <c r="D66" s="63" t="n"/>
      <c r="E66" s="9" t="inlineStr">
        <is>
          <t>Document production, financial-data sourcing, validation and stewardship</t>
        </is>
      </c>
      <c r="F66" s="63" t="n"/>
      <c r="G66" s="9" t="inlineStr">
        <is>
          <t>Corporate reporting; BI insight; software data-pipeline engineering</t>
        </is>
      </c>
    </row>
    <row r="67" ht="54" customHeight="1">
      <c r="A67" s="14" t="inlineStr">
        <is>
          <t>Design &amp; Creative</t>
        </is>
      </c>
      <c r="B67" s="63" t="n"/>
      <c r="C67" s="9" t="inlineStr">
        <is>
          <t>Shape usable experiences and visual communication</t>
        </is>
      </c>
      <c r="D67" s="63" t="n"/>
      <c r="E67" s="9" t="inlineStr">
        <is>
          <t>Brand creative, product design and user research</t>
        </is>
      </c>
      <c r="F67" s="63" t="n"/>
      <c r="G67" s="9" t="inlineStr">
        <is>
          <t>Marketing campaign ownership; frontend implementation</t>
        </is>
      </c>
    </row>
    <row r="68" ht="54" customHeight="1">
      <c r="A68" s="14" t="inlineStr">
        <is>
          <t>Engineering &amp; Architecture</t>
        </is>
      </c>
      <c r="B68" s="63" t="n"/>
      <c r="C68" s="9" t="inlineStr">
        <is>
          <t>Define system architecture across components</t>
        </is>
      </c>
      <c r="D68" s="63" t="n"/>
      <c r="E68" s="9" t="inlineStr">
        <is>
          <t>Solution design, non-functional trade-offs and architecture standards</t>
        </is>
      </c>
      <c r="F68" s="63" t="n"/>
      <c r="G68" s="9" t="inlineStr">
        <is>
          <t>Presales persuasion alone; routine software delivery</t>
        </is>
      </c>
    </row>
    <row r="69" ht="54" customHeight="1">
      <c r="A69" s="14" t="inlineStr">
        <is>
          <t>Engineering &amp; Development</t>
        </is>
      </c>
      <c r="B69" s="63" t="n"/>
      <c r="C69" s="9" t="inlineStr">
        <is>
          <t>Build and operate software capabilities</t>
        </is>
      </c>
      <c r="D69" s="63" t="n"/>
      <c r="E69" s="9" t="inlineStr">
        <is>
          <t>Application code, data/ML engineering and product reliability</t>
        </is>
      </c>
      <c r="F69" s="63" t="n"/>
      <c r="G69" s="9" t="inlineStr">
        <is>
          <t>Product investment decisions; internal IT service desk</t>
        </is>
      </c>
    </row>
    <row r="70" ht="67" customHeight="1">
      <c r="A70" s="14" t="inlineStr">
        <is>
          <t>Executive Leadership</t>
        </is>
      </c>
      <c r="B70" s="63" t="n"/>
      <c r="C70" s="9" t="inlineStr">
        <is>
          <t>Integrate enterprise or business outcomes</t>
        </is>
      </c>
      <c r="D70" s="63" t="n"/>
      <c r="E70" s="9" t="inlineStr">
        <is>
          <t>Business-unit, enterprise and exceptional expert mandates</t>
        </is>
      </c>
      <c r="F70" s="63" t="n"/>
      <c r="G70" s="9" t="inlineStr">
        <is>
          <t>A generic promotion destination without a new accountable role</t>
        </is>
      </c>
    </row>
    <row r="71" ht="67" customHeight="1">
      <c r="A71" s="14" t="inlineStr">
        <is>
          <t>Finance &amp; Accounts</t>
        </is>
      </c>
      <c r="B71" s="63" t="n"/>
      <c r="C71" s="9" t="inlineStr">
        <is>
          <t>Steward financial reporting, resources and controls</t>
        </is>
      </c>
      <c r="D71" s="63" t="n"/>
      <c r="E71" s="9" t="inlineStr">
        <is>
          <t>Accounting, reporting, FP&amp;A, tax and treasury</t>
        </is>
      </c>
      <c r="F71" s="63" t="n"/>
      <c r="G71" s="9" t="inlineStr">
        <is>
          <t>Independent internal audit; client financial-data production</t>
        </is>
      </c>
    </row>
    <row r="72" ht="54" customHeight="1">
      <c r="A72" s="14" t="inlineStr">
        <is>
          <t>Human Resources</t>
        </is>
      </c>
      <c r="B72" s="63" t="n"/>
      <c r="C72" s="9" t="inlineStr">
        <is>
          <t>Enable workforce and organisational capability</t>
        </is>
      </c>
      <c r="D72" s="63" t="n"/>
      <c r="E72" s="9" t="inlineStr">
        <is>
          <t>HR operations, TA, OD, learning, reward, analytics and partnering</t>
        </is>
      </c>
      <c r="F72" s="63" t="n"/>
      <c r="G72" s="9" t="inlineStr">
        <is>
          <t>Line-manager accountability for the operating business</t>
        </is>
      </c>
    </row>
    <row r="73" ht="54" customHeight="1">
      <c r="A73" s="14" t="inlineStr">
        <is>
          <t>IT &amp; Infrastructure</t>
        </is>
      </c>
      <c r="B73" s="63" t="n"/>
      <c r="C73" s="9" t="inlineStr">
        <is>
          <t>Provide secure organisational technology services</t>
        </is>
      </c>
      <c r="D73" s="63" t="n"/>
      <c r="E73" s="9" t="inlineStr">
        <is>
          <t>Internal infrastructure, employee technology and enterprise security</t>
        </is>
      </c>
      <c r="F73" s="63" t="n"/>
      <c r="G73" s="9" t="inlineStr">
        <is>
          <t>Customer product support; application development</t>
        </is>
      </c>
    </row>
    <row r="74" ht="41" customHeight="1">
      <c r="A74" s="14" t="inlineStr">
        <is>
          <t>Marketing &amp; Communications</t>
        </is>
      </c>
      <c r="B74" s="63" t="n"/>
      <c r="C74" s="9" t="inlineStr">
        <is>
          <t>Create market understanding, demand and reputation</t>
        </is>
      </c>
      <c r="D74" s="63" t="n"/>
      <c r="E74" s="9" t="inlineStr">
        <is>
          <t>Content, demand, digital, product marketing, operations and communications</t>
        </is>
      </c>
      <c r="F74" s="63" t="n"/>
      <c r="G74" s="9" t="inlineStr">
        <is>
          <t>Account closing; product UX design</t>
        </is>
      </c>
    </row>
    <row r="75" ht="80" customHeight="1">
      <c r="A75" s="14" t="inlineStr">
        <is>
          <t>Product Management</t>
        </is>
      </c>
      <c r="B75" s="63" t="n"/>
      <c r="C75" s="9" t="inlineStr">
        <is>
          <t>Choose and organise product outcomes</t>
        </is>
      </c>
      <c r="D75" s="63" t="n"/>
      <c r="E75" s="9" t="inlineStr">
        <is>
          <t>Discovery, prioritisation, roadmap decisions and product operations</t>
        </is>
      </c>
      <c r="F75" s="63" t="n"/>
      <c r="G75" s="9" t="inlineStr">
        <is>
          <t>Project schedule ownership alone; user research as a standalone discipline</t>
        </is>
      </c>
    </row>
    <row r="76" ht="54" customHeight="1">
      <c r="A76" s="14" t="inlineStr">
        <is>
          <t>Project &amp; Program Management</t>
        </is>
      </c>
      <c r="B76" s="63" t="n"/>
      <c r="C76" s="9" t="inlineStr">
        <is>
          <t>Deliver change and govern investment execution</t>
        </is>
      </c>
      <c r="D76" s="63" t="n"/>
      <c r="E76" s="9" t="inlineStr">
        <is>
          <t>Project, programme, portfolio and PMO work with distinct mandates</t>
        </is>
      </c>
      <c r="F76" s="63" t="n"/>
      <c r="G76" s="9" t="inlineStr">
        <is>
          <t>Ongoing product strategy; routine service operations</t>
        </is>
      </c>
    </row>
    <row r="77" ht="67" customHeight="1">
      <c r="A77" s="14" t="inlineStr">
        <is>
          <t>Quality Assurance</t>
        </is>
      </c>
      <c r="B77" s="63" t="n"/>
      <c r="C77" s="9" t="inlineStr">
        <is>
          <t>Provide systematic product-quality assurance</t>
        </is>
      </c>
      <c r="D77" s="63" t="n"/>
      <c r="E77" s="9" t="inlineStr">
        <is>
          <t>Test design, automation, risk-based coverage and quality architecture</t>
        </is>
      </c>
      <c r="F77" s="63" t="n"/>
      <c r="G77" s="9" t="inlineStr">
        <is>
          <t>Data-production checking where the primary output is data</t>
        </is>
      </c>
    </row>
    <row r="78" ht="67" customHeight="1">
      <c r="A78" s="14" t="inlineStr">
        <is>
          <t>Sales &amp; Business Development</t>
        </is>
      </c>
      <c r="B78" s="63" t="n"/>
      <c r="C78" s="9" t="inlineStr">
        <is>
          <t>Create and convert commercial opportunities</t>
        </is>
      </c>
      <c r="D78" s="63" t="n"/>
      <c r="E78" s="9" t="inlineStr">
        <is>
          <t>Prospecting, account sales, alliances, presales and sales operations</t>
        </is>
      </c>
      <c r="F78" s="63" t="n"/>
      <c r="G78" s="9" t="inlineStr">
        <is>
          <t>Customer adoption unless sales accountability is primary</t>
        </is>
      </c>
    </row>
    <row r="79" ht="67" customHeight="1">
      <c r="A79" s="14" t="inlineStr">
        <is>
          <t>Solution Consulting &amp; Implementation</t>
        </is>
      </c>
      <c r="B79" s="63" t="n"/>
      <c r="C79" s="9" t="inlineStr">
        <is>
          <t>Put client solutions into working use</t>
        </is>
      </c>
      <c r="D79" s="63" t="n"/>
      <c r="E79" s="9" t="inlineStr">
        <is>
          <t>Configuration, integration, migration and client acceptance</t>
        </is>
      </c>
      <c r="F79" s="63" t="n"/>
      <c r="G79" s="9" t="inlineStr">
        <is>
          <t>Ongoing support cases; product-engineering platform ownership</t>
        </is>
      </c>
    </row>
  </sheetData>
  <mergeCells count="119">
    <mergeCell ref="C62:D62"/>
    <mergeCell ref="A64:B64"/>
    <mergeCell ref="E13:G13"/>
    <mergeCell ref="E62:F62"/>
    <mergeCell ref="A73:B73"/>
    <mergeCell ref="E71:F71"/>
    <mergeCell ref="E31:G31"/>
    <mergeCell ref="B31:C31"/>
    <mergeCell ref="A70:B70"/>
    <mergeCell ref="C64:D64"/>
    <mergeCell ref="C79:D79"/>
    <mergeCell ref="E64:F64"/>
    <mergeCell ref="C73:D73"/>
    <mergeCell ref="E79:F79"/>
    <mergeCell ref="B12:C12"/>
    <mergeCell ref="E73:F73"/>
    <mergeCell ref="C63:D63"/>
    <mergeCell ref="E63:F63"/>
    <mergeCell ref="E26:G26"/>
    <mergeCell ref="B14:C14"/>
    <mergeCell ref="A74:B74"/>
    <mergeCell ref="E7:G7"/>
    <mergeCell ref="E65:F65"/>
    <mergeCell ref="B13:C13"/>
    <mergeCell ref="A76:B76"/>
    <mergeCell ref="C76:D76"/>
    <mergeCell ref="B21:E21"/>
    <mergeCell ref="A62:B62"/>
    <mergeCell ref="B24:C24"/>
    <mergeCell ref="C67:D67"/>
    <mergeCell ref="A68:B68"/>
    <mergeCell ref="E75:F75"/>
    <mergeCell ref="B32:C32"/>
    <mergeCell ref="B26:C26"/>
    <mergeCell ref="C69:D69"/>
    <mergeCell ref="A23:G23"/>
    <mergeCell ref="E28:G28"/>
    <mergeCell ref="A59:B59"/>
    <mergeCell ref="B25:C25"/>
    <mergeCell ref="F19:G19"/>
    <mergeCell ref="E67:F67"/>
    <mergeCell ref="E30:G30"/>
    <mergeCell ref="B27:C27"/>
    <mergeCell ref="A79:B79"/>
    <mergeCell ref="A61:B61"/>
    <mergeCell ref="E6:G6"/>
    <mergeCell ref="B11:C11"/>
    <mergeCell ref="A34:G34"/>
    <mergeCell ref="F20:G20"/>
    <mergeCell ref="F18:G18"/>
    <mergeCell ref="F17:G17"/>
    <mergeCell ref="E32:G32"/>
    <mergeCell ref="B18:E18"/>
    <mergeCell ref="A1:G1"/>
    <mergeCell ref="B29:C29"/>
    <mergeCell ref="C60:D60"/>
    <mergeCell ref="A71:B71"/>
    <mergeCell ref="C71:D71"/>
    <mergeCell ref="B6:C6"/>
    <mergeCell ref="E24:G24"/>
    <mergeCell ref="E76:F76"/>
    <mergeCell ref="A3:G3"/>
    <mergeCell ref="A63:B63"/>
    <mergeCell ref="E8:G8"/>
    <mergeCell ref="C66:D66"/>
    <mergeCell ref="E66:F66"/>
    <mergeCell ref="A57:G57"/>
    <mergeCell ref="A77:B77"/>
    <mergeCell ref="A5:G5"/>
    <mergeCell ref="C77:D77"/>
    <mergeCell ref="E10:G10"/>
    <mergeCell ref="C68:D68"/>
    <mergeCell ref="B7:C7"/>
    <mergeCell ref="E68:F68"/>
    <mergeCell ref="E9:G9"/>
    <mergeCell ref="A69:B69"/>
    <mergeCell ref="F21:G21"/>
    <mergeCell ref="A78:B78"/>
    <mergeCell ref="C78:D78"/>
    <mergeCell ref="A58:G58"/>
    <mergeCell ref="E11:G11"/>
    <mergeCell ref="A65:B65"/>
    <mergeCell ref="C65:D65"/>
    <mergeCell ref="A75:B75"/>
    <mergeCell ref="C75:D75"/>
    <mergeCell ref="E69:F69"/>
    <mergeCell ref="E78:F78"/>
    <mergeCell ref="C59:D59"/>
    <mergeCell ref="E59:F59"/>
    <mergeCell ref="E77:F77"/>
    <mergeCell ref="B28:C28"/>
    <mergeCell ref="E12:G12"/>
    <mergeCell ref="A16:G16"/>
    <mergeCell ref="C61:D61"/>
    <mergeCell ref="E61:F61"/>
    <mergeCell ref="C70:D70"/>
    <mergeCell ref="B9:C9"/>
    <mergeCell ref="E70:F70"/>
    <mergeCell ref="B17:E17"/>
    <mergeCell ref="B30:C30"/>
    <mergeCell ref="E14:G14"/>
    <mergeCell ref="E72:F72"/>
    <mergeCell ref="A2:G2"/>
    <mergeCell ref="B19:E19"/>
    <mergeCell ref="A67:B67"/>
    <mergeCell ref="A60:B60"/>
    <mergeCell ref="C74:D74"/>
    <mergeCell ref="B20:E20"/>
    <mergeCell ref="E27:G27"/>
    <mergeCell ref="A66:B66"/>
    <mergeCell ref="E60:F60"/>
    <mergeCell ref="B8:C8"/>
    <mergeCell ref="E74:F74"/>
    <mergeCell ref="E25:G25"/>
    <mergeCell ref="B10:C10"/>
    <mergeCell ref="A72:B72"/>
    <mergeCell ref="A56:G56"/>
    <mergeCell ref="C72:D72"/>
    <mergeCell ref="E29:G29"/>
  </mergeCells>
  <hyperlinks>
    <hyperlink xmlns:r="http://schemas.openxmlformats.org/officeDocument/2006/relationships" ref="H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worksheet>
</file>

<file path=xl/worksheets/sheet14.xml><?xml version="1.0" encoding="utf-8"?>
<worksheet xmlns="http://schemas.openxmlformats.org/spreadsheetml/2006/main">
  <sheetPr>
    <tabColor rgb="007030A0"/>
    <outlinePr summaryBelow="1" summaryRight="1"/>
    <pageSetUpPr fitToPage="1"/>
  </sheetPr>
  <dimension ref="A1:R54"/>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6" customWidth="1" min="2" max="2"/>
    <col width="6" customWidth="1" min="3" max="3"/>
    <col width="18" customWidth="1" min="4" max="4"/>
    <col width="18" customWidth="1" min="5" max="5"/>
    <col width="30" customWidth="1" min="6" max="6"/>
    <col width="26" customWidth="1" min="7" max="7"/>
    <col width="26" customWidth="1" min="8" max="8"/>
    <col width="26" customWidth="1" min="9" max="9"/>
    <col width="26" customWidth="1" min="10" max="10"/>
    <col width="12" customWidth="1" min="11" max="11"/>
    <col width="20" customWidth="1" min="12" max="12"/>
    <col width="20" customWidth="1" min="13" max="13"/>
    <col width="11" customWidth="1" min="14" max="14"/>
    <col width="22" customWidth="1" min="15" max="15"/>
    <col width="24" customWidth="1" min="16" max="16"/>
    <col width="7" customWidth="1" min="17" max="17"/>
    <col width="13" customWidth="1" min="18" max="18"/>
  </cols>
  <sheetData>
    <row r="1" ht="34" customHeight="1">
      <c r="A1" s="1" t="inlineStr">
        <is>
          <t>4 · Levels and bands — the career ladder, bottom to top</t>
        </is>
      </c>
      <c r="R1" s="99" t="inlineStr">
        <is>
          <t>◂ Contents</t>
        </is>
      </c>
    </row>
    <row r="2" ht="30" customHeight="1">
      <c r="A2" s="3" t="inlineStr">
        <is>
          <t>Each level is a size of role, not a title. Bands group levels with the same kind of contribution; the Player-Coach transition steps sit between bands.</t>
        </is>
      </c>
    </row>
    <row r="3">
      <c r="A3" s="4" t="inlineStr">
        <is>
          <t>IRIS · Job Architecture &amp; Job Design · Final v1.12 · October 2026 · Internal — Confidential</t>
        </is>
      </c>
    </row>
    <row r="4"/>
    <row r="5" ht="20" customHeight="1">
      <c r="A5" s="6" t="inlineStr">
        <is>
          <t>Bands</t>
        </is>
      </c>
    </row>
    <row r="6" ht="15" customHeight="1">
      <c r="A6" s="7" t="inlineStr">
        <is>
          <t>Band</t>
        </is>
      </c>
      <c r="B6" s="7" t="inlineStr">
        <is>
          <t>Name</t>
        </is>
      </c>
      <c r="C6" s="63" t="n"/>
      <c r="D6" s="7" t="inlineStr">
        <is>
          <t>What it means</t>
        </is>
      </c>
      <c r="E6" s="64" t="n"/>
      <c r="F6" s="64" t="n"/>
      <c r="G6" s="64" t="n"/>
      <c r="H6" s="64" t="n"/>
      <c r="I6" s="64" t="n"/>
      <c r="J6" s="64" t="n"/>
      <c r="K6" s="64" t="n"/>
      <c r="L6" s="63" t="n"/>
      <c r="M6" s="7" t="inlineStr">
        <is>
          <t>Levels</t>
        </is>
      </c>
      <c r="N6" s="64" t="n"/>
      <c r="O6" s="64" t="n"/>
      <c r="P6" s="64" t="n"/>
      <c r="Q6" s="63" t="n"/>
    </row>
    <row r="7" ht="28" customHeight="1">
      <c r="A7" s="18" t="inlineStr">
        <is>
          <t>A</t>
        </is>
      </c>
      <c r="B7" s="19" t="inlineStr">
        <is>
          <t>Practitioner</t>
        </is>
      </c>
      <c r="C7" s="63" t="n"/>
      <c r="D7" s="19" t="inlineStr">
        <is>
          <t>Learns and delivers own work to standard; one common path</t>
        </is>
      </c>
      <c r="E7" s="64" t="n"/>
      <c r="F7" s="64" t="n"/>
      <c r="G7" s="64" t="n"/>
      <c r="H7" s="64" t="n"/>
      <c r="I7" s="64" t="n"/>
      <c r="J7" s="64" t="n"/>
      <c r="K7" s="64" t="n"/>
      <c r="L7" s="63" t="n"/>
      <c r="M7" s="19" t="inlineStr">
        <is>
          <t>A1 · A2 · A3</t>
        </is>
      </c>
      <c r="N7" s="64" t="n"/>
      <c r="O7" s="64" t="n"/>
      <c r="P7" s="64" t="n"/>
      <c r="Q7" s="63" t="n"/>
    </row>
    <row r="8" ht="28" customHeight="1">
      <c r="A8" s="21" t="inlineStr">
        <is>
          <t>B</t>
        </is>
      </c>
      <c r="B8" s="22" t="inlineStr">
        <is>
          <t>Specialist / Manager</t>
        </is>
      </c>
      <c r="C8" s="63" t="n"/>
      <c r="D8" s="22" t="inlineStr">
        <is>
          <t>Owns a domain or a team; the IC and manager tracks split here</t>
        </is>
      </c>
      <c r="E8" s="64" t="n"/>
      <c r="F8" s="64" t="n"/>
      <c r="G8" s="64" t="n"/>
      <c r="H8" s="64" t="n"/>
      <c r="I8" s="64" t="n"/>
      <c r="J8" s="64" t="n"/>
      <c r="K8" s="64" t="n"/>
      <c r="L8" s="63" t="n"/>
      <c r="M8" s="22" t="inlineStr">
        <is>
          <t>B1 · B2 · B3</t>
        </is>
      </c>
      <c r="N8" s="64" t="n"/>
      <c r="O8" s="64" t="n"/>
      <c r="P8" s="64" t="n"/>
      <c r="Q8" s="63" t="n"/>
    </row>
    <row r="9" ht="41" customHeight="1">
      <c r="A9" s="24" t="inlineStr">
        <is>
          <t>B+</t>
        </is>
      </c>
      <c r="B9" s="25" t="inlineStr">
        <is>
          <t>Player-Coach transition step</t>
        </is>
      </c>
      <c r="C9" s="63" t="n"/>
      <c r="D9" s="25" t="inlineStr">
        <is>
          <t>Leads 3–6 people and still does the hardest hands-on work</t>
        </is>
      </c>
      <c r="E9" s="64" t="n"/>
      <c r="F9" s="64" t="n"/>
      <c r="G9" s="64" t="n"/>
      <c r="H9" s="64" t="n"/>
      <c r="I9" s="64" t="n"/>
      <c r="J9" s="64" t="n"/>
      <c r="K9" s="64" t="n"/>
      <c r="L9" s="63" t="n"/>
      <c r="M9" s="25" t="inlineStr">
        <is>
          <t>B+</t>
        </is>
      </c>
      <c r="N9" s="64" t="n"/>
      <c r="O9" s="64" t="n"/>
      <c r="P9" s="64" t="n"/>
      <c r="Q9" s="63" t="n"/>
    </row>
    <row r="10" ht="28" customHeight="1">
      <c r="A10" s="27" t="inlineStr">
        <is>
          <t>C</t>
        </is>
      </c>
      <c r="B10" s="28" t="inlineStr">
        <is>
          <t>Principal / Head</t>
        </is>
      </c>
      <c r="C10" s="63" t="n"/>
      <c r="D10" s="28" t="inlineStr">
        <is>
          <t>Owns a sub-function or function, or principal authority across products</t>
        </is>
      </c>
      <c r="E10" s="64" t="n"/>
      <c r="F10" s="64" t="n"/>
      <c r="G10" s="64" t="n"/>
      <c r="H10" s="64" t="n"/>
      <c r="I10" s="64" t="n"/>
      <c r="J10" s="64" t="n"/>
      <c r="K10" s="64" t="n"/>
      <c r="L10" s="63" t="n"/>
      <c r="M10" s="28" t="inlineStr">
        <is>
          <t>C1 · C2</t>
        </is>
      </c>
      <c r="N10" s="64" t="n"/>
      <c r="O10" s="64" t="n"/>
      <c r="P10" s="64" t="n"/>
      <c r="Q10" s="63" t="n"/>
    </row>
    <row r="11" ht="41" customHeight="1">
      <c r="A11" s="30" t="inlineStr">
        <is>
          <t>C+</t>
        </is>
      </c>
      <c r="B11" s="31" t="inlineStr">
        <is>
          <t>Player-Coach transition step</t>
        </is>
      </c>
      <c r="C11" s="63" t="n"/>
      <c r="D11" s="31" t="inlineStr">
        <is>
          <t>Heads a function and still personally carries critical clients or principal work</t>
        </is>
      </c>
      <c r="E11" s="64" t="n"/>
      <c r="F11" s="64" t="n"/>
      <c r="G11" s="64" t="n"/>
      <c r="H11" s="64" t="n"/>
      <c r="I11" s="64" t="n"/>
      <c r="J11" s="64" t="n"/>
      <c r="K11" s="64" t="n"/>
      <c r="L11" s="63" t="n"/>
      <c r="M11" s="31" t="inlineStr">
        <is>
          <t>C+</t>
        </is>
      </c>
      <c r="N11" s="64" t="n"/>
      <c r="O11" s="64" t="n"/>
      <c r="P11" s="64" t="n"/>
      <c r="Q11" s="63" t="n"/>
    </row>
    <row r="12" ht="28" customHeight="1">
      <c r="A12" s="33" t="inlineStr">
        <is>
          <t>D</t>
        </is>
      </c>
      <c r="B12" s="34" t="inlineStr">
        <is>
          <t>Business leadership</t>
        </is>
      </c>
      <c r="C12" s="63" t="n"/>
      <c r="D12" s="34" t="inlineStr">
        <is>
          <t>Owns a business line or an enterprise function</t>
        </is>
      </c>
      <c r="E12" s="64" t="n"/>
      <c r="F12" s="64" t="n"/>
      <c r="G12" s="64" t="n"/>
      <c r="H12" s="64" t="n"/>
      <c r="I12" s="64" t="n"/>
      <c r="J12" s="64" t="n"/>
      <c r="K12" s="64" t="n"/>
      <c r="L12" s="63" t="n"/>
      <c r="M12" s="34" t="inlineStr">
        <is>
          <t>D1 · D2</t>
        </is>
      </c>
      <c r="N12" s="64" t="n"/>
      <c r="O12" s="64" t="n"/>
      <c r="P12" s="64" t="n"/>
      <c r="Q12" s="63" t="n"/>
    </row>
    <row r="13" ht="28" customHeight="1">
      <c r="A13" s="36" t="inlineStr">
        <is>
          <t>E</t>
        </is>
      </c>
      <c r="B13" s="37" t="inlineStr">
        <is>
          <t>Enterprise leadership</t>
        </is>
      </c>
      <c r="C13" s="63" t="n"/>
      <c r="D13" s="37" t="inlineStr">
        <is>
          <t>Owns an enterprise-wide mandate</t>
        </is>
      </c>
      <c r="E13" s="64" t="n"/>
      <c r="F13" s="64" t="n"/>
      <c r="G13" s="64" t="n"/>
      <c r="H13" s="64" t="n"/>
      <c r="I13" s="64" t="n"/>
      <c r="J13" s="64" t="n"/>
      <c r="K13" s="64" t="n"/>
      <c r="L13" s="63" t="n"/>
      <c r="M13" s="37" t="inlineStr">
        <is>
          <t>E1 · E2</t>
        </is>
      </c>
      <c r="N13" s="64" t="n"/>
      <c r="O13" s="64" t="n"/>
      <c r="P13" s="64" t="n"/>
      <c r="Q13" s="63" t="n"/>
    </row>
    <row r="14" ht="15" customHeight="1">
      <c r="A14" s="39" t="inlineStr">
        <is>
          <t>X</t>
        </is>
      </c>
      <c r="B14" s="40" t="inlineStr">
        <is>
          <t>Consultant</t>
        </is>
      </c>
      <c r="C14" s="63" t="n"/>
      <c r="D14" s="40" t="inlineStr">
        <is>
          <t>Statement-of-work scope; outside the employee ladder</t>
        </is>
      </c>
      <c r="E14" s="64" t="n"/>
      <c r="F14" s="64" t="n"/>
      <c r="G14" s="64" t="n"/>
      <c r="H14" s="64" t="n"/>
      <c r="I14" s="64" t="n"/>
      <c r="J14" s="64" t="n"/>
      <c r="K14" s="64" t="n"/>
      <c r="L14" s="63" t="n"/>
      <c r="M14" s="40" t="inlineStr">
        <is>
          <t>X1 · X2 · X3</t>
        </is>
      </c>
      <c r="N14" s="64" t="n"/>
      <c r="O14" s="64" t="n"/>
      <c r="P14" s="64" t="n"/>
      <c r="Q14" s="63" t="n"/>
    </row>
    <row r="15" ht="15" customHeight="1"/>
    <row r="16" ht="20" customHeight="1">
      <c r="A16" s="6" t="inlineStr">
        <is>
          <t>The ladder — every descriptor for every level · bottom to top</t>
        </is>
      </c>
    </row>
    <row r="17" ht="28" customHeight="1">
      <c r="A17" s="7" t="inlineStr">
        <is>
          <t>Band</t>
        </is>
      </c>
      <c r="B17" s="7" t="inlineStr">
        <is>
          <t>Level</t>
        </is>
      </c>
      <c r="C17" s="7" t="inlineStr">
        <is>
          <t>Value</t>
        </is>
      </c>
      <c r="D17" s="7" t="inlineStr">
        <is>
          <t>IC title</t>
        </is>
      </c>
      <c r="E17" s="7" t="inlineStr">
        <is>
          <t>Manager title</t>
        </is>
      </c>
      <c r="F17" s="7" t="inlineStr">
        <is>
          <t>What the role owns</t>
        </is>
      </c>
      <c r="G17" s="7" t="inlineStr">
        <is>
          <t>Complexity &amp; expertise</t>
        </is>
      </c>
      <c r="H17" s="7" t="inlineStr">
        <is>
          <t>Autonomy &amp; decisions</t>
        </is>
      </c>
      <c r="I17" s="7" t="inlineStr">
        <is>
          <t>Accountability &amp; impact</t>
        </is>
      </c>
      <c r="J17" s="7" t="inlineStr">
        <is>
          <t>Leadership</t>
        </is>
      </c>
      <c r="K17" s="7" t="inlineStr">
        <is>
          <t>Experience</t>
        </is>
      </c>
      <c r="L17" s="7" t="inlineStr">
        <is>
          <t>Education</t>
        </is>
      </c>
      <c r="M17" s="7" t="inlineStr">
        <is>
          <t>Span of control</t>
        </is>
      </c>
      <c r="N17" s="7" t="inlineStr">
        <is>
          <t>Market code</t>
        </is>
      </c>
      <c r="O17" s="7" t="inlineStr">
        <is>
          <t>Hiring route</t>
        </is>
      </c>
      <c r="P17" s="7" t="inlineStr">
        <is>
          <t>Required competencies</t>
        </is>
      </c>
      <c r="Q17" s="7" t="inlineStr">
        <is>
          <t>People</t>
        </is>
      </c>
    </row>
    <row r="18" ht="41" customHeight="1">
      <c r="A18" s="18" t="inlineStr">
        <is>
          <t>A</t>
        </is>
      </c>
      <c r="B18" s="42" t="inlineStr">
        <is>
          <t>A1</t>
        </is>
      </c>
      <c r="C18" s="42" t="n">
        <v>1</v>
      </c>
      <c r="D18" s="19" t="inlineStr">
        <is>
          <t>Intern / Trainee</t>
        </is>
      </c>
      <c r="E18" s="19" t="inlineStr">
        <is>
          <t>Same path as IC</t>
        </is>
      </c>
      <c r="F18" s="19" t="inlineStr">
        <is>
          <t>Learning the role; all work reviewed</t>
        </is>
      </c>
      <c r="G18" s="19" t="inlineStr">
        <is>
          <t>Learning; follows worked examples</t>
        </is>
      </c>
      <c r="H18" s="19" t="inlineStr">
        <is>
          <t>Needs approval / close guidance</t>
        </is>
      </c>
      <c r="I18" s="19" t="inlineStr">
        <is>
          <t>Learning tasks</t>
        </is>
      </c>
      <c r="J18" s="19" t="inlineStr">
        <is>
          <t>Not scored in Band A</t>
        </is>
      </c>
      <c r="K18" s="19" t="inlineStr">
        <is>
          <t>0 yrs · fresher / intern</t>
        </is>
      </c>
      <c r="L18" s="19" t="inlineStr">
        <is>
          <t>Pursuing or completed graduation / diploma</t>
        </is>
      </c>
      <c r="M18" s="19" t="inlineStr">
        <is>
          <t>No direct reports</t>
        </is>
      </c>
      <c r="N18" s="42" t="inlineStr">
        <is>
          <t>Entry</t>
        </is>
      </c>
      <c r="O18" s="19" t="inlineStr">
        <is>
          <t>Campus / intern programme only</t>
        </is>
      </c>
      <c r="P18" s="19" t="inlineStr">
        <is>
          <t>Core 1 · Future-ready 1 · Functional 1 · Leadership not scored</t>
        </is>
      </c>
      <c r="Q18" s="42" t="n">
        <v>21</v>
      </c>
    </row>
    <row r="19" ht="41" customHeight="1">
      <c r="A19" s="18" t="inlineStr">
        <is>
          <t>A</t>
        </is>
      </c>
      <c r="B19" s="42" t="inlineStr">
        <is>
          <t>A2</t>
        </is>
      </c>
      <c r="C19" s="42" t="n">
        <v>2</v>
      </c>
      <c r="D19" s="19" t="inlineStr">
        <is>
          <t>Associate</t>
        </is>
      </c>
      <c r="E19" s="19" t="inlineStr">
        <is>
          <t>Same path as IC</t>
        </is>
      </c>
      <c r="F19" s="19" t="inlineStr">
        <is>
          <t>Standard work delivered independently</t>
        </is>
      </c>
      <c r="G19" s="19" t="inlineStr">
        <is>
          <t>Standard work of the discipline</t>
        </is>
      </c>
      <c r="H19" s="19" t="inlineStr">
        <is>
          <t>Chooses own approach within standards</t>
        </is>
      </c>
      <c r="I19" s="19" t="inlineStr">
        <is>
          <t>Own deliverables · accuracy, TAT</t>
        </is>
      </c>
      <c r="J19" s="19" t="inlineStr">
        <is>
          <t>Not scored in Band A</t>
        </is>
      </c>
      <c r="K19" s="19" t="inlineStr">
        <is>
          <t>0–2 yrs</t>
        </is>
      </c>
      <c r="L19" s="19" t="inlineStr">
        <is>
          <t>Graduate · or diploma with experience</t>
        </is>
      </c>
      <c r="M19" s="19" t="inlineStr">
        <is>
          <t>No direct reports</t>
        </is>
      </c>
      <c r="N19" s="42" t="inlineStr">
        <is>
          <t>P1–P2</t>
        </is>
      </c>
      <c r="O19" s="19" t="inlineStr">
        <is>
          <t>Lateral or campus · CT1 on confirmation; CT2 on joining</t>
        </is>
      </c>
      <c r="P19" s="19" t="inlineStr">
        <is>
          <t>Core 2 · Future-ready 2 · Functional 2 · Leadership not scored</t>
        </is>
      </c>
      <c r="Q19" s="42" t="n">
        <v>54</v>
      </c>
    </row>
    <row r="20" ht="41" customHeight="1">
      <c r="A20" s="18" t="inlineStr">
        <is>
          <t>A</t>
        </is>
      </c>
      <c r="B20" s="42" t="inlineStr">
        <is>
          <t>A3</t>
        </is>
      </c>
      <c r="C20" s="42" t="n">
        <v>3</v>
      </c>
      <c r="D20" s="19" t="inlineStr">
        <is>
          <t>Senior Associate</t>
        </is>
      </c>
      <c r="E20" s="19" t="inlineStr">
        <is>
          <t>Same path as IC</t>
        </is>
      </c>
      <c r="F20" s="19" t="inlineStr">
        <is>
          <t>Varied work; reviews juniors; go-to for a process</t>
        </is>
      </c>
      <c r="G20" s="19" t="inlineStr">
        <is>
          <t>Varied and non-standard work; handles exceptions</t>
        </is>
      </c>
      <c r="H20" s="19" t="inlineStr">
        <is>
          <t>Technical / QC / client calls on own work</t>
        </is>
      </c>
      <c r="I20" s="19" t="inlineStr">
        <is>
          <t>A module / process, or work with client or regulatory consequences</t>
        </is>
      </c>
      <c r="J20" s="19" t="inlineStr">
        <is>
          <t>Not scored in Band A</t>
        </is>
      </c>
      <c r="K20" s="19" t="inlineStr">
        <is>
          <t>2–4 yrs</t>
        </is>
      </c>
      <c r="L20" s="19" t="inlineStr">
        <is>
          <t>Graduate; relevant certification preferred</t>
        </is>
      </c>
      <c r="M20" s="19" t="inlineStr">
        <is>
          <t>None · guides 1–3 juniors informally</t>
        </is>
      </c>
      <c r="N20" s="42" t="inlineStr">
        <is>
          <t>P2</t>
        </is>
      </c>
      <c r="O20" s="19" t="inlineStr">
        <is>
          <t>Lateral or campus · CT2 at 12 months; CT3 in programme</t>
        </is>
      </c>
      <c r="P20" s="19" t="inlineStr">
        <is>
          <t>Core 2 · Future-ready 2 · Functional 3 · Leadership not scored</t>
        </is>
      </c>
      <c r="Q20" s="42" t="n">
        <v>278</v>
      </c>
    </row>
    <row r="21" ht="54" customHeight="1">
      <c r="A21" s="21" t="inlineStr">
        <is>
          <t>B</t>
        </is>
      </c>
      <c r="B21" s="43" t="inlineStr">
        <is>
          <t>B1</t>
        </is>
      </c>
      <c r="C21" s="43" t="n">
        <v>4</v>
      </c>
      <c r="D21" s="22" t="inlineStr">
        <is>
          <t>Specialist</t>
        </is>
      </c>
      <c r="E21" s="22" t="inlineStr">
        <is>
          <t>Team Lead</t>
        </is>
      </c>
      <c r="F21" s="22" t="inlineStr">
        <is>
          <t>A domain / module, or a small team</t>
        </is>
      </c>
      <c r="G21" s="22" t="inlineStr">
        <is>
          <t>Domain specialist work</t>
        </is>
      </c>
      <c r="H21" s="22" t="inlineStr">
        <is>
          <t>Technical / QC / client calls for the domain</t>
        </is>
      </c>
      <c r="I21" s="22" t="inlineStr">
        <is>
          <t>A domain or a small team</t>
        </is>
      </c>
      <c r="J21" s="22" t="inlineStr">
        <is>
          <r>
            <rPr>
              <rFont val="Calibri"/>
              <b val="1"/>
              <sz val="10"/>
            </rPr>
            <t>IC:</t>
          </r>
          <r>
            <rPr>
              <rFont val="Calibri"/>
              <sz val="10"/>
            </rPr>
            <t xml:space="preserve"> mentors and reviews · People: hands-on team lead of 3–5</t>
          </r>
        </is>
      </c>
      <c r="K21" s="22" t="inlineStr">
        <is>
          <t>4–7 yrs</t>
        </is>
      </c>
      <c r="L21" s="22" t="inlineStr">
        <is>
          <t>Graduate + relevant qualification or certification preferred</t>
        </is>
      </c>
      <c r="M21" s="22" t="inlineStr">
        <is>
          <r>
            <rPr>
              <rFont val="Calibri"/>
              <b val="1"/>
              <sz val="10"/>
            </rPr>
            <t>IC:</t>
          </r>
          <r>
            <rPr>
              <rFont val="Calibri"/>
              <sz val="10"/>
            </rPr>
            <t xml:space="preserve"> none · Team Lead: 3–5</t>
          </r>
        </is>
      </c>
      <c r="N21" s="43" t="inlineStr">
        <is>
          <t>P3 / M2</t>
        </is>
      </c>
      <c r="O21" s="22" t="inlineStr">
        <is>
          <t>Lateral; Management Trainees graduate here</t>
        </is>
      </c>
      <c r="P21" s="22" t="inlineStr">
        <is>
          <t>Core 3 · Future-ready 3 · Functional 3 · Leadership 1 · IC / 2 · POD Lead, Manager</t>
        </is>
      </c>
      <c r="Q21" s="43" t="n">
        <v>92</v>
      </c>
    </row>
    <row r="22" ht="54" customHeight="1">
      <c r="A22" s="21" t="inlineStr">
        <is>
          <t>B</t>
        </is>
      </c>
      <c r="B22" s="43" t="inlineStr">
        <is>
          <t>B2</t>
        </is>
      </c>
      <c r="C22" s="43" t="n">
        <v>5</v>
      </c>
      <c r="D22" s="22" t="inlineStr">
        <is>
          <t>Senior Specialist</t>
        </is>
      </c>
      <c r="E22" s="22" t="inlineStr">
        <is>
          <t>Manager</t>
        </is>
      </c>
      <c r="F22" s="22" t="inlineStr">
        <is>
          <t>Deep domain expertise, or one team</t>
        </is>
      </c>
      <c r="G22" s="22" t="inlineStr">
        <is>
          <t>Hardest problems in the domain</t>
        </is>
      </c>
      <c r="H22" s="22" t="inlineStr">
        <is>
          <t>Allocates people and sets team priorities</t>
        </is>
      </c>
      <c r="I22" s="22" t="inlineStr">
        <is>
          <t>One team or a client portfolio</t>
        </is>
      </c>
      <c r="J22" s="22" t="inlineStr">
        <is>
          <r>
            <rPr>
              <rFont val="Calibri"/>
              <b val="1"/>
              <sz val="10"/>
            </rPr>
            <t>IC:</t>
          </r>
          <r>
            <rPr>
              <rFont val="Calibri"/>
              <sz val="10"/>
            </rPr>
            <t xml:space="preserve"> guides others in the domain · People: manages a team of 6+</t>
          </r>
        </is>
      </c>
      <c r="K22" s="22" t="inlineStr">
        <is>
          <t>6–9 yrs</t>
        </is>
      </c>
      <c r="L22" s="22" t="inlineStr">
        <is>
          <t>Graduate or postgraduate; professional qualification preferred</t>
        </is>
      </c>
      <c r="M22" s="22" t="inlineStr">
        <is>
          <r>
            <rPr>
              <rFont val="Calibri"/>
              <b val="1"/>
              <sz val="10"/>
            </rPr>
            <t>IC:</t>
          </r>
          <r>
            <rPr>
              <rFont val="Calibri"/>
              <sz val="10"/>
            </rPr>
            <t xml:space="preserve"> none · People: 6–8 knowledge work, 8–12 standardised delivery</t>
          </r>
        </is>
      </c>
      <c r="N22" s="43" t="inlineStr">
        <is>
          <t>P4 / M3</t>
        </is>
      </c>
      <c r="O22" s="22" t="inlineStr">
        <is>
          <t>Lateral</t>
        </is>
      </c>
      <c r="P22" s="22" t="inlineStr">
        <is>
          <t>Core 3 · Future-ready 3 · Functional 4 · Leadership 2 · IC / 3 · POD Lead, Manager</t>
        </is>
      </c>
      <c r="Q22" s="43" t="n">
        <v>67</v>
      </c>
    </row>
    <row r="23" ht="54" customHeight="1">
      <c r="A23" s="21" t="inlineStr">
        <is>
          <t>B</t>
        </is>
      </c>
      <c r="B23" s="43" t="inlineStr">
        <is>
          <t>B3</t>
        </is>
      </c>
      <c r="C23" s="43" t="n">
        <v>6</v>
      </c>
      <c r="D23" s="22" t="inlineStr">
        <is>
          <t>Lead Specialist</t>
        </is>
      </c>
      <c r="E23" s="22" t="inlineStr">
        <is>
          <t>Senior Manager</t>
        </is>
      </c>
      <c r="F23" s="22" t="inlineStr">
        <is>
          <t>A practice, or several teams through team leads</t>
        </is>
      </c>
      <c r="G23" s="22" t="inlineStr">
        <is>
          <t>Sets standards for a practice; cross-team problems</t>
        </is>
      </c>
      <c r="H23" s="22" t="inlineStr">
        <is>
          <t>Commercial / strategic calls for the unit</t>
        </is>
      </c>
      <c r="I23" s="22" t="inlineStr">
        <is>
          <t>Several teams or a practice</t>
        </is>
      </c>
      <c r="J23" s="22" t="inlineStr">
        <is>
          <r>
            <rPr>
              <rFont val="Calibri"/>
              <b val="1"/>
              <sz val="10"/>
            </rPr>
            <t>IC:</t>
          </r>
          <r>
            <rPr>
              <rFont val="Calibri"/>
              <sz val="10"/>
            </rPr>
            <t xml:space="preserve"> leads a practice · People: team leads / managers report in</t>
          </r>
        </is>
      </c>
      <c r="K23" s="22" t="inlineStr">
        <is>
          <t>8–12 yrs</t>
        </is>
      </c>
      <c r="L23" s="22" t="inlineStr">
        <is>
          <t>Postgraduate or professional qualification preferred</t>
        </is>
      </c>
      <c r="M23" s="22" t="inlineStr">
        <is>
          <r>
            <rPr>
              <rFont val="Calibri"/>
              <b val="1"/>
              <sz val="10"/>
            </rPr>
            <t>IC:</t>
          </r>
          <r>
            <rPr>
              <rFont val="Calibri"/>
              <sz val="10"/>
            </rPr>
            <t xml:space="preserve"> none · People: 5–8 incl. team leads</t>
          </r>
        </is>
      </c>
      <c r="N23" s="43" t="inlineStr">
        <is>
          <t>P5 / M4</t>
        </is>
      </c>
      <c r="O23" s="22" t="inlineStr">
        <is>
          <t>Lateral; internal posting first</t>
        </is>
      </c>
      <c r="P23" s="22" t="inlineStr">
        <is>
          <t>Core 4 · Future-ready 3 · Functional 4 · Leadership 3 · IC / 4 · POD Lead, Manager</t>
        </is>
      </c>
      <c r="Q23" s="43" t="n">
        <v>16</v>
      </c>
    </row>
    <row r="24" ht="80" customHeight="1">
      <c r="A24" s="24" t="inlineStr">
        <is>
          <t>B+</t>
        </is>
      </c>
      <c r="B24" s="44" t="inlineStr">
        <is>
          <t>B+</t>
        </is>
      </c>
      <c r="C24" s="44" t="n">
        <v>6.5</v>
      </c>
      <c r="D24" s="25" t="inlineStr">
        <is>
          <t>Practice Lead · Player-Coach</t>
        </is>
      </c>
      <c r="E24" s="25" t="inlineStr">
        <is>
          <t>Practice Lead · Player-Coach</t>
        </is>
      </c>
      <c r="F24" s="25" t="inlineStr">
        <is>
          <r>
            <rPr>
              <rFont val="Calibri"/>
              <b val="1"/>
              <sz val="10"/>
            </rPr>
            <t>A practice or product area:</t>
          </r>
          <r>
            <rPr>
              <rFont val="Calibri"/>
              <sz val="10"/>
            </rPr>
            <t xml:space="preserve"> does the hardest hands-on work itself and leads 3–6 people · player-coach</t>
          </r>
        </is>
      </c>
      <c r="G24" s="25" t="inlineStr">
        <is>
          <t>Principal-level problems in own domain; sets technical or quality standards and still builds</t>
        </is>
      </c>
      <c r="H24" s="25" t="inlineStr">
        <is>
          <t>Decides approach and priorities for the practice; escalates only cross-function trade-offs</t>
        </is>
      </c>
      <c r="I24" s="25" t="inlineStr">
        <is>
          <t>Practice outcomes plus own deliverables; quality and delivery of the team</t>
        </is>
      </c>
      <c r="J24" s="25" t="inlineStr">
        <is>
          <t>Leads 3–6 people · or a pod while remaining a hands-on expert; coaches, allocates, reviews</t>
        </is>
      </c>
      <c r="K24" s="25" t="inlineStr">
        <is>
          <t>9–14 yrs</t>
        </is>
      </c>
      <c r="L24" s="25" t="inlineStr">
        <is>
          <t>Postgraduate or professional qualification preferred</t>
        </is>
      </c>
      <c r="M24" s="25" t="inlineStr">
        <is>
          <t>3–6 direct reports with ≥ 40% of time on own delivery · McKinsey player/coach 3–5; Google Tech Lead Manager</t>
        </is>
      </c>
      <c r="N24" s="44" t="inlineStr">
        <is>
          <t>P5–P6 / M4–M5</t>
        </is>
      </c>
      <c r="O24" s="25" t="inlineStr">
        <is>
          <t>Internal posting first; lateral by exception</t>
        </is>
      </c>
      <c r="P24" s="25" t="inlineStr">
        <is>
          <t>Core 4 · Future-ready 4 · Functional 4 · Leadership 4</t>
        </is>
      </c>
      <c r="Q24" s="44" t="n">
        <v>6</v>
      </c>
    </row>
    <row r="25" ht="41" customHeight="1">
      <c r="A25" s="27" t="inlineStr">
        <is>
          <t>C</t>
        </is>
      </c>
      <c r="B25" s="45" t="inlineStr">
        <is>
          <t>C1</t>
        </is>
      </c>
      <c r="C25" s="45" t="n">
        <v>7</v>
      </c>
      <c r="D25" s="28" t="inlineStr">
        <is>
          <t>Principal</t>
        </is>
      </c>
      <c r="E25" s="28" t="inlineStr">
        <is>
          <t>Associate Head</t>
        </is>
      </c>
      <c r="F25" s="28" t="inlineStr">
        <is>
          <t>A sub-function, or principal authority across products</t>
        </is>
      </c>
      <c r="G25" s="28" t="inlineStr">
        <is>
          <t>Ambiguous, cross-product problems</t>
        </is>
      </c>
      <c r="H25" s="28" t="inlineStr">
        <is>
          <t>Sets direction for a sub-function or domain</t>
        </is>
      </c>
      <c r="I25" s="28" t="inlineStr">
        <is>
          <t>Sub-function results or domain quality across products</t>
        </is>
      </c>
      <c r="J25" s="28" t="inlineStr">
        <is>
          <t>Leads managers or a community of practice</t>
        </is>
      </c>
      <c r="K25" s="28" t="inlineStr">
        <is>
          <t>10–14 yrs</t>
        </is>
      </c>
      <c r="L25" s="28" t="inlineStr">
        <is>
          <t>Postgraduate / professional qualification preferred</t>
        </is>
      </c>
      <c r="M25" s="28" t="inlineStr">
        <is>
          <t>5–8, mostly managers</t>
        </is>
      </c>
      <c r="N25" s="45" t="inlineStr">
        <is>
          <t>P6 / M5</t>
        </is>
      </c>
      <c r="O25" s="28" t="inlineStr">
        <is>
          <t>Internal posting first; lateral</t>
        </is>
      </c>
      <c r="P25" s="28" t="inlineStr">
        <is>
          <t>Core 4 · Future-ready 4 · Functional 4 · Leadership 4</t>
        </is>
      </c>
      <c r="Q25" s="45" t="n">
        <v>12</v>
      </c>
    </row>
    <row r="26" ht="41" customHeight="1">
      <c r="A26" s="27" t="inlineStr">
        <is>
          <t>C</t>
        </is>
      </c>
      <c r="B26" s="45" t="inlineStr">
        <is>
          <t>C2</t>
        </is>
      </c>
      <c r="C26" s="45" t="n">
        <v>8</v>
      </c>
      <c r="D26" s="28" t="inlineStr">
        <is>
          <t>Senior Principal / Architect</t>
        </is>
      </c>
      <c r="E26" s="28" t="inlineStr">
        <is>
          <t>Head of Function</t>
        </is>
      </c>
      <c r="F26" s="28" t="inlineStr">
        <is>
          <t>A function or department, or a company-wide discipline</t>
        </is>
      </c>
      <c r="G26" s="28" t="inlineStr">
        <is>
          <t>Function-wide or company-wide problems; creates methods and standards</t>
        </is>
      </c>
      <c r="H26" s="28" t="inlineStr">
        <is>
          <t>Sets direction for a function</t>
        </is>
      </c>
      <c r="I26" s="28" t="inlineStr">
        <is>
          <t>Function results, budget and risk</t>
        </is>
      </c>
      <c r="J26" s="28" t="inlineStr">
        <is>
          <t>Leads a function; shapes functional strategy</t>
        </is>
      </c>
      <c r="K26" s="28" t="inlineStr">
        <is>
          <t>12–17 yrs</t>
        </is>
      </c>
      <c r="L26" s="28" t="inlineStr">
        <is>
          <t>Postgraduate / professional qualification preferred</t>
        </is>
      </c>
      <c r="M26" s="28" t="inlineStr">
        <is>
          <t>5–8 managers / associate heads</t>
        </is>
      </c>
      <c r="N26" s="45" t="inlineStr">
        <is>
          <t>P7 / M6</t>
        </is>
      </c>
      <c r="O26" s="28" t="inlineStr">
        <is>
          <t>Internal posting first; lateral</t>
        </is>
      </c>
      <c r="P26" s="28" t="inlineStr">
        <is>
          <t>Core 4 · Future-ready 4 · Functional 5 · Leadership 4</t>
        </is>
      </c>
      <c r="Q26" s="45" t="n">
        <v>4</v>
      </c>
    </row>
    <row r="27" ht="67" customHeight="1">
      <c r="A27" s="30" t="inlineStr">
        <is>
          <t>C+</t>
        </is>
      </c>
      <c r="B27" s="46" t="inlineStr">
        <is>
          <t>C+</t>
        </is>
      </c>
      <c r="C27" s="46" t="n">
        <v>8.5</v>
      </c>
      <c r="D27" s="31" t="inlineStr">
        <is>
          <t>Group Head · Player-Coach</t>
        </is>
      </c>
      <c r="E27" s="31" t="inlineStr">
        <is>
          <t>Group Head · Player-Coach</t>
        </is>
      </c>
      <c r="F27" s="31" t="inlineStr">
        <is>
          <r>
            <rPr>
              <rFont val="Calibri"/>
              <b val="1"/>
              <sz val="10"/>
            </rPr>
            <t>A function or group of practices:</t>
          </r>
          <r>
            <rPr>
              <rFont val="Calibri"/>
              <sz val="10"/>
            </rPr>
            <t xml:space="preserve"> answers for its results and personally delivers or sells the most critical work · player-coach</t>
          </r>
        </is>
      </c>
      <c r="G27" s="31" t="inlineStr">
        <is>
          <t>Function-wide and cross-product problems; personally handles the most critical client or technical work</t>
        </is>
      </c>
      <c r="H27" s="31" t="inlineStr">
        <is>
          <t>Sets direction for the function; business-line trade-offs go to the Business Head</t>
        </is>
      </c>
      <c r="I27" s="31" t="inlineStr">
        <is>
          <t>Function results, budget and key-client outcomes; carries own book or principal delivery</t>
        </is>
      </c>
      <c r="J27" s="31" t="inlineStr">
        <is>
          <t>Leads managers and leads and 10+ people in the function while staying hands-on</t>
        </is>
      </c>
      <c r="K27" s="31" t="inlineStr">
        <is>
          <t>13–18 yrs</t>
        </is>
      </c>
      <c r="L27" s="31" t="inlineStr">
        <is>
          <t>Postgraduate / professional qualification preferred</t>
        </is>
      </c>
      <c r="M27" s="31" t="inlineStr">
        <is>
          <t>4–8 managers / leads with ≥ 25% of time on own principal delivery</t>
        </is>
      </c>
      <c r="N27" s="46" t="inlineStr">
        <is>
          <t>M6 / E1</t>
        </is>
      </c>
      <c r="O27" s="31" t="inlineStr">
        <is>
          <t>Internal posting first; lateral</t>
        </is>
      </c>
      <c r="P27" s="31" t="inlineStr">
        <is>
          <t>Core 5 · Future-ready 4 · Functional 5 · Leadership 5</t>
        </is>
      </c>
      <c r="Q27" s="46" t="inlineStr">
        <is>
          <t>—</t>
        </is>
      </c>
    </row>
    <row r="28" ht="41" customHeight="1">
      <c r="A28" s="33" t="inlineStr">
        <is>
          <t>D</t>
        </is>
      </c>
      <c r="B28" s="47" t="inlineStr">
        <is>
          <t>D1</t>
        </is>
      </c>
      <c r="C28" s="47" t="n">
        <v>9</v>
      </c>
      <c r="D28" s="34" t="inlineStr">
        <is>
          <t>Chief Specialist / Distinguished Principal</t>
        </is>
      </c>
      <c r="E28" s="34" t="inlineStr">
        <is>
          <t>Associate Vice President / Business Head</t>
        </is>
      </c>
      <c r="F28" s="34" t="inlineStr">
        <is>
          <t>A business line P&amp;L, region or enterprise function</t>
        </is>
      </c>
      <c r="G28" s="34" t="inlineStr">
        <is>
          <t>Competing strategic, financial and regulatory priorities</t>
        </is>
      </c>
      <c r="H28" s="34" t="inlineStr">
        <is>
          <t>Sets business-line direction, pricing and investment</t>
        </is>
      </c>
      <c r="I28" s="34" t="inlineStr">
        <is>
          <t>Business-line P&amp;L and market position</t>
        </is>
      </c>
      <c r="J28" s="34" t="inlineStr">
        <is>
          <t>Defines business strategy; builds the leadership bench</t>
        </is>
      </c>
      <c r="K28" s="34" t="inlineStr">
        <is>
          <t>15–20 yrs</t>
        </is>
      </c>
      <c r="L28" s="34" t="inlineStr">
        <is>
          <t>Postgraduate / professional qualification preferred</t>
        </is>
      </c>
      <c r="M28" s="34" t="inlineStr">
        <is>
          <t>5–8 heads</t>
        </is>
      </c>
      <c r="N28" s="47" t="inlineStr">
        <is>
          <t>E1–E2</t>
        </is>
      </c>
      <c r="O28" s="34" t="inlineStr">
        <is>
          <t>Internal posting first; lateral</t>
        </is>
      </c>
      <c r="P28" s="34" t="inlineStr">
        <is>
          <t>Core 5 · Future-ready 4 · Functional 4 · Leadership 5</t>
        </is>
      </c>
      <c r="Q28" s="47" t="n">
        <v>2</v>
      </c>
    </row>
    <row r="29" ht="41" customHeight="1">
      <c r="A29" s="33" t="inlineStr">
        <is>
          <t>D</t>
        </is>
      </c>
      <c r="B29" s="47" t="inlineStr">
        <is>
          <t>D2</t>
        </is>
      </c>
      <c r="C29" s="47" t="n">
        <v>10</v>
      </c>
      <c r="D29" s="34" t="inlineStr">
        <is>
          <t>—</t>
        </is>
      </c>
      <c r="E29" s="34" t="inlineStr">
        <is>
          <t>Vice President</t>
        </is>
      </c>
      <c r="F29" s="34" t="inlineStr">
        <is>
          <t>Several business lines or an executive-scope enterprise function</t>
        </is>
      </c>
      <c r="G29" s="34" t="inlineStr">
        <is>
          <t>Portfolio-level strategic, financial and regulatory trade-offs</t>
        </is>
      </c>
      <c r="H29" s="34" t="inlineStr">
        <is>
          <t>Sets direction across business lines</t>
        </is>
      </c>
      <c r="I29" s="34" t="inlineStr">
        <is>
          <t>Multi-business results</t>
        </is>
      </c>
      <c r="J29" s="34" t="inlineStr">
        <is>
          <t>Builds the leadership team across businesses</t>
        </is>
      </c>
      <c r="K29" s="34" t="inlineStr">
        <is>
          <t>18–24 yrs</t>
        </is>
      </c>
      <c r="L29" s="34" t="inlineStr">
        <is>
          <t>Postgraduate / professional qualification preferred</t>
        </is>
      </c>
      <c r="M29" s="34" t="inlineStr">
        <is>
          <t>5–8 AVPs / heads</t>
        </is>
      </c>
      <c r="N29" s="47" t="inlineStr">
        <is>
          <t>E3–E4</t>
        </is>
      </c>
      <c r="O29" s="34" t="inlineStr">
        <is>
          <t>Internal first; lateral by exception</t>
        </is>
      </c>
      <c r="P29" s="34" t="inlineStr">
        <is>
          <t>Core 5 · Future-ready 4 · Functional 4 · Leadership 5</t>
        </is>
      </c>
      <c r="Q29" s="47" t="n">
        <v>4</v>
      </c>
    </row>
    <row r="30" ht="54" customHeight="1">
      <c r="A30" s="36" t="inlineStr">
        <is>
          <t>E</t>
        </is>
      </c>
      <c r="B30" s="48" t="inlineStr">
        <is>
          <t>E1</t>
        </is>
      </c>
      <c r="C30" s="48" t="n">
        <v>11</v>
      </c>
      <c r="D30" s="37" t="inlineStr">
        <is>
          <t>—</t>
        </is>
      </c>
      <c r="E30" s="37" t="inlineStr">
        <is>
          <t>CXO / President</t>
        </is>
      </c>
      <c r="F30" s="37" t="inlineStr">
        <is>
          <t>An enterprise-wide function</t>
        </is>
      </c>
      <c r="G30" s="37" t="inlineStr">
        <is>
          <t>Enterprise-level functional strategy</t>
        </is>
      </c>
      <c r="H30" s="37" t="inlineStr">
        <is>
          <t>Sets enterprise priorities for the function</t>
        </is>
      </c>
      <c r="I30" s="37" t="inlineStr">
        <is>
          <t>Enterprise-wide functional results</t>
        </is>
      </c>
      <c r="J30" s="37" t="inlineStr">
        <is>
          <t>Shapes enterprise strategy</t>
        </is>
      </c>
      <c r="K30" s="37" t="inlineStr">
        <is>
          <t>20+ yrs</t>
        </is>
      </c>
      <c r="L30" s="37" t="inlineStr">
        <is>
          <t>Postgraduate / professional qualification; business leadership record</t>
        </is>
      </c>
      <c r="M30" s="37" t="inlineStr">
        <is>
          <t>5–8 function heads</t>
        </is>
      </c>
      <c r="N30" s="48" t="inlineStr">
        <is>
          <t>E5</t>
        </is>
      </c>
      <c r="O30" s="37" t="inlineStr">
        <is>
          <t>CEO / board appointment</t>
        </is>
      </c>
      <c r="P30" s="37" t="inlineStr">
        <is>
          <t>Core 5 · Future-ready 5 · Functional 4 · Leadership 5</t>
        </is>
      </c>
      <c r="Q30" s="48" t="n">
        <v>4</v>
      </c>
    </row>
    <row r="31" ht="54" customHeight="1">
      <c r="A31" s="36" t="inlineStr">
        <is>
          <t>E</t>
        </is>
      </c>
      <c r="B31" s="48" t="inlineStr">
        <is>
          <t>E2</t>
        </is>
      </c>
      <c r="C31" s="48" t="n">
        <v>12</v>
      </c>
      <c r="D31" s="37" t="inlineStr">
        <is>
          <t>—</t>
        </is>
      </c>
      <c r="E31" s="37" t="inlineStr">
        <is>
          <t>Chief Executive Officer</t>
        </is>
      </c>
      <c r="F31" s="37" t="inlineStr">
        <is>
          <t>The enterprise</t>
        </is>
      </c>
      <c r="G31" s="37" t="inlineStr">
        <is>
          <t>Enterprise-wide uncertainty, transformation and external forces</t>
        </is>
      </c>
      <c r="H31" s="37" t="inlineStr">
        <is>
          <t>Accountable to the board</t>
        </is>
      </c>
      <c r="I31" s="37" t="inlineStr">
        <is>
          <t>Enterprise results, risk, culture and long-term viability</t>
        </is>
      </c>
      <c r="J31" s="37" t="inlineStr">
        <is>
          <t>Sets enterprise strategy; leads the executive team</t>
        </is>
      </c>
      <c r="K31" s="37" t="inlineStr">
        <is>
          <t>20+ yrs</t>
        </is>
      </c>
      <c r="L31" s="37" t="inlineStr">
        <is>
          <t>Postgraduate / professional qualification; proven business leadership</t>
        </is>
      </c>
      <c r="M31" s="37" t="inlineStr">
        <is>
          <t>Executive team</t>
        </is>
      </c>
      <c r="N31" s="48" t="inlineStr">
        <is>
          <t>E6</t>
        </is>
      </c>
      <c r="O31" s="37" t="inlineStr">
        <is>
          <t>Board appointment</t>
        </is>
      </c>
      <c r="P31" s="37" t="inlineStr">
        <is>
          <t>Core 5 · Future-ready 5 · Functional 4 · Leadership 5</t>
        </is>
      </c>
      <c r="Q31" s="48" t="n">
        <v>1</v>
      </c>
    </row>
    <row r="32" ht="28" customHeight="1">
      <c r="A32" s="39" t="inlineStr">
        <is>
          <t>X</t>
        </is>
      </c>
      <c r="B32" s="49" t="inlineStr">
        <is>
          <t>X1</t>
        </is>
      </c>
      <c r="C32" s="49" t="inlineStr">
        <is>
          <t>—</t>
        </is>
      </c>
      <c r="D32" s="40" t="inlineStr">
        <is>
          <t>Associate Consultant</t>
        </is>
      </c>
      <c r="E32" s="40" t="inlineStr">
        <is>
          <t>Outside the employee ladder</t>
        </is>
      </c>
      <c r="F32" s="40" t="inlineStr">
        <is>
          <t>Defined deliverables under a statement of work · ≈ A2–A3</t>
        </is>
      </c>
      <c r="G32" s="40" t="inlineStr">
        <is>
          <t>—</t>
        </is>
      </c>
      <c r="H32" s="40" t="inlineStr">
        <is>
          <t>—</t>
        </is>
      </c>
      <c r="I32" s="40" t="inlineStr">
        <is>
          <t>—</t>
        </is>
      </c>
      <c r="J32" s="40" t="inlineStr">
        <is>
          <t>—</t>
        </is>
      </c>
      <c r="K32" s="40" t="inlineStr">
        <is>
          <t>0–5 yrs</t>
        </is>
      </c>
      <c r="L32" s="40" t="inlineStr">
        <is>
          <t>As for equivalent role</t>
        </is>
      </c>
      <c r="M32" s="40" t="inlineStr">
        <is>
          <t>Not counted in spans</t>
        </is>
      </c>
      <c r="N32" s="49" t="inlineStr">
        <is>
          <t>Contractor</t>
        </is>
      </c>
      <c r="O32" s="40" t="inlineStr">
        <is>
          <t>Statement of work</t>
        </is>
      </c>
      <c r="P32" s="40" t="inlineStr">
        <is>
          <t>Per statement of work</t>
        </is>
      </c>
      <c r="Q32" s="49" t="n">
        <v>22</v>
      </c>
    </row>
    <row r="33" ht="28" customHeight="1">
      <c r="A33" s="39" t="inlineStr">
        <is>
          <t>X</t>
        </is>
      </c>
      <c r="B33" s="49" t="inlineStr">
        <is>
          <t>X2</t>
        </is>
      </c>
      <c r="C33" s="49" t="inlineStr">
        <is>
          <t>—</t>
        </is>
      </c>
      <c r="D33" s="40" t="inlineStr">
        <is>
          <t>Consultant</t>
        </is>
      </c>
      <c r="E33" s="40" t="inlineStr">
        <is>
          <t>Outside the employee ladder</t>
        </is>
      </c>
      <c r="F33" s="40" t="inlineStr">
        <is>
          <t>Specialist scope or workstream · ≈ B1–B2</t>
        </is>
      </c>
      <c r="G33" s="40" t="inlineStr">
        <is>
          <t>—</t>
        </is>
      </c>
      <c r="H33" s="40" t="inlineStr">
        <is>
          <t>—</t>
        </is>
      </c>
      <c r="I33" s="40" t="inlineStr">
        <is>
          <t>—</t>
        </is>
      </c>
      <c r="J33" s="40" t="inlineStr">
        <is>
          <t>—</t>
        </is>
      </c>
      <c r="K33" s="40" t="inlineStr">
        <is>
          <t>4–10 yrs</t>
        </is>
      </c>
      <c r="L33" s="40" t="inlineStr">
        <is>
          <t>As for equivalent role</t>
        </is>
      </c>
      <c r="M33" s="40" t="inlineStr">
        <is>
          <t>Not counted in spans</t>
        </is>
      </c>
      <c r="N33" s="49" t="inlineStr">
        <is>
          <t>Contractor</t>
        </is>
      </c>
      <c r="O33" s="40" t="inlineStr">
        <is>
          <t>Statement of work</t>
        </is>
      </c>
      <c r="P33" s="40" t="inlineStr">
        <is>
          <t>Per statement of work</t>
        </is>
      </c>
      <c r="Q33" s="49" t="n">
        <v>1</v>
      </c>
    </row>
    <row r="34" ht="28" customHeight="1">
      <c r="A34" s="39" t="inlineStr">
        <is>
          <t>X</t>
        </is>
      </c>
      <c r="B34" s="49" t="inlineStr">
        <is>
          <t>X3</t>
        </is>
      </c>
      <c r="C34" s="49" t="inlineStr">
        <is>
          <t>—</t>
        </is>
      </c>
      <c r="D34" s="40" t="inlineStr">
        <is>
          <t>Senior Consultant / Advisor</t>
        </is>
      </c>
      <c r="E34" s="40" t="inlineStr">
        <is>
          <t>Outside the employee ladder</t>
        </is>
      </c>
      <c r="F34" s="40" t="inlineStr">
        <is>
          <t>Expert or advisory scope · ≈ B3–C2</t>
        </is>
      </c>
      <c r="G34" s="40" t="inlineStr">
        <is>
          <t>—</t>
        </is>
      </c>
      <c r="H34" s="40" t="inlineStr">
        <is>
          <t>—</t>
        </is>
      </c>
      <c r="I34" s="40" t="inlineStr">
        <is>
          <t>—</t>
        </is>
      </c>
      <c r="J34" s="40" t="inlineStr">
        <is>
          <t>—</t>
        </is>
      </c>
      <c r="K34" s="40" t="inlineStr">
        <is>
          <t>10+ yrs</t>
        </is>
      </c>
      <c r="L34" s="40" t="inlineStr">
        <is>
          <t>As for equivalent role</t>
        </is>
      </c>
      <c r="M34" s="40" t="inlineStr">
        <is>
          <t>Not counted in spans</t>
        </is>
      </c>
      <c r="N34" s="49" t="inlineStr">
        <is>
          <t>Contractor</t>
        </is>
      </c>
      <c r="O34" s="40" t="inlineStr">
        <is>
          <t>Statement of work / retainer</t>
        </is>
      </c>
      <c r="P34" s="40" t="inlineStr">
        <is>
          <t>Per statement of work</t>
        </is>
      </c>
      <c r="Q34" s="49" t="n">
        <v>2</v>
      </c>
    </row>
    <row r="35" ht="15" customHeight="1"/>
    <row r="36" ht="20" customHeight="1">
      <c r="A36" s="6" t="inlineStr">
        <is>
          <t>Placement rules attached to each level</t>
        </is>
      </c>
    </row>
    <row r="37" ht="15" customHeight="1">
      <c r="A37" s="7" t="inlineStr">
        <is>
          <t>Level</t>
        </is>
      </c>
      <c r="B37" s="63" t="n"/>
      <c r="C37" s="7" t="inlineStr">
        <is>
          <t>Placement rule · gates and limits</t>
        </is>
      </c>
      <c r="D37" s="64" t="n"/>
      <c r="E37" s="64" t="n"/>
      <c r="F37" s="64" t="n"/>
      <c r="G37" s="64" t="n"/>
      <c r="H37" s="64" t="n"/>
      <c r="I37" s="64" t="n"/>
      <c r="J37" s="64" t="n"/>
      <c r="K37" s="64" t="n"/>
      <c r="L37" s="64" t="n"/>
      <c r="M37" s="64" t="n"/>
      <c r="N37" s="64" t="n"/>
      <c r="O37" s="64" t="n"/>
      <c r="P37" s="64" t="n"/>
      <c r="Q37" s="63" t="n"/>
    </row>
    <row r="38" ht="15" customHeight="1">
      <c r="A38" s="18" t="inlineStr">
        <is>
          <t>A1</t>
        </is>
      </c>
      <c r="B38" s="63" t="n"/>
      <c r="C38" s="19" t="inlineStr">
        <is>
          <t>Interns · by employment category and trainees in their first year only.</t>
        </is>
      </c>
      <c r="D38" s="64" t="n"/>
      <c r="E38" s="64" t="n"/>
      <c r="F38" s="64" t="n"/>
      <c r="G38" s="64" t="n"/>
      <c r="H38" s="64" t="n"/>
      <c r="I38" s="64" t="n"/>
      <c r="J38" s="64" t="n"/>
      <c r="K38" s="64" t="n"/>
      <c r="L38" s="64" t="n"/>
      <c r="M38" s="64" t="n"/>
      <c r="N38" s="64" t="n"/>
      <c r="O38" s="64" t="n"/>
      <c r="P38" s="64" t="n"/>
      <c r="Q38" s="63" t="n"/>
    </row>
    <row r="39" ht="15" customHeight="1">
      <c r="A39" s="18" t="inlineStr">
        <is>
          <t>A2</t>
        </is>
      </c>
      <c r="B39" s="63" t="n"/>
      <c r="C39" s="19" t="inlineStr">
        <is>
          <r>
            <rPr>
              <rFont val="Calibri"/>
              <b val="1"/>
              <sz val="10"/>
            </rPr>
            <t>Within Band A the level follows the experience range:</t>
          </r>
          <r>
            <rPr>
              <rFont val="Calibri"/>
              <sz val="10"/>
            </rPr>
            <t xml:space="preserve"> past 2 years → A3, provided the work is at least standard independent work.</t>
          </r>
        </is>
      </c>
      <c r="D39" s="64" t="n"/>
      <c r="E39" s="64" t="n"/>
      <c r="F39" s="64" t="n"/>
      <c r="G39" s="64" t="n"/>
      <c r="H39" s="64" t="n"/>
      <c r="I39" s="64" t="n"/>
      <c r="J39" s="64" t="n"/>
      <c r="K39" s="64" t="n"/>
      <c r="L39" s="64" t="n"/>
      <c r="M39" s="64" t="n"/>
      <c r="N39" s="64" t="n"/>
      <c r="O39" s="64" t="n"/>
      <c r="P39" s="64" t="n"/>
      <c r="Q39" s="63" t="n"/>
    </row>
    <row r="40" ht="15" customHeight="1">
      <c r="A40" s="18" t="inlineStr">
        <is>
          <t>A3</t>
        </is>
      </c>
      <c r="B40" s="63" t="n"/>
      <c r="C40" s="19" t="inlineStr">
        <is>
          <t>Top of Band A. To go further the role itself must show Band B substance.</t>
        </is>
      </c>
      <c r="D40" s="64" t="n"/>
      <c r="E40" s="64" t="n"/>
      <c r="F40" s="64" t="n"/>
      <c r="G40" s="64" t="n"/>
      <c r="H40" s="64" t="n"/>
      <c r="I40" s="64" t="n"/>
      <c r="J40" s="64" t="n"/>
      <c r="K40" s="64" t="n"/>
      <c r="L40" s="64" t="n"/>
      <c r="M40" s="64" t="n"/>
      <c r="N40" s="64" t="n"/>
      <c r="O40" s="64" t="n"/>
      <c r="P40" s="64" t="n"/>
      <c r="Q40" s="63" t="n"/>
    </row>
    <row r="41" ht="15" customHeight="1">
      <c r="A41" s="21" t="inlineStr">
        <is>
          <t>B1</t>
        </is>
      </c>
      <c r="B41" s="63" t="n"/>
      <c r="C41" s="22" t="inlineStr">
        <is>
          <t>Band B is entered only on Band B weights · score 3.50+ and only if Complexity and Accountability average A3-level or more. POD Leads and People Managers sit at B1 at minimum.</t>
        </is>
      </c>
      <c r="D41" s="64" t="n"/>
      <c r="E41" s="64" t="n"/>
      <c r="F41" s="64" t="n"/>
      <c r="G41" s="64" t="n"/>
      <c r="H41" s="64" t="n"/>
      <c r="I41" s="64" t="n"/>
      <c r="J41" s="64" t="n"/>
      <c r="K41" s="64" t="n"/>
      <c r="L41" s="64" t="n"/>
      <c r="M41" s="64" t="n"/>
      <c r="N41" s="64" t="n"/>
      <c r="O41" s="64" t="n"/>
      <c r="P41" s="64" t="n"/>
      <c r="Q41" s="63" t="n"/>
    </row>
    <row r="42" ht="15" customHeight="1">
      <c r="A42" s="21" t="inlineStr">
        <is>
          <t>B2</t>
        </is>
      </c>
      <c r="B42" s="63" t="n"/>
      <c r="C42" s="22" t="inlineStr">
        <is>
          <t>Experience and qualification can lift a person one level above what Complexity and Accountability show — never more.</t>
        </is>
      </c>
      <c r="D42" s="64" t="n"/>
      <c r="E42" s="64" t="n"/>
      <c r="F42" s="64" t="n"/>
      <c r="G42" s="64" t="n"/>
      <c r="H42" s="64" t="n"/>
      <c r="I42" s="64" t="n"/>
      <c r="J42" s="64" t="n"/>
      <c r="K42" s="64" t="n"/>
      <c r="L42" s="64" t="n"/>
      <c r="M42" s="64" t="n"/>
      <c r="N42" s="64" t="n"/>
      <c r="O42" s="64" t="n"/>
      <c r="P42" s="64" t="n"/>
      <c r="Q42" s="63" t="n"/>
    </row>
    <row r="43" ht="15" customHeight="1">
      <c r="A43" s="21" t="inlineStr">
        <is>
          <t>B3</t>
        </is>
      </c>
      <c r="B43" s="63" t="n"/>
      <c r="C43" s="22" t="inlineStr">
        <is>
          <t>As B2. On the manager track: team leads reporting in, or 10+ people in the team.</t>
        </is>
      </c>
      <c r="D43" s="64" t="n"/>
      <c r="E43" s="64" t="n"/>
      <c r="F43" s="64" t="n"/>
      <c r="G43" s="64" t="n"/>
      <c r="H43" s="64" t="n"/>
      <c r="I43" s="64" t="n"/>
      <c r="J43" s="64" t="n"/>
      <c r="K43" s="64" t="n"/>
      <c r="L43" s="64" t="n"/>
      <c r="M43" s="64" t="n"/>
      <c r="N43" s="64" t="n"/>
      <c r="O43" s="64" t="n"/>
      <c r="P43" s="64" t="n"/>
      <c r="Q43" s="63" t="n"/>
    </row>
    <row r="44" ht="15" customHeight="1">
      <c r="A44" s="24" t="inlineStr">
        <is>
          <t>B+</t>
        </is>
      </c>
      <c r="B44" s="63" t="n"/>
      <c r="C44" s="25" t="inlineStr">
        <is>
          <r>
            <rPr>
              <rFont val="Calibri"/>
              <b val="1"/>
              <sz val="10"/>
            </rPr>
            <t>R10:</t>
          </r>
          <r>
            <rPr>
              <rFont val="Calibri"/>
              <sz val="10"/>
            </rPr>
            <t xml:space="preserve"> at B3, leads people and still hands-on, Player-Coach score ≥ 6.25 and Complexity–Accountability average ≥ 5.5 · tolerance 0.15; span norm 3–6; no sub-function through managers needed</t>
          </r>
        </is>
      </c>
      <c r="D44" s="64" t="n"/>
      <c r="E44" s="64" t="n"/>
      <c r="F44" s="64" t="n"/>
      <c r="G44" s="64" t="n"/>
      <c r="H44" s="64" t="n"/>
      <c r="I44" s="64" t="n"/>
      <c r="J44" s="64" t="n"/>
      <c r="K44" s="64" t="n"/>
      <c r="L44" s="64" t="n"/>
      <c r="M44" s="64" t="n"/>
      <c r="N44" s="64" t="n"/>
      <c r="O44" s="64" t="n"/>
      <c r="P44" s="64" t="n"/>
      <c r="Q44" s="63" t="n"/>
    </row>
    <row r="45" ht="15" customHeight="1">
      <c r="A45" s="27" t="inlineStr">
        <is>
          <t>C1</t>
        </is>
      </c>
      <c r="B45" s="63" t="n"/>
      <c r="C45" s="28" t="inlineStr">
        <is>
          <r>
            <rPr>
              <rFont val="Calibri"/>
              <b val="1"/>
              <sz val="10"/>
            </rPr>
            <t>Band C gate:</t>
          </r>
          <r>
            <rPr>
              <rFont val="Calibri"/>
              <sz val="10"/>
            </rPr>
            <t xml:space="preserve"> heads a function / sub-function through managers, or is a principal-level technical authority. Score 6.50+ on Band C weights.</t>
          </r>
        </is>
      </c>
      <c r="D45" s="64" t="n"/>
      <c r="E45" s="64" t="n"/>
      <c r="F45" s="64" t="n"/>
      <c r="G45" s="64" t="n"/>
      <c r="H45" s="64" t="n"/>
      <c r="I45" s="64" t="n"/>
      <c r="J45" s="64" t="n"/>
      <c r="K45" s="64" t="n"/>
      <c r="L45" s="64" t="n"/>
      <c r="M45" s="64" t="n"/>
      <c r="N45" s="64" t="n"/>
      <c r="O45" s="64" t="n"/>
      <c r="P45" s="64" t="n"/>
      <c r="Q45" s="63" t="n"/>
    </row>
    <row r="46" ht="15" customHeight="1">
      <c r="A46" s="27" t="inlineStr">
        <is>
          <t>C2</t>
        </is>
      </c>
      <c r="B46" s="63" t="n"/>
      <c r="C46" s="28" t="inlineStr">
        <is>
          <t>As C1, with a score of 7.50+.</t>
        </is>
      </c>
      <c r="D46" s="64" t="n"/>
      <c r="E46" s="64" t="n"/>
      <c r="F46" s="64" t="n"/>
      <c r="G46" s="64" t="n"/>
      <c r="H46" s="64" t="n"/>
      <c r="I46" s="64" t="n"/>
      <c r="J46" s="64" t="n"/>
      <c r="K46" s="64" t="n"/>
      <c r="L46" s="64" t="n"/>
      <c r="M46" s="64" t="n"/>
      <c r="N46" s="64" t="n"/>
      <c r="O46" s="64" t="n"/>
      <c r="P46" s="64" t="n"/>
      <c r="Q46" s="63" t="n"/>
    </row>
    <row r="47" ht="15" customHeight="1">
      <c r="A47" s="30" t="inlineStr">
        <is>
          <t>C+</t>
        </is>
      </c>
      <c r="B47" s="63" t="n"/>
      <c r="C47" s="31" t="inlineStr">
        <is>
          <r>
            <rPr>
              <rFont val="Calibri"/>
              <b val="1"/>
              <sz val="10"/>
            </rPr>
            <t>R10:</t>
          </r>
          <r>
            <rPr>
              <rFont val="Calibri"/>
              <sz val="10"/>
            </rPr>
            <t xml:space="preserve"> at C2, leads people and still hands-on, Player-Coach score ≥ 8.25 and Complexity–Accountability average ≥ 7.5 · tolerance 0.15; span norm 4–8; no business line needed</t>
          </r>
        </is>
      </c>
      <c r="D47" s="64" t="n"/>
      <c r="E47" s="64" t="n"/>
      <c r="F47" s="64" t="n"/>
      <c r="G47" s="64" t="n"/>
      <c r="H47" s="64" t="n"/>
      <c r="I47" s="64" t="n"/>
      <c r="J47" s="64" t="n"/>
      <c r="K47" s="64" t="n"/>
      <c r="L47" s="64" t="n"/>
      <c r="M47" s="64" t="n"/>
      <c r="N47" s="64" t="n"/>
      <c r="O47" s="64" t="n"/>
      <c r="P47" s="64" t="n"/>
      <c r="Q47" s="63" t="n"/>
    </row>
    <row r="48" ht="15" customHeight="1">
      <c r="A48" s="33" t="inlineStr">
        <is>
          <t>D1</t>
        </is>
      </c>
      <c r="B48" s="63" t="n"/>
      <c r="C48" s="34" t="inlineStr">
        <is>
          <r>
            <rPr>
              <rFont val="Calibri"/>
              <b val="1"/>
              <sz val="10"/>
            </rPr>
            <t>Band D gate:</t>
          </r>
          <r>
            <rPr>
              <rFont val="Calibri"/>
              <sz val="10"/>
            </rPr>
            <t xml:space="preserve"> owns a business line or an enterprise function · an organisation reporting in, or reports to the CEO.</t>
          </r>
        </is>
      </c>
      <c r="D48" s="64" t="n"/>
      <c r="E48" s="64" t="n"/>
      <c r="F48" s="64" t="n"/>
      <c r="G48" s="64" t="n"/>
      <c r="H48" s="64" t="n"/>
      <c r="I48" s="64" t="n"/>
      <c r="J48" s="64" t="n"/>
      <c r="K48" s="64" t="n"/>
      <c r="L48" s="64" t="n"/>
      <c r="M48" s="64" t="n"/>
      <c r="N48" s="64" t="n"/>
      <c r="O48" s="64" t="n"/>
      <c r="P48" s="64" t="n"/>
      <c r="Q48" s="63" t="n"/>
    </row>
    <row r="49" ht="15" customHeight="1">
      <c r="A49" s="33" t="inlineStr">
        <is>
          <t>D2</t>
        </is>
      </c>
      <c r="B49" s="63" t="n"/>
      <c r="C49" s="34" t="inlineStr">
        <is>
          <t>As D1, with a score of 9.50+.</t>
        </is>
      </c>
      <c r="D49" s="64" t="n"/>
      <c r="E49" s="64" t="n"/>
      <c r="F49" s="64" t="n"/>
      <c r="G49" s="64" t="n"/>
      <c r="H49" s="64" t="n"/>
      <c r="I49" s="64" t="n"/>
      <c r="J49" s="64" t="n"/>
      <c r="K49" s="64" t="n"/>
      <c r="L49" s="64" t="n"/>
      <c r="M49" s="64" t="n"/>
      <c r="N49" s="64" t="n"/>
      <c r="O49" s="64" t="n"/>
      <c r="P49" s="64" t="n"/>
      <c r="Q49" s="63" t="n"/>
    </row>
    <row r="50" ht="15" customHeight="1">
      <c r="A50" s="36" t="inlineStr">
        <is>
          <t>E1</t>
        </is>
      </c>
      <c r="B50" s="63" t="n"/>
      <c r="C50" s="37" t="inlineStr">
        <is>
          <r>
            <rPr>
              <rFont val="Calibri"/>
              <b val="1"/>
              <sz val="10"/>
            </rPr>
            <t>Band E gate:</t>
          </r>
          <r>
            <rPr>
              <rFont val="Calibri"/>
              <sz val="10"/>
            </rPr>
            <t xml:space="preserve"> an enterprise-wide mandate · CXO / President.</t>
          </r>
        </is>
      </c>
      <c r="D50" s="64" t="n"/>
      <c r="E50" s="64" t="n"/>
      <c r="F50" s="64" t="n"/>
      <c r="G50" s="64" t="n"/>
      <c r="H50" s="64" t="n"/>
      <c r="I50" s="64" t="n"/>
      <c r="J50" s="64" t="n"/>
      <c r="K50" s="64" t="n"/>
      <c r="L50" s="64" t="n"/>
      <c r="M50" s="64" t="n"/>
      <c r="N50" s="64" t="n"/>
      <c r="O50" s="64" t="n"/>
      <c r="P50" s="64" t="n"/>
      <c r="Q50" s="63" t="n"/>
    </row>
    <row r="51" ht="15" customHeight="1">
      <c r="A51" s="36" t="inlineStr">
        <is>
          <t>E2</t>
        </is>
      </c>
      <c r="B51" s="63" t="n"/>
      <c r="C51" s="37" t="inlineStr">
        <is>
          <t>The enterprise.</t>
        </is>
      </c>
      <c r="D51" s="64" t="n"/>
      <c r="E51" s="64" t="n"/>
      <c r="F51" s="64" t="n"/>
      <c r="G51" s="64" t="n"/>
      <c r="H51" s="64" t="n"/>
      <c r="I51" s="64" t="n"/>
      <c r="J51" s="64" t="n"/>
      <c r="K51" s="64" t="n"/>
      <c r="L51" s="64" t="n"/>
      <c r="M51" s="64" t="n"/>
      <c r="N51" s="64" t="n"/>
      <c r="O51" s="64" t="n"/>
      <c r="P51" s="64" t="n"/>
      <c r="Q51" s="63" t="n"/>
    </row>
    <row r="52" ht="15" customHeight="1">
      <c r="A52" s="39" t="inlineStr">
        <is>
          <t>X1</t>
        </is>
      </c>
      <c r="B52" s="63" t="n"/>
      <c r="C52" s="40" t="inlineStr">
        <is>
          <t>Outside the ladder — not scored on the six factors.</t>
        </is>
      </c>
      <c r="D52" s="64" t="n"/>
      <c r="E52" s="64" t="n"/>
      <c r="F52" s="64" t="n"/>
      <c r="G52" s="64" t="n"/>
      <c r="H52" s="64" t="n"/>
      <c r="I52" s="64" t="n"/>
      <c r="J52" s="64" t="n"/>
      <c r="K52" s="64" t="n"/>
      <c r="L52" s="64" t="n"/>
      <c r="M52" s="64" t="n"/>
      <c r="N52" s="64" t="n"/>
      <c r="O52" s="64" t="n"/>
      <c r="P52" s="64" t="n"/>
      <c r="Q52" s="63" t="n"/>
    </row>
    <row r="53" ht="15" customHeight="1">
      <c r="A53" s="39" t="inlineStr">
        <is>
          <t>X2</t>
        </is>
      </c>
      <c r="B53" s="63" t="n"/>
      <c r="C53" s="40" t="inlineStr">
        <is>
          <t>Outside the ladder — not scored.</t>
        </is>
      </c>
      <c r="D53" s="64" t="n"/>
      <c r="E53" s="64" t="n"/>
      <c r="F53" s="64" t="n"/>
      <c r="G53" s="64" t="n"/>
      <c r="H53" s="64" t="n"/>
      <c r="I53" s="64" t="n"/>
      <c r="J53" s="64" t="n"/>
      <c r="K53" s="64" t="n"/>
      <c r="L53" s="64" t="n"/>
      <c r="M53" s="64" t="n"/>
      <c r="N53" s="64" t="n"/>
      <c r="O53" s="64" t="n"/>
      <c r="P53" s="64" t="n"/>
      <c r="Q53" s="63" t="n"/>
    </row>
    <row r="54" ht="15" customHeight="1">
      <c r="A54" s="39" t="inlineStr">
        <is>
          <t>X3</t>
        </is>
      </c>
      <c r="B54" s="63" t="n"/>
      <c r="C54" s="40" t="inlineStr">
        <is>
          <t>Outside the ladder — not scored.</t>
        </is>
      </c>
      <c r="D54" s="64" t="n"/>
      <c r="E54" s="64" t="n"/>
      <c r="F54" s="64" t="n"/>
      <c r="G54" s="64" t="n"/>
      <c r="H54" s="64" t="n"/>
      <c r="I54" s="64" t="n"/>
      <c r="J54" s="64" t="n"/>
      <c r="K54" s="64" t="n"/>
      <c r="L54" s="64" t="n"/>
      <c r="M54" s="64" t="n"/>
      <c r="N54" s="64" t="n"/>
      <c r="O54" s="64" t="n"/>
      <c r="P54" s="64" t="n"/>
      <c r="Q54" s="63" t="n"/>
    </row>
  </sheetData>
  <mergeCells count="69">
    <mergeCell ref="A48:B48"/>
    <mergeCell ref="D13:L13"/>
    <mergeCell ref="D11:L11"/>
    <mergeCell ref="B7:C7"/>
    <mergeCell ref="C47:Q47"/>
    <mergeCell ref="C54:Q54"/>
    <mergeCell ref="A49:B49"/>
    <mergeCell ref="C50:Q50"/>
    <mergeCell ref="C44:Q44"/>
    <mergeCell ref="C41:Q41"/>
    <mergeCell ref="A45:B45"/>
    <mergeCell ref="A51:B51"/>
    <mergeCell ref="M9:Q9"/>
    <mergeCell ref="C40:Q40"/>
    <mergeCell ref="A1:Q1"/>
    <mergeCell ref="B12:C12"/>
    <mergeCell ref="D7:L7"/>
    <mergeCell ref="A36:Q36"/>
    <mergeCell ref="C43:Q43"/>
    <mergeCell ref="A54:B54"/>
    <mergeCell ref="C51:Q51"/>
    <mergeCell ref="C46:Q46"/>
    <mergeCell ref="B11:C11"/>
    <mergeCell ref="A41:B41"/>
    <mergeCell ref="M11:Q11"/>
    <mergeCell ref="A37:B37"/>
    <mergeCell ref="M10:Q10"/>
    <mergeCell ref="A16:Q16"/>
    <mergeCell ref="B14:C14"/>
    <mergeCell ref="D9:L9"/>
    <mergeCell ref="A46:B46"/>
    <mergeCell ref="C52:Q52"/>
    <mergeCell ref="C39:Q39"/>
    <mergeCell ref="D12:L12"/>
    <mergeCell ref="D8:L8"/>
    <mergeCell ref="B8:C8"/>
    <mergeCell ref="M13:Q13"/>
    <mergeCell ref="C48:Q48"/>
    <mergeCell ref="M7:Q7"/>
    <mergeCell ref="B13:C13"/>
    <mergeCell ref="A50:B50"/>
    <mergeCell ref="M12:Q12"/>
    <mergeCell ref="A3:Q3"/>
    <mergeCell ref="C38:Q38"/>
    <mergeCell ref="M6:Q6"/>
    <mergeCell ref="D14:L14"/>
    <mergeCell ref="B10:C10"/>
    <mergeCell ref="A42:B42"/>
    <mergeCell ref="A47:B47"/>
    <mergeCell ref="A2:Q2"/>
    <mergeCell ref="C37:Q37"/>
    <mergeCell ref="C53:Q53"/>
    <mergeCell ref="B9:C9"/>
    <mergeCell ref="C49:Q49"/>
    <mergeCell ref="A5:Q5"/>
    <mergeCell ref="A53:B53"/>
    <mergeCell ref="M8:Q8"/>
    <mergeCell ref="D10:L10"/>
    <mergeCell ref="B6:C6"/>
    <mergeCell ref="A38:B38"/>
    <mergeCell ref="A52:B52"/>
    <mergeCell ref="C42:Q42"/>
    <mergeCell ref="A43:B43"/>
    <mergeCell ref="M14:Q14"/>
    <mergeCell ref="A44:B44"/>
    <mergeCell ref="C45:Q45"/>
    <mergeCell ref="A40:B40"/>
    <mergeCell ref="D6:L6"/>
    <mergeCell ref="A39:B39"/>
  </mergeCells>
  <hyperlinks>
    <hyperlink xmlns:r="http://schemas.openxmlformats.org/officeDocument/2006/relationships" ref="R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worksheet>
</file>

<file path=xl/worksheets/sheet15.xml><?xml version="1.0" encoding="utf-8"?>
<worksheet xmlns="http://schemas.openxmlformats.org/spreadsheetml/2006/main">
  <sheetPr>
    <tabColor rgb="00C55A11"/>
    <outlinePr summaryBelow="1" summaryRight="1"/>
    <pageSetUpPr fitToPage="1"/>
  </sheetPr>
  <dimension ref="A1:R62"/>
  <sheetViews>
    <sheetView showGridLines="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 width="17" customWidth="1" min="14" max="14"/>
    <col width="17" customWidth="1" min="15" max="15"/>
    <col width="17" customWidth="1" min="16" max="16"/>
    <col width="17" customWidth="1" min="17" max="17"/>
    <col width="13" customWidth="1" min="18" max="18"/>
  </cols>
  <sheetData>
    <row r="1" ht="34" customHeight="1">
      <c r="A1" s="1" t="inlineStr">
        <is>
          <t>5 · Tracks and titles — how a role contributes, and what it is called</t>
        </is>
      </c>
      <c r="R1" s="99" t="inlineStr">
        <is>
          <t>◂ Contents</t>
        </is>
      </c>
    </row>
    <row r="2" ht="30" customHeight="1">
      <c r="A2" s="3" t="inlineStr">
        <is>
          <t>Band A has one common path. From B1 a role is an individual contributor, a POD Lead or a People Manager; at the Player-Coach transition steps it can be a Player-Coach. The title is built from a level marker and the sub-family's role noun.</t>
        </is>
      </c>
    </row>
    <row r="3">
      <c r="A3" s="4" t="inlineStr">
        <is>
          <t>IRIS · Job Architecture &amp; Job Design · Final v1.12 · October 2026 · Internal — Confidential</t>
        </is>
      </c>
    </row>
    <row r="4"/>
    <row r="5" ht="20" customHeight="1">
      <c r="A5" s="6" t="inlineStr">
        <is>
          <t>Track rules</t>
        </is>
      </c>
    </row>
    <row r="6" ht="15" customHeight="1">
      <c r="A6" s="7" t="inlineStr">
        <is>
          <t>ID</t>
        </is>
      </c>
      <c r="B6" s="7" t="inlineStr">
        <is>
          <t>Rule</t>
        </is>
      </c>
      <c r="C6" s="64" t="n"/>
      <c r="D6" s="64" t="n"/>
      <c r="E6" s="64" t="n"/>
      <c r="F6" s="64" t="n"/>
      <c r="G6" s="64" t="n"/>
      <c r="H6" s="64" t="n"/>
      <c r="I6" s="64" t="n"/>
      <c r="J6" s="64" t="n"/>
      <c r="K6" s="64" t="n"/>
      <c r="L6" s="64" t="n"/>
      <c r="M6" s="64" t="n"/>
      <c r="N6" s="64" t="n"/>
      <c r="O6" s="63" t="n"/>
      <c r="P6" s="7" t="inlineStr">
        <is>
          <t>Sources</t>
        </is>
      </c>
      <c r="Q6" s="63" t="n"/>
    </row>
    <row r="7" ht="15" customHeight="1">
      <c r="A7" s="17" t="inlineStr">
        <is>
          <t>K1</t>
        </is>
      </c>
      <c r="B7" s="9" t="inlineStr">
        <is>
          <r>
            <rPr>
              <rFont val="Calibri"/>
              <b val="1"/>
              <sz val="10"/>
            </rPr>
            <t>Common path:</t>
          </r>
          <r>
            <rPr>
              <rFont val="Calibri"/>
              <sz val="10"/>
            </rPr>
            <t xml:space="preserve"> Band A has one path. The track choice is made at B1.</t>
          </r>
        </is>
      </c>
      <c r="C7" s="64" t="n"/>
      <c r="D7" s="64" t="n"/>
      <c r="E7" s="64" t="n"/>
      <c r="F7" s="64" t="n"/>
      <c r="G7" s="64" t="n"/>
      <c r="H7" s="64" t="n"/>
      <c r="I7" s="64" t="n"/>
      <c r="J7" s="64" t="n"/>
      <c r="K7" s="64" t="n"/>
      <c r="L7" s="64" t="n"/>
      <c r="M7" s="64" t="n"/>
      <c r="N7" s="64" t="n"/>
      <c r="O7" s="63" t="n"/>
      <c r="P7" s="9" t="inlineStr">
        <is>
          <t>S08, S37</t>
        </is>
      </c>
      <c r="Q7" s="63" t="n"/>
    </row>
    <row r="8" ht="15" customHeight="1">
      <c r="A8" s="17" t="inlineStr">
        <is>
          <t>K2</t>
        </is>
      </c>
      <c r="B8" s="9" t="inlineStr">
        <is>
          <r>
            <rPr>
              <rFont val="Calibri"/>
              <b val="1"/>
              <sz val="10"/>
            </rPr>
            <t>Individual Contributor:</t>
          </r>
          <r>
            <rPr>
              <rFont val="Calibri"/>
              <sz val="10"/>
            </rPr>
            <t xml:space="preserve"> no formal reports, or reviews and allocates work without writing appraisals.</t>
          </r>
        </is>
      </c>
      <c r="C8" s="64" t="n"/>
      <c r="D8" s="64" t="n"/>
      <c r="E8" s="64" t="n"/>
      <c r="F8" s="64" t="n"/>
      <c r="G8" s="64" t="n"/>
      <c r="H8" s="64" t="n"/>
      <c r="I8" s="64" t="n"/>
      <c r="J8" s="64" t="n"/>
      <c r="K8" s="64" t="n"/>
      <c r="L8" s="64" t="n"/>
      <c r="M8" s="64" t="n"/>
      <c r="N8" s="64" t="n"/>
      <c r="O8" s="63" t="n"/>
      <c r="P8" s="9" t="inlineStr">
        <is>
          <t>S03</t>
        </is>
      </c>
      <c r="Q8" s="63" t="n"/>
    </row>
    <row r="9" ht="41" customHeight="1">
      <c r="A9" s="17" t="inlineStr">
        <is>
          <t>K3</t>
        </is>
      </c>
      <c r="B9" s="9" t="inlineStr">
        <is>
          <r>
            <rPr>
              <rFont val="Calibri"/>
              <b val="1"/>
              <sz val="10"/>
            </rPr>
            <t>POD Lead:</t>
          </r>
          <r>
            <rPr>
              <rFont val="Calibri"/>
              <sz val="10"/>
            </rPr>
            <t xml:space="preserve"> 1–3 formal reports while most of the time stays on IC work. Grade and pay follow the underlying IC level, which is B1 or above.</t>
          </r>
        </is>
      </c>
      <c r="C9" s="64" t="n"/>
      <c r="D9" s="64" t="n"/>
      <c r="E9" s="64" t="n"/>
      <c r="F9" s="64" t="n"/>
      <c r="G9" s="64" t="n"/>
      <c r="H9" s="64" t="n"/>
      <c r="I9" s="64" t="n"/>
      <c r="J9" s="64" t="n"/>
      <c r="K9" s="64" t="n"/>
      <c r="L9" s="64" t="n"/>
      <c r="M9" s="64" t="n"/>
      <c r="N9" s="64" t="n"/>
      <c r="O9" s="63" t="n"/>
      <c r="P9" s="9" t="inlineStr">
        <is>
          <t>S03 · management = most time spent managing, S09 · player/coach 3–5</t>
        </is>
      </c>
      <c r="Q9" s="63" t="n"/>
    </row>
    <row r="10" ht="28" customHeight="1">
      <c r="A10" s="17" t="inlineStr">
        <is>
          <t>K4</t>
        </is>
      </c>
      <c r="B10" s="9" t="inlineStr">
        <is>
          <r>
            <rPr>
              <rFont val="Calibri"/>
              <b val="1"/>
              <sz val="10"/>
            </rPr>
            <t>People Manager:</t>
          </r>
          <r>
            <rPr>
              <rFont val="Calibri"/>
              <sz val="10"/>
            </rPr>
            <t xml:space="preserve"> formally manages and writes appraisals, with most of the time spent managing. Sits at B1 or above; B3 needs team leads reporting in or 10+ people in the team; C1 needs a sub-function led through managers.</t>
          </r>
        </is>
      </c>
      <c r="C10" s="64" t="n"/>
      <c r="D10" s="64" t="n"/>
      <c r="E10" s="64" t="n"/>
      <c r="F10" s="64" t="n"/>
      <c r="G10" s="64" t="n"/>
      <c r="H10" s="64" t="n"/>
      <c r="I10" s="64" t="n"/>
      <c r="J10" s="64" t="n"/>
      <c r="K10" s="64" t="n"/>
      <c r="L10" s="64" t="n"/>
      <c r="M10" s="64" t="n"/>
      <c r="N10" s="64" t="n"/>
      <c r="O10" s="63" t="n"/>
      <c r="P10" s="9" t="inlineStr">
        <is>
          <t>S03, S09</t>
        </is>
      </c>
      <c r="Q10" s="63" t="n"/>
    </row>
    <row r="11" ht="15" customHeight="1">
      <c r="A11" s="17" t="inlineStr">
        <is>
          <t>K5</t>
        </is>
      </c>
      <c r="B11" s="9" t="inlineStr">
        <is>
          <r>
            <rPr>
              <rFont val="Calibri"/>
              <b val="1"/>
              <sz val="10"/>
            </rPr>
            <t>Consultant:</t>
          </r>
          <r>
            <rPr>
              <rFont val="Calibri"/>
              <sz val="10"/>
            </rPr>
            <t xml:space="preserve"> works under a statement of work. X1–X3 sit outside the employee ladder and set only the rate card and access level.</t>
          </r>
        </is>
      </c>
      <c r="C11" s="64" t="n"/>
      <c r="D11" s="64" t="n"/>
      <c r="E11" s="64" t="n"/>
      <c r="F11" s="64" t="n"/>
      <c r="G11" s="64" t="n"/>
      <c r="H11" s="64" t="n"/>
      <c r="I11" s="64" t="n"/>
      <c r="J11" s="64" t="n"/>
      <c r="K11" s="64" t="n"/>
      <c r="L11" s="64" t="n"/>
      <c r="M11" s="64" t="n"/>
      <c r="N11" s="64" t="n"/>
      <c r="O11" s="63" t="n"/>
      <c r="P11" s="9" t="inlineStr">
        <is>
          <t>—</t>
        </is>
      </c>
      <c r="Q11" s="63" t="n"/>
    </row>
    <row r="12" ht="54" customHeight="1">
      <c r="A12" s="17" t="inlineStr">
        <is>
          <t>K6</t>
        </is>
      </c>
      <c r="B12" s="9" t="inlineStr">
        <is>
          <t>Player-Coach · Player-Coach transition steps B+ and C+: leads people · direct reports, POD or the manager's 'player cum coach' flag AND still delivers hands-on expert work · IC / POD work, or survey / KRA evidence. B+ Player-Coach transition steps B3 → C1 without a sub-function through managers; C+ Player-Coach transition steps C2 → D1 without a business line. Placement by rule R10 only.</t>
        </is>
      </c>
      <c r="C12" s="64" t="n"/>
      <c r="D12" s="64" t="n"/>
      <c r="E12" s="64" t="n"/>
      <c r="F12" s="64" t="n"/>
      <c r="G12" s="64" t="n"/>
      <c r="H12" s="64" t="n"/>
      <c r="I12" s="64" t="n"/>
      <c r="J12" s="64" t="n"/>
      <c r="K12" s="64" t="n"/>
      <c r="L12" s="64" t="n"/>
      <c r="M12" s="64" t="n"/>
      <c r="N12" s="64" t="n"/>
      <c r="O12" s="63" t="n"/>
      <c r="P12" s="9" t="inlineStr">
        <is>
          <t>S09 · player/coach 3–5 reports; Google Tech Lead Manager · Software Engineering at Google; SaaS player-coach sales leads</t>
        </is>
      </c>
      <c r="Q12" s="63" t="n"/>
    </row>
    <row r="13" ht="15" customHeight="1"/>
    <row r="14" ht="20" customHeight="1">
      <c r="A14" s="6" t="inlineStr">
        <is>
          <t>Spans of control · people managers and player-coaches</t>
        </is>
      </c>
    </row>
    <row r="15" ht="15" customHeight="1">
      <c r="A15" s="7" t="inlineStr">
        <is>
          <t>Role</t>
        </is>
      </c>
      <c r="B15" s="63" t="n"/>
      <c r="C15" s="7" t="inlineStr">
        <is>
          <t>Archetype</t>
        </is>
      </c>
      <c r="D15" s="63" t="n"/>
      <c r="E15" s="7" t="inlineStr">
        <is>
          <t>Direct reports</t>
        </is>
      </c>
      <c r="F15" s="63" t="n"/>
      <c r="G15" s="7" t="inlineStr">
        <is>
          <t>When it applies</t>
        </is>
      </c>
      <c r="H15" s="64" t="n"/>
      <c r="I15" s="64" t="n"/>
      <c r="J15" s="64" t="n"/>
      <c r="K15" s="64" t="n"/>
      <c r="L15" s="64" t="n"/>
      <c r="M15" s="64" t="n"/>
      <c r="N15" s="64" t="n"/>
      <c r="O15" s="63" t="n"/>
      <c r="P15" s="7" t="inlineStr">
        <is>
          <t>Sources</t>
        </is>
      </c>
      <c r="Q15" s="63" t="n"/>
    </row>
    <row r="16" ht="15" customHeight="1">
      <c r="A16" s="14" t="inlineStr">
        <is>
          <t>B1 Team Lead / POD Lead</t>
        </is>
      </c>
      <c r="B16" s="63" t="n"/>
      <c r="C16" s="9" t="inlineStr">
        <is>
          <t>Player / coach</t>
        </is>
      </c>
      <c r="D16" s="63" t="n"/>
      <c r="E16" s="9" t="inlineStr">
        <is>
          <t>3–5 · POD Lead 1–3</t>
        </is>
      </c>
      <c r="F16" s="63" t="n"/>
      <c r="G16" s="9" t="inlineStr">
        <is>
          <t>Does own work and leads a small team</t>
        </is>
      </c>
      <c r="H16" s="64" t="n"/>
      <c r="I16" s="64" t="n"/>
      <c r="J16" s="64" t="n"/>
      <c r="K16" s="64" t="n"/>
      <c r="L16" s="64" t="n"/>
      <c r="M16" s="64" t="n"/>
      <c r="N16" s="64" t="n"/>
      <c r="O16" s="63" t="n"/>
      <c r="P16" s="9" t="inlineStr">
        <is>
          <t>S09, S03</t>
        </is>
      </c>
      <c r="Q16" s="63" t="n"/>
    </row>
    <row r="17" ht="15" customHeight="1">
      <c r="A17" s="14" t="inlineStr">
        <is>
          <t>B2 Manager — knowledge work</t>
        </is>
      </c>
      <c r="B17" s="63" t="n"/>
      <c r="C17" s="9" t="inlineStr">
        <is>
          <t>Coach</t>
        </is>
      </c>
      <c r="D17" s="63" t="n"/>
      <c r="E17" s="9" t="inlineStr">
        <is>
          <t>6–7 · up to 8</t>
        </is>
      </c>
      <c r="F17" s="63" t="n"/>
      <c r="G17" s="9" t="inlineStr">
        <is>
          <t>Non-standard work, varied team</t>
        </is>
      </c>
      <c r="H17" s="64" t="n"/>
      <c r="I17" s="64" t="n"/>
      <c r="J17" s="64" t="n"/>
      <c r="K17" s="64" t="n"/>
      <c r="L17" s="64" t="n"/>
      <c r="M17" s="64" t="n"/>
      <c r="N17" s="64" t="n"/>
      <c r="O17" s="63" t="n"/>
      <c r="P17" s="9" t="inlineStr">
        <is>
          <t>S09</t>
        </is>
      </c>
      <c r="Q17" s="63" t="n"/>
    </row>
    <row r="18" ht="15" customHeight="1">
      <c r="A18" s="14" t="inlineStr">
        <is>
          <t>B2 Manager — standardised delivery</t>
        </is>
      </c>
      <c r="B18" s="63" t="n"/>
      <c r="C18" s="9" t="inlineStr">
        <is>
          <t>Supervisor</t>
        </is>
      </c>
      <c r="D18" s="63" t="n"/>
      <c r="E18" s="9" t="inlineStr">
        <is>
          <t>8–10 · up to 12</t>
        </is>
      </c>
      <c r="F18" s="63" t="n"/>
      <c r="G18" s="9" t="inlineStr">
        <is>
          <t>Standard, repeatable work · Services, Digitizing</t>
        </is>
      </c>
      <c r="H18" s="64" t="n"/>
      <c r="I18" s="64" t="n"/>
      <c r="J18" s="64" t="n"/>
      <c r="K18" s="64" t="n"/>
      <c r="L18" s="64" t="n"/>
      <c r="M18" s="64" t="n"/>
      <c r="N18" s="64" t="n"/>
      <c r="O18" s="63" t="n"/>
      <c r="P18" s="9" t="inlineStr">
        <is>
          <t>S09</t>
        </is>
      </c>
      <c r="Q18" s="63" t="n"/>
    </row>
    <row r="19" ht="15" customHeight="1">
      <c r="A19" s="14" t="inlineStr">
        <is>
          <t>B3 Senior Manager</t>
        </is>
      </c>
      <c r="B19" s="63" t="n"/>
      <c r="C19" s="9" t="inlineStr">
        <is>
          <t>Coach / facilitator</t>
        </is>
      </c>
      <c r="D19" s="63" t="n"/>
      <c r="E19" s="9" t="inlineStr">
        <is>
          <t>5–8 including team leads</t>
        </is>
      </c>
      <c r="F19" s="63" t="n"/>
      <c r="G19" s="9" t="inlineStr">
        <is>
          <t>Manages through team leads</t>
        </is>
      </c>
      <c r="H19" s="64" t="n"/>
      <c r="I19" s="64" t="n"/>
      <c r="J19" s="64" t="n"/>
      <c r="K19" s="64" t="n"/>
      <c r="L19" s="64" t="n"/>
      <c r="M19" s="64" t="n"/>
      <c r="N19" s="64" t="n"/>
      <c r="O19" s="63" t="n"/>
      <c r="P19" s="9" t="inlineStr">
        <is>
          <t>S09</t>
        </is>
      </c>
      <c r="Q19" s="63" t="n"/>
    </row>
    <row r="20" ht="15" customHeight="1">
      <c r="A20" s="14" t="inlineStr">
        <is>
          <t>B+ Practice Lead · Player-Coach</t>
        </is>
      </c>
      <c r="B20" s="63" t="n"/>
      <c r="C20" s="9" t="inlineStr">
        <is>
          <t>Player / coach</t>
        </is>
      </c>
      <c r="D20" s="63" t="n"/>
      <c r="E20" s="9" t="inlineStr">
        <is>
          <t>3–6, with ≥ 40% own delivery</t>
        </is>
      </c>
      <c r="F20" s="63" t="n"/>
      <c r="G20" s="9" t="inlineStr">
        <is>
          <t>Leads a practice or pod and still does the hardest work · Google Tech Lead Manager</t>
        </is>
      </c>
      <c r="H20" s="64" t="n"/>
      <c r="I20" s="64" t="n"/>
      <c r="J20" s="64" t="n"/>
      <c r="K20" s="64" t="n"/>
      <c r="L20" s="64" t="n"/>
      <c r="M20" s="64" t="n"/>
      <c r="N20" s="64" t="n"/>
      <c r="O20" s="63" t="n"/>
      <c r="P20" s="9" t="inlineStr">
        <is>
          <t>S09, S44</t>
        </is>
      </c>
      <c r="Q20" s="63" t="n"/>
    </row>
    <row r="21" ht="28" customHeight="1">
      <c r="A21" s="14" t="inlineStr">
        <is>
          <t>C+ Group Head · Player-Coach</t>
        </is>
      </c>
      <c r="B21" s="63" t="n"/>
      <c r="C21" s="9" t="inlineStr">
        <is>
          <t>Player / coach at function level</t>
        </is>
      </c>
      <c r="D21" s="63" t="n"/>
      <c r="E21" s="9" t="inlineStr">
        <is>
          <t>4–8 managers / leads, ≥ 25% own delivery</t>
        </is>
      </c>
      <c r="F21" s="63" t="n"/>
      <c r="G21" s="9" t="inlineStr">
        <is>
          <t>Heads a function and personally carries critical clients or principal work</t>
        </is>
      </c>
      <c r="H21" s="64" t="n"/>
      <c r="I21" s="64" t="n"/>
      <c r="J21" s="64" t="n"/>
      <c r="K21" s="64" t="n"/>
      <c r="L21" s="64" t="n"/>
      <c r="M21" s="64" t="n"/>
      <c r="N21" s="64" t="n"/>
      <c r="O21" s="63" t="n"/>
      <c r="P21" s="9" t="inlineStr">
        <is>
          <t>S09, S45</t>
        </is>
      </c>
      <c r="Q21" s="63" t="n"/>
    </row>
    <row r="22" ht="15" customHeight="1">
      <c r="A22" s="14" t="inlineStr">
        <is>
          <t>High-volume operations heads</t>
        </is>
      </c>
      <c r="B22" s="63" t="n"/>
      <c r="C22" s="9" t="inlineStr">
        <is>
          <t>Facilitator</t>
        </is>
      </c>
      <c r="D22" s="63" t="n"/>
      <c r="E22" s="9" t="inlineStr">
        <is>
          <t>11–15</t>
        </is>
      </c>
      <c r="F22" s="63" t="n"/>
      <c r="G22" s="9" t="inlineStr">
        <is>
          <t>Highly standard work with strong team leads</t>
        </is>
      </c>
      <c r="H22" s="64" t="n"/>
      <c r="I22" s="64" t="n"/>
      <c r="J22" s="64" t="n"/>
      <c r="K22" s="64" t="n"/>
      <c r="L22" s="64" t="n"/>
      <c r="M22" s="64" t="n"/>
      <c r="N22" s="64" t="n"/>
      <c r="O22" s="63" t="n"/>
      <c r="P22" s="9" t="inlineStr">
        <is>
          <t>S09</t>
        </is>
      </c>
      <c r="Q22" s="63" t="n"/>
    </row>
    <row r="23" ht="15" customHeight="1">
      <c r="A23" s="14" t="inlineStr">
        <is>
          <t>C1–E2 Heads and executives</t>
        </is>
      </c>
      <c r="B23" s="63" t="n"/>
      <c r="C23" s="9" t="inlineStr">
        <is>
          <t>Coach</t>
        </is>
      </c>
      <c r="D23" s="63" t="n"/>
      <c r="E23" s="9" t="inlineStr">
        <is>
          <t>5–8 heads / managers</t>
        </is>
      </c>
      <c r="F23" s="63" t="n"/>
      <c r="G23" s="9" t="inlineStr">
        <is>
          <t>Strategic, varied direct reports</t>
        </is>
      </c>
      <c r="H23" s="64" t="n"/>
      <c r="I23" s="64" t="n"/>
      <c r="J23" s="64" t="n"/>
      <c r="K23" s="64" t="n"/>
      <c r="L23" s="64" t="n"/>
      <c r="M23" s="64" t="n"/>
      <c r="N23" s="64" t="n"/>
      <c r="O23" s="63" t="n"/>
      <c r="P23" s="9" t="inlineStr">
        <is>
          <t>S09, S37</t>
        </is>
      </c>
      <c r="Q23" s="63" t="n"/>
    </row>
    <row r="24" ht="15" customHeight="1">
      <c r="A24" s="14" t="inlineStr">
        <is>
          <t>Layers</t>
        </is>
      </c>
      <c r="B24" s="63" t="n"/>
      <c r="C24" s="9" t="inlineStr">
        <is>
          <t>—</t>
        </is>
      </c>
      <c r="D24" s="63" t="n"/>
      <c r="E24" s="9" t="inlineStr">
        <is>
          <t>≤ 8 layers CEO → A1</t>
        </is>
      </c>
      <c r="F24" s="63" t="n"/>
      <c r="G24" s="9" t="inlineStr">
        <is>
          <t>GitLab runs at most eight layers; more layers slow decisions</t>
        </is>
      </c>
      <c r="H24" s="64" t="n"/>
      <c r="I24" s="64" t="n"/>
      <c r="J24" s="64" t="n"/>
      <c r="K24" s="64" t="n"/>
      <c r="L24" s="64" t="n"/>
      <c r="M24" s="64" t="n"/>
      <c r="N24" s="64" t="n"/>
      <c r="O24" s="63" t="n"/>
      <c r="P24" s="9" t="inlineStr">
        <is>
          <t>S37</t>
        </is>
      </c>
      <c r="Q24" s="63" t="n"/>
    </row>
    <row r="25" ht="15" customHeight="1"/>
    <row r="26" ht="20" customHeight="1">
      <c r="A26" s="6" t="inlineStr">
        <is>
          <t>Title rules</t>
        </is>
      </c>
    </row>
    <row r="27" ht="15" customHeight="1">
      <c r="A27" s="7" t="inlineStr">
        <is>
          <t>ID</t>
        </is>
      </c>
      <c r="B27" s="7" t="inlineStr">
        <is>
          <t>Rule</t>
        </is>
      </c>
      <c r="C27" s="64" t="n"/>
      <c r="D27" s="64" t="n"/>
      <c r="E27" s="64" t="n"/>
      <c r="F27" s="64" t="n"/>
      <c r="G27" s="64" t="n"/>
      <c r="H27" s="64" t="n"/>
      <c r="I27" s="64" t="n"/>
      <c r="J27" s="64" t="n"/>
      <c r="K27" s="64" t="n"/>
      <c r="L27" s="64" t="n"/>
      <c r="M27" s="64" t="n"/>
      <c r="N27" s="64" t="n"/>
      <c r="O27" s="63" t="n"/>
      <c r="P27" s="7" t="inlineStr">
        <is>
          <t>Sources</t>
        </is>
      </c>
      <c r="Q27" s="63" t="n"/>
    </row>
    <row r="28" ht="28" customHeight="1">
      <c r="A28" s="17" t="inlineStr">
        <is>
          <t>N1</t>
        </is>
      </c>
      <c r="B28" s="9" t="inlineStr">
        <is>
          <t>Title = level marker + role noun of the sub-family. Level markers: A1 Trainee / Intern · A2 none · A3 Senior · B1 Specialist · IC / Team Lead · M · B2 Senior Specialist / Manager · B3 Lead / Senior Manager · C1 Principal / Associate Head · C2 Senior Principal or Architect / Head · D1 Associate Vice President / Business Head · D2 Vice President · E1 Chief … Officer / President · E2 Chief Executive Officer.</t>
        </is>
      </c>
      <c r="C28" s="64" t="n"/>
      <c r="D28" s="64" t="n"/>
      <c r="E28" s="64" t="n"/>
      <c r="F28" s="64" t="n"/>
      <c r="G28" s="64" t="n"/>
      <c r="H28" s="64" t="n"/>
      <c r="I28" s="64" t="n"/>
      <c r="J28" s="64" t="n"/>
      <c r="K28" s="64" t="n"/>
      <c r="L28" s="64" t="n"/>
      <c r="M28" s="64" t="n"/>
      <c r="N28" s="64" t="n"/>
      <c r="O28" s="63" t="n"/>
      <c r="P28" s="9" t="inlineStr">
        <is>
          <t>S01, S36, S37</t>
        </is>
      </c>
      <c r="Q28" s="63" t="n"/>
    </row>
    <row r="29" ht="15" customHeight="1">
      <c r="A29" s="17" t="inlineStr">
        <is>
          <t>N2</t>
        </is>
      </c>
      <c r="B29" s="9" t="inlineStr">
        <is>
          <t>POD Leads keep their IC title and add "– POD Lead".</t>
        </is>
      </c>
      <c r="C29" s="64" t="n"/>
      <c r="D29" s="64" t="n"/>
      <c r="E29" s="64" t="n"/>
      <c r="F29" s="64" t="n"/>
      <c r="G29" s="64" t="n"/>
      <c r="H29" s="64" t="n"/>
      <c r="I29" s="64" t="n"/>
      <c r="J29" s="64" t="n"/>
      <c r="K29" s="64" t="n"/>
      <c r="L29" s="64" t="n"/>
      <c r="M29" s="64" t="n"/>
      <c r="N29" s="64" t="n"/>
      <c r="O29" s="63" t="n"/>
      <c r="P29" s="9" t="inlineStr">
        <is>
          <t>K3</t>
        </is>
      </c>
      <c r="Q29" s="63" t="n"/>
    </row>
    <row r="30" ht="15" customHeight="1">
      <c r="A30" s="17" t="inlineStr">
        <is>
          <t>N3</t>
        </is>
      </c>
      <c r="B30" s="9" t="inlineStr">
        <is>
          <t>Where the market uses its own ladder · Product Manager, Project / Program Manager, Account Executive, Architect, Agile Coach, Company Secretary, that title is kept and the level is shown by the grade.</t>
        </is>
      </c>
      <c r="C30" s="64" t="n"/>
      <c r="D30" s="64" t="n"/>
      <c r="E30" s="64" t="n"/>
      <c r="F30" s="64" t="n"/>
      <c r="G30" s="64" t="n"/>
      <c r="H30" s="64" t="n"/>
      <c r="I30" s="64" t="n"/>
      <c r="J30" s="64" t="n"/>
      <c r="K30" s="64" t="n"/>
      <c r="L30" s="64" t="n"/>
      <c r="M30" s="64" t="n"/>
      <c r="N30" s="64" t="n"/>
      <c r="O30" s="63" t="n"/>
      <c r="P30" s="9" t="inlineStr">
        <is>
          <t>S30, S33, S35, S36</t>
        </is>
      </c>
      <c r="Q30" s="63" t="n"/>
    </row>
    <row r="31" ht="15" customHeight="1">
      <c r="A31" s="17" t="inlineStr">
        <is>
          <t>N4</t>
        </is>
      </c>
      <c r="B31" s="9" t="inlineStr">
        <is>
          <t>A title is never higher than the level. Titles that are higher today are protected for one cycle, flagged, and reviewed.</t>
        </is>
      </c>
      <c r="C31" s="64" t="n"/>
      <c r="D31" s="64" t="n"/>
      <c r="E31" s="64" t="n"/>
      <c r="F31" s="64" t="n"/>
      <c r="G31" s="64" t="n"/>
      <c r="H31" s="64" t="n"/>
      <c r="I31" s="64" t="n"/>
      <c r="J31" s="64" t="n"/>
      <c r="K31" s="64" t="n"/>
      <c r="L31" s="64" t="n"/>
      <c r="M31" s="64" t="n"/>
      <c r="N31" s="64" t="n"/>
      <c r="O31" s="63" t="n"/>
      <c r="P31" s="9" t="inlineStr">
        <is>
          <t>P1</t>
        </is>
      </c>
      <c r="Q31" s="63" t="n"/>
    </row>
    <row r="32" ht="15" customHeight="1">
      <c r="A32" s="17" t="inlineStr">
        <is>
          <t>N5</t>
        </is>
      </c>
      <c r="B32" s="9" t="inlineStr">
        <is>
          <r>
            <rPr>
              <rFont val="Calibri"/>
              <b val="1"/>
              <sz val="10"/>
            </rPr>
            <t>Player-Coach titles:</t>
          </r>
          <r>
            <rPr>
              <rFont val="Calibri"/>
              <sz val="10"/>
            </rPr>
            <t xml:space="preserve"> B+ = "Practice Lead – &lt;specialism&gt; · Player-Coach"; C+ = "Group Head – &lt;function&gt; · Player-Coach".</t>
          </r>
        </is>
      </c>
      <c r="C32" s="64" t="n"/>
      <c r="D32" s="64" t="n"/>
      <c r="E32" s="64" t="n"/>
      <c r="F32" s="64" t="n"/>
      <c r="G32" s="64" t="n"/>
      <c r="H32" s="64" t="n"/>
      <c r="I32" s="64" t="n"/>
      <c r="J32" s="64" t="n"/>
      <c r="K32" s="64" t="n"/>
      <c r="L32" s="64" t="n"/>
      <c r="M32" s="64" t="n"/>
      <c r="N32" s="64" t="n"/>
      <c r="O32" s="63" t="n"/>
      <c r="P32" s="9" t="inlineStr">
        <is>
          <t>K6</t>
        </is>
      </c>
      <c r="Q32" s="63" t="n"/>
    </row>
    <row r="33" ht="15" customHeight="1"/>
    <row r="34" ht="20" customHeight="1">
      <c r="A34" s="6" t="inlineStr">
        <is>
          <t>Top specialist title at D1 — decision for the heads</t>
        </is>
      </c>
    </row>
    <row r="35" ht="15" customHeight="1">
      <c r="A35" s="12" t="inlineStr">
        <is>
          <t>Two market options; no 'Fellow' and no 'Director'. Status: Not decided yet — both options are shown as 'Chief Specialist / Distinguished Principal' until the heads choose.</t>
        </is>
      </c>
    </row>
    <row r="36" ht="15" customHeight="1">
      <c r="A36" s="7" t="inlineStr">
        <is>
          <t>Option</t>
        </is>
      </c>
      <c r="B36" s="63" t="n"/>
      <c r="C36" s="7" t="inlineStr">
        <is>
          <t>Discipline forms</t>
        </is>
      </c>
      <c r="D36" s="64" t="n"/>
      <c r="E36" s="63" t="n"/>
      <c r="F36" s="7" t="inlineStr">
        <is>
          <t>Why</t>
        </is>
      </c>
      <c r="G36" s="64" t="n"/>
      <c r="H36" s="63" t="n"/>
      <c r="I36" s="7" t="inlineStr">
        <is>
          <t>Watch-out</t>
        </is>
      </c>
      <c r="J36" s="64" t="n"/>
      <c r="K36" s="64" t="n"/>
      <c r="L36" s="64" t="n"/>
      <c r="M36" s="64" t="n"/>
      <c r="N36" s="64" t="n"/>
      <c r="O36" s="64" t="n"/>
      <c r="P36" s="64" t="n"/>
      <c r="Q36" s="63" t="n"/>
    </row>
    <row r="37" ht="106" customHeight="1">
      <c r="A37" s="14" t="inlineStr">
        <is>
          <t>Option A · Chief Specialist</t>
        </is>
      </c>
      <c r="B37" s="63" t="n"/>
      <c r="C37" s="9" t="inlineStr">
        <is>
          <t>Chief Architect · Chief Consultant · Chief Product Specialist · Chief Compliance Specialist · Chief Data Scientist</t>
        </is>
      </c>
      <c r="D37" s="64" t="n"/>
      <c r="E37" s="63" t="n"/>
      <c r="F37" s="9" t="inlineStr">
        <is>
          <r>
            <rPr>
              <rFont val="Calibri"/>
              <b val="1"/>
              <sz val="10"/>
            </rPr>
            <t>A recognised senior title in the Indian market:</t>
          </r>
          <r>
            <rPr>
              <rFont val="Calibri"/>
              <sz val="10"/>
            </rPr>
            <t xml:space="preserve"> PayScale India tracks Chief Architect, IT as a late-career role, and Indian IT services ladders such as Infosys stop at Principal Technology Architect before AVP, so 'Chief' marks the step above Principal. Takes the discipline word for every job family. Sources: S72 PayScale India · S33 Infosys job levels.</t>
          </r>
        </is>
      </c>
      <c r="G37" s="64" t="n"/>
      <c r="H37" s="63" t="n"/>
      <c r="I37" s="9" t="inlineStr">
        <is>
          <t>The CXO level also uses 'Chief'. Job documents state that this is a specialist role with no team, not an executive or KMP role.</t>
        </is>
      </c>
      <c r="J37" s="64" t="n"/>
      <c r="K37" s="64" t="n"/>
      <c r="L37" s="64" t="n"/>
      <c r="M37" s="64" t="n"/>
      <c r="N37" s="64" t="n"/>
      <c r="O37" s="64" t="n"/>
      <c r="P37" s="64" t="n"/>
      <c r="Q37" s="63" t="n"/>
    </row>
    <row r="38" ht="80" customHeight="1">
      <c r="A38" s="14" t="inlineStr">
        <is>
          <t>Option B · Distinguished Principal</t>
        </is>
      </c>
      <c r="B38" s="63" t="n"/>
      <c r="C38" s="9" t="inlineStr">
        <is>
          <t>Distinguished Architect · Distinguished Engineer · Distinguished Consultant · Distinguished Designer</t>
        </is>
      </c>
      <c r="D38" s="64" t="n"/>
      <c r="E38" s="63" t="n"/>
      <c r="F38" s="9" t="inlineStr">
        <is>
          <r>
            <rPr>
              <rFont val="Calibri"/>
              <b val="1"/>
              <sz val="10"/>
            </rPr>
            <t>Most common globally:</t>
          </r>
          <r>
            <rPr>
              <rFont val="Calibri"/>
              <sz val="10"/>
            </rPr>
            <t xml:space="preserve"> the standard top-specialist title at Google, Microsoft, Salesforce and, in India, Wipro. Continues the Principal line: Principal → Senior Principal → Distinguished Principal. Sources: S65 Wipro · S66 Salesforce · S67 LeadDev · S32 Google, Microsoft, Amazon levels.</t>
          </r>
        </is>
      </c>
      <c r="G38" s="64" t="n"/>
      <c r="H38" s="63" t="n"/>
      <c r="I38" s="9" t="inlineStr">
        <is>
          <t>Less familiar in the Indian job market and outside technology roles.</t>
        </is>
      </c>
      <c r="J38" s="64" t="n"/>
      <c r="K38" s="64" t="n"/>
      <c r="L38" s="64" t="n"/>
      <c r="M38" s="64" t="n"/>
      <c r="N38" s="64" t="n"/>
      <c r="O38" s="64" t="n"/>
      <c r="P38" s="64" t="n"/>
      <c r="Q38" s="63" t="n"/>
    </row>
    <row r="39" ht="15" customHeight="1"/>
    <row r="40" ht="15" customHeight="1">
      <c r="A40" s="12" t="inlineStr">
        <is>
          <r>
            <rPr>
              <rFont val="Calibri"/>
              <b val="1"/>
              <i val="1"/>
              <color rgb="00595959"/>
              <sz val="10"/>
            </rPr>
            <t>How to apply the decision:</t>
          </r>
          <r>
            <rPr>
              <rFont val="Calibri"/>
              <i val="1"/>
              <color rgb="00595959"/>
              <sz val="10"/>
            </rPr>
            <t xml:space="preserve"> Heads choose one option. HR then sets the value in inputs/title_settings.csv to 'Chief Specialist' or 'Distinguished Principal' and rebuilds; every ladder, level table and designation updates. Leave it as 'Both' until the decision is made.</t>
          </r>
        </is>
      </c>
    </row>
    <row r="41" ht="20" customHeight="1">
      <c r="A41" s="6" t="inlineStr">
        <is>
          <t>Designations in use — job family × level · bottom to top, left to right; ×n = people</t>
        </is>
      </c>
    </row>
    <row r="42" ht="15" customHeight="1">
      <c r="A42" s="7" t="inlineStr">
        <is>
          <t>Job family</t>
        </is>
      </c>
      <c r="B42" s="50" t="inlineStr">
        <is>
          <t>A1</t>
        </is>
      </c>
      <c r="C42" s="50" t="inlineStr">
        <is>
          <t>A2</t>
        </is>
      </c>
      <c r="D42" s="50" t="inlineStr">
        <is>
          <t>A3</t>
        </is>
      </c>
      <c r="E42" s="51" t="inlineStr">
        <is>
          <t>B1</t>
        </is>
      </c>
      <c r="F42" s="51" t="inlineStr">
        <is>
          <t>B2</t>
        </is>
      </c>
      <c r="G42" s="51" t="inlineStr">
        <is>
          <t>B3</t>
        </is>
      </c>
      <c r="H42" s="52" t="inlineStr">
        <is>
          <t>B+</t>
        </is>
      </c>
      <c r="I42" s="53" t="inlineStr">
        <is>
          <t>C1</t>
        </is>
      </c>
      <c r="J42" s="53" t="inlineStr">
        <is>
          <t>C2</t>
        </is>
      </c>
      <c r="K42" s="54" t="inlineStr">
        <is>
          <t>D1</t>
        </is>
      </c>
      <c r="L42" s="54" t="inlineStr">
        <is>
          <t>D2</t>
        </is>
      </c>
      <c r="M42" s="55" t="inlineStr">
        <is>
          <t>E1</t>
        </is>
      </c>
      <c r="N42" s="55" t="inlineStr">
        <is>
          <t>E2</t>
        </is>
      </c>
      <c r="O42" s="56" t="inlineStr">
        <is>
          <t>X1</t>
        </is>
      </c>
      <c r="P42" s="56" t="inlineStr">
        <is>
          <t>X2</t>
        </is>
      </c>
      <c r="Q42" s="56" t="inlineStr">
        <is>
          <t>X3</t>
        </is>
      </c>
    </row>
    <row r="43" ht="93" customHeight="1">
      <c r="A43" s="14" t="inlineStr">
        <is>
          <t>Engineering &amp; Development</t>
        </is>
      </c>
      <c r="B43" s="9" t="inlineStr">
        <is>
          <t>Trainee Software Engineer ×7; Intern – Front-End / UI Development; Intern – Software Development; +1 more</t>
        </is>
      </c>
      <c r="C43" s="9" t="inlineStr">
        <is>
          <t>Software Engineer ×11; UI Developer ×6; AI/ML Engineer ×3</t>
        </is>
      </c>
      <c r="D43" s="9" t="inlineStr">
        <is>
          <t>Senior Software Engineer ×68; Senior UI Developer ×10; Senior AI/ML Engineer ×6; +4 more</t>
        </is>
      </c>
      <c r="E43" s="9" t="inlineStr">
        <is>
          <t>Technical Specialist – POD Lead ×6; Technical Specialist ×5; AI/ML Specialist – POD Lead ×2; +4 more</t>
        </is>
      </c>
      <c r="F43" s="9" t="inlineStr">
        <is>
          <t>Senior Technical Specialist – POD Lead ×4; Lead Software Engineer ×3; Lead Software Engineer – POD Lead ×2; +2 more</t>
        </is>
      </c>
      <c r="G43" s="9" t="inlineStr">
        <is>
          <t>Lead Software Engineer ×3; Lead Software Engineer – POD Lead ×2; Senior Engineering Manager</t>
        </is>
      </c>
      <c r="H43" s="9" t="inlineStr"/>
      <c r="I43" s="9" t="inlineStr"/>
      <c r="J43" s="9" t="inlineStr">
        <is>
          <t>Head – Product Engineering</t>
        </is>
      </c>
      <c r="K43" s="9" t="inlineStr"/>
      <c r="L43" s="9" t="inlineStr"/>
      <c r="M43" s="9" t="inlineStr"/>
      <c r="N43" s="9" t="inlineStr"/>
      <c r="O43" s="9" t="inlineStr">
        <is>
          <t>Associate Consultant – Software Development ×16</t>
        </is>
      </c>
      <c r="P43" s="9" t="inlineStr"/>
      <c r="Q43" s="9" t="inlineStr"/>
    </row>
    <row r="44" ht="93" customHeight="1">
      <c r="A44" s="14" t="inlineStr">
        <is>
          <t>Consulting &amp; Professional Services</t>
        </is>
      </c>
      <c r="B44" s="9" t="inlineStr"/>
      <c r="C44" s="9" t="inlineStr">
        <is>
          <t>Financial Analyst ×4; Taxonomy Analyst ×2</t>
        </is>
      </c>
      <c r="D44" s="9" t="inlineStr">
        <is>
          <t>Senior Financial Analyst ×36; Senior Taxonomy Analyst ×12; XBRL Specialist ×2; +2 more</t>
        </is>
      </c>
      <c r="E44" s="9" t="inlineStr">
        <is>
          <t>XBRL Specialist ×8; Team Lead – Assisted Services ×2; XBRL Specialist – POD Lead ×2; +3 more</t>
        </is>
      </c>
      <c r="F44" s="9" t="inlineStr">
        <is>
          <t>Manager – Assisted Services ×3; Senior Taxonomy Specialist ×3; Senior Manager – Assisted Services; +3 more</t>
        </is>
      </c>
      <c r="G44" s="9" t="inlineStr"/>
      <c r="H44" s="9" t="inlineStr"/>
      <c r="I44" s="9" t="inlineStr">
        <is>
          <t>Associate Head – XBRL Assisted Services; Associate Head – Assisted Services</t>
        </is>
      </c>
      <c r="J44" s="9" t="inlineStr">
        <is>
          <t>Head – Consulting</t>
        </is>
      </c>
      <c r="K44" s="9" t="inlineStr"/>
      <c r="L44" s="9" t="inlineStr"/>
      <c r="M44" s="9" t="inlineStr"/>
      <c r="N44" s="9" t="inlineStr"/>
      <c r="O44" s="9" t="inlineStr">
        <is>
          <t>Associate Consultant – Taxonomy Design &amp; Regulatory Consulting</t>
        </is>
      </c>
      <c r="P44" s="9" t="inlineStr"/>
      <c r="Q44" s="9" t="inlineStr"/>
    </row>
    <row r="45" ht="93" customHeight="1">
      <c r="A45" s="14" t="inlineStr">
        <is>
          <t>Sales &amp; Business Development</t>
        </is>
      </c>
      <c r="B45" s="9" t="inlineStr">
        <is>
          <t>Intern – Sales Development &amp; Prospecting ×3</t>
        </is>
      </c>
      <c r="C45" s="9" t="inlineStr">
        <is>
          <t>Sales Development Representative ×5; Program Executive ×2</t>
        </is>
      </c>
      <c r="D45" s="9" t="inlineStr">
        <is>
          <t>Senior Sales Development Representative ×3; Senior Program Executive ×3; Senior Sales Operations Analyst; +1 more</t>
        </is>
      </c>
      <c r="E45" s="9" t="inlineStr">
        <is>
          <t>Account Executive ×2; Team Lead – Sales Development ×2; Sales Operations Specialist – POD Lead; +2 more</t>
        </is>
      </c>
      <c r="F45" s="9" t="inlineStr">
        <is>
          <t>Senior Account Executive – POD Lead ×2; Lead Account Executive; Senior Account Executive; +2 more</t>
        </is>
      </c>
      <c r="G45" s="9" t="inlineStr">
        <is>
          <t>Lead Account Executive; Lead Alliances Specialist – POD Lead</t>
        </is>
      </c>
      <c r="H45" s="9" t="inlineStr"/>
      <c r="I45" s="9" t="inlineStr">
        <is>
          <t>Principal – Enterprise Sales ×2; Principal – Sales</t>
        </is>
      </c>
      <c r="J45" s="9" t="inlineStr">
        <is>
          <t>Head – Sales</t>
        </is>
      </c>
      <c r="K45" s="9" t="inlineStr"/>
      <c r="L45" s="9" t="inlineStr"/>
      <c r="M45" s="9" t="inlineStr"/>
      <c r="N45" s="9" t="inlineStr"/>
      <c r="O45" s="9" t="inlineStr"/>
      <c r="P45" s="9" t="inlineStr">
        <is>
          <t>Consultant – Enterprise Sales &amp; Account Management</t>
        </is>
      </c>
      <c r="Q45" s="9" t="inlineStr">
        <is>
          <t>Senior Consultant – Enterprise Sales &amp; Account Management</t>
        </is>
      </c>
    </row>
    <row r="46" ht="67" customHeight="1">
      <c r="A46" s="14" t="inlineStr">
        <is>
          <t>Quality Assurance</t>
        </is>
      </c>
      <c r="B46" s="9" t="inlineStr">
        <is>
          <t>Trainee QA Automation Engineer ×2; Intern – Functional &amp; Domain Testing</t>
        </is>
      </c>
      <c r="C46" s="9" t="inlineStr">
        <is>
          <t>QA Engineer</t>
        </is>
      </c>
      <c r="D46" s="9" t="inlineStr">
        <is>
          <t>Senior QA Engineer ×19; Senior QA Automation Engineer ×6; QA Specialist</t>
        </is>
      </c>
      <c r="E46" s="9" t="inlineStr">
        <is>
          <t>QA Specialist – POD Lead ×3; QA Manager</t>
        </is>
      </c>
      <c r="F46" s="9" t="inlineStr">
        <is>
          <t>Senior QA Specialist – POD Lead ×2; QA Manager; Senior QA Manager</t>
        </is>
      </c>
      <c r="G46" s="9" t="inlineStr"/>
      <c r="H46" s="9" t="inlineStr"/>
      <c r="I46" s="9" t="inlineStr"/>
      <c r="J46" s="9" t="inlineStr"/>
      <c r="K46" s="9" t="inlineStr"/>
      <c r="L46" s="9" t="inlineStr"/>
      <c r="M46" s="9" t="inlineStr"/>
      <c r="N46" s="9" t="inlineStr"/>
      <c r="O46" s="9" t="inlineStr"/>
      <c r="P46" s="9" t="inlineStr"/>
      <c r="Q46" s="9" t="inlineStr"/>
    </row>
    <row r="47" ht="106" customHeight="1">
      <c r="A47" s="14" t="inlineStr">
        <is>
          <t>Customer Success &amp; Support</t>
        </is>
      </c>
      <c r="B47" s="9" t="inlineStr">
        <is>
          <t>Intern – Application &amp; Product Support ×2</t>
        </is>
      </c>
      <c r="C47" s="9" t="inlineStr">
        <is>
          <t>Support Executive ×2</t>
        </is>
      </c>
      <c r="D47" s="9" t="inlineStr">
        <is>
          <t>Senior Support Executive ×16; Senior Customer Success Executive ×2; Support Specialist</t>
        </is>
      </c>
      <c r="E47" s="9" t="inlineStr">
        <is>
          <t>Support Specialist ×2; Customer Enablement Specialist – POD Lead; Senior Customer Success Specialist – POD Lead; +2 more</t>
        </is>
      </c>
      <c r="F47" s="9" t="inlineStr">
        <is>
          <t>Senior Customer Success Specialist ×3; Support Manager; Senior Customer Success Specialist – POD Lead; +1 more</t>
        </is>
      </c>
      <c r="G47" s="9" t="inlineStr"/>
      <c r="H47" s="9" t="inlineStr"/>
      <c r="I47" s="9" t="inlineStr">
        <is>
          <t>Associate Head – Customer Success</t>
        </is>
      </c>
      <c r="J47" s="9" t="inlineStr"/>
      <c r="K47" s="9" t="inlineStr"/>
      <c r="L47" s="9" t="inlineStr"/>
      <c r="M47" s="9" t="inlineStr"/>
      <c r="N47" s="9" t="inlineStr"/>
      <c r="O47" s="9" t="inlineStr">
        <is>
          <t>Associate Consultant – Customer Success &amp; Account Management</t>
        </is>
      </c>
      <c r="P47" s="9" t="inlineStr"/>
      <c r="Q47" s="9" t="inlineStr"/>
    </row>
    <row r="48" ht="80" customHeight="1">
      <c r="A48" s="14" t="inlineStr">
        <is>
          <t>Data Operations &amp; Digitization</t>
        </is>
      </c>
      <c r="B48" s="9" t="inlineStr"/>
      <c r="C48" s="9" t="inlineStr">
        <is>
          <t>Digitization Associate ×4</t>
        </is>
      </c>
      <c r="D48" s="9" t="inlineStr">
        <is>
          <t>Senior Digitization Associate ×20</t>
        </is>
      </c>
      <c r="E48" s="9" t="inlineStr">
        <is>
          <t>Digitization Specialist – POD Lead ×3; Team Lead – Digitization; Digitization Specialist</t>
        </is>
      </c>
      <c r="F48" s="9" t="inlineStr">
        <is>
          <t>Digitization Manager ×2</t>
        </is>
      </c>
      <c r="G48" s="9" t="inlineStr"/>
      <c r="H48" s="9" t="inlineStr"/>
      <c r="I48" s="9" t="inlineStr">
        <is>
          <t>Associate Head – Digitization</t>
        </is>
      </c>
      <c r="J48" s="9" t="inlineStr"/>
      <c r="K48" s="9" t="inlineStr"/>
      <c r="L48" s="9" t="inlineStr"/>
      <c r="M48" s="9" t="inlineStr"/>
      <c r="N48" s="9" t="inlineStr"/>
      <c r="O48" s="9" t="inlineStr"/>
      <c r="P48" s="9" t="inlineStr"/>
      <c r="Q48" s="9" t="inlineStr"/>
    </row>
    <row r="49" ht="93" customHeight="1">
      <c r="A49" s="14" t="inlineStr">
        <is>
          <t>Business Analysis</t>
        </is>
      </c>
      <c r="B49" s="9" t="inlineStr">
        <is>
          <t>Trainee Business Analyst</t>
        </is>
      </c>
      <c r="C49" s="9" t="inlineStr">
        <is>
          <t>Business Analyst ×2</t>
        </is>
      </c>
      <c r="D49" s="9" t="inlineStr">
        <is>
          <t>Senior Business Analyst ×15; Business Analysis Specialist</t>
        </is>
      </c>
      <c r="E49" s="9" t="inlineStr">
        <is>
          <t>Business Analysis Specialist ×5; Team Lead – Business Analysis ×2; Business Analysis Specialist – POD Lead; +1 more</t>
        </is>
      </c>
      <c r="F49" s="9" t="inlineStr">
        <is>
          <t>Senior Business Analysis Specialist – POD Lead</t>
        </is>
      </c>
      <c r="G49" s="9" t="inlineStr"/>
      <c r="H49" s="9" t="inlineStr"/>
      <c r="I49" s="9" t="inlineStr"/>
      <c r="J49" s="9" t="inlineStr"/>
      <c r="K49" s="9" t="inlineStr"/>
      <c r="L49" s="9" t="inlineStr"/>
      <c r="M49" s="9" t="inlineStr"/>
      <c r="N49" s="9" t="inlineStr"/>
      <c r="O49" s="9" t="inlineStr"/>
      <c r="P49" s="9" t="inlineStr"/>
      <c r="Q49" s="9" t="inlineStr"/>
    </row>
    <row r="50" ht="106" customHeight="1">
      <c r="A50" s="14" t="inlineStr">
        <is>
          <t>Marketing &amp; Communications</t>
        </is>
      </c>
      <c r="B50" s="9" t="inlineStr"/>
      <c r="C50" s="9" t="inlineStr">
        <is>
          <t>Content Marketing Associate ×5; Marketing Operations Associate ×3; Marketing Associate</t>
        </is>
      </c>
      <c r="D50" s="9" t="inlineStr">
        <is>
          <t>Senior Marketing Operations Associate ×3; Senior Digital Marketing Associate ×2; Senior Content Marketing Associate ×2</t>
        </is>
      </c>
      <c r="E50" s="9" t="inlineStr">
        <is>
          <t>Team Lead – Product Marketing</t>
        </is>
      </c>
      <c r="F50" s="9" t="inlineStr">
        <is>
          <t>Marketing Manager; Senior Marketing Specialist – POD Lead; Marketing Specialist – POD Lead; +1 more</t>
        </is>
      </c>
      <c r="G50" s="9" t="inlineStr">
        <is>
          <t>Senior Marketing Manager</t>
        </is>
      </c>
      <c r="H50" s="9" t="inlineStr"/>
      <c r="I50" s="9" t="inlineStr"/>
      <c r="J50" s="9" t="inlineStr"/>
      <c r="K50" s="9" t="inlineStr"/>
      <c r="L50" s="9" t="inlineStr"/>
      <c r="M50" s="9" t="inlineStr"/>
      <c r="N50" s="9" t="inlineStr"/>
      <c r="O50" s="9" t="inlineStr">
        <is>
          <t>Associate Consultant – Demand Generation, Brand &amp; Events</t>
        </is>
      </c>
      <c r="P50" s="9" t="inlineStr"/>
      <c r="Q50" s="9" t="inlineStr"/>
    </row>
    <row r="51" ht="80" customHeight="1">
      <c r="A51" s="14" t="inlineStr">
        <is>
          <t>Project &amp; Program Management</t>
        </is>
      </c>
      <c r="B51" s="9" t="inlineStr"/>
      <c r="C51" s="9" t="inlineStr"/>
      <c r="D51" s="9" t="inlineStr"/>
      <c r="E51" s="9" t="inlineStr">
        <is>
          <t>Associate Project Manager ×2; Associate Project Manager – POD Lead; Project Manager – POD Lead</t>
        </is>
      </c>
      <c r="F51" s="9" t="inlineStr">
        <is>
          <t>Project Manager ×5; Delivery Manager ×4; PMO Manager</t>
        </is>
      </c>
      <c r="G51" s="9" t="inlineStr">
        <is>
          <t>Program Manager; Agile Coach</t>
        </is>
      </c>
      <c r="H51" s="9" t="inlineStr">
        <is>
          <t>Practice Lead – Project &amp; Program Delivery · Player-Coach</t>
        </is>
      </c>
      <c r="I51" s="9" t="inlineStr"/>
      <c r="J51" s="9" t="inlineStr">
        <is>
          <t>Head – Delivery</t>
        </is>
      </c>
      <c r="K51" s="9" t="inlineStr"/>
      <c r="L51" s="9" t="inlineStr"/>
      <c r="M51" s="9" t="inlineStr"/>
      <c r="N51" s="9" t="inlineStr"/>
      <c r="O51" s="9" t="inlineStr"/>
      <c r="P51" s="9" t="inlineStr"/>
      <c r="Q51" s="9" t="inlineStr"/>
    </row>
    <row r="52" ht="67" customHeight="1">
      <c r="A52" s="14" t="inlineStr">
        <is>
          <t>Product Management</t>
        </is>
      </c>
      <c r="B52" s="9" t="inlineStr">
        <is>
          <t>Intern – Product Operations &amp; Research</t>
        </is>
      </c>
      <c r="C52" s="9" t="inlineStr"/>
      <c r="D52" s="9" t="inlineStr">
        <is>
          <t>Senior Product Associate; Senior Product Analyst</t>
        </is>
      </c>
      <c r="E52" s="9" t="inlineStr">
        <is>
          <t>Associate Product Manager – POD Lead ×3; Associate Product Manager ×2</t>
        </is>
      </c>
      <c r="F52" s="9" t="inlineStr">
        <is>
          <t>Product Manager ×6</t>
        </is>
      </c>
      <c r="G52" s="9" t="inlineStr">
        <is>
          <t>Senior Product Manager</t>
        </is>
      </c>
      <c r="H52" s="9" t="inlineStr"/>
      <c r="I52" s="9" t="inlineStr"/>
      <c r="J52" s="9" t="inlineStr"/>
      <c r="K52" s="9" t="inlineStr"/>
      <c r="L52" s="9" t="inlineStr"/>
      <c r="M52" s="9" t="inlineStr"/>
      <c r="N52" s="9" t="inlineStr"/>
      <c r="O52" s="9" t="inlineStr"/>
      <c r="P52" s="9" t="inlineStr"/>
      <c r="Q52" s="9" t="inlineStr"/>
    </row>
    <row r="53" ht="80" customHeight="1">
      <c r="A53" s="14" t="inlineStr">
        <is>
          <t>IT &amp; Infrastructure</t>
        </is>
      </c>
      <c r="B53" s="9" t="inlineStr"/>
      <c r="C53" s="9" t="inlineStr"/>
      <c r="D53" s="9" t="inlineStr">
        <is>
          <t>Senior System Administrator ×7; Infrastructure Specialist; Senior Desktop Support Engineer</t>
        </is>
      </c>
      <c r="E53" s="9" t="inlineStr">
        <is>
          <t>IT Infrastructure Manager; Infrastructure Specialist; Infrastructure Specialist – POD Lead</t>
        </is>
      </c>
      <c r="F53" s="9" t="inlineStr">
        <is>
          <t>Senior IT Manager</t>
        </is>
      </c>
      <c r="G53" s="9" t="inlineStr"/>
      <c r="H53" s="9" t="inlineStr"/>
      <c r="I53" s="9" t="inlineStr"/>
      <c r="J53" s="9" t="inlineStr"/>
      <c r="K53" s="9" t="inlineStr"/>
      <c r="L53" s="9" t="inlineStr"/>
      <c r="M53" s="9" t="inlineStr"/>
      <c r="N53" s="9" t="inlineStr"/>
      <c r="O53" s="9" t="inlineStr"/>
      <c r="P53" s="9" t="inlineStr"/>
      <c r="Q53" s="9" t="inlineStr"/>
    </row>
    <row r="54" ht="41" customHeight="1">
      <c r="A54" s="14" t="inlineStr">
        <is>
          <t>Data &amp; Analytics</t>
        </is>
      </c>
      <c r="B54" s="9" t="inlineStr"/>
      <c r="C54" s="9" t="inlineStr">
        <is>
          <t>MIS Associate</t>
        </is>
      </c>
      <c r="D54" s="9" t="inlineStr">
        <is>
          <t>Senior Data Analyst ×7; MIS Specialist</t>
        </is>
      </c>
      <c r="E54" s="9" t="inlineStr">
        <is>
          <t>Data Specialist</t>
        </is>
      </c>
      <c r="F54" s="9" t="inlineStr">
        <is>
          <t>Data Operations Manager</t>
        </is>
      </c>
      <c r="G54" s="9" t="inlineStr"/>
      <c r="H54" s="9" t="inlineStr"/>
      <c r="I54" s="9" t="inlineStr"/>
      <c r="J54" s="9" t="inlineStr"/>
      <c r="K54" s="9" t="inlineStr"/>
      <c r="L54" s="9" t="inlineStr"/>
      <c r="M54" s="9" t="inlineStr"/>
      <c r="N54" s="9" t="inlineStr"/>
      <c r="O54" s="9" t="inlineStr"/>
      <c r="P54" s="9" t="inlineStr"/>
      <c r="Q54" s="9" t="inlineStr"/>
    </row>
    <row r="55" ht="67" customHeight="1">
      <c r="A55" s="14" t="inlineStr">
        <is>
          <t>Executive Leadership</t>
        </is>
      </c>
      <c r="B55" s="9" t="inlineStr"/>
      <c r="C55" s="9" t="inlineStr"/>
      <c r="D55" s="9" t="inlineStr"/>
      <c r="E55" s="9" t="inlineStr"/>
      <c r="F55" s="9" t="inlineStr"/>
      <c r="G55" s="9" t="inlineStr"/>
      <c r="H55" s="9" t="inlineStr"/>
      <c r="I55" s="9" t="inlineStr"/>
      <c r="J55" s="9" t="inlineStr"/>
      <c r="K55" s="9" t="inlineStr">
        <is>
          <t>Senior Vice President – Customer Experience; Business Head – iDEAL</t>
        </is>
      </c>
      <c r="L55" s="9" t="inlineStr">
        <is>
          <t>Business Head; Business Head – SupTech &amp; Bank-RegTech; Business Head – DataTech</t>
        </is>
      </c>
      <c r="M55" s="9" t="inlineStr">
        <is>
          <t>Chief Revenue Officer; Chief Financial Officer; Chief Operating Officer; +1 more</t>
        </is>
      </c>
      <c r="N55" s="9" t="inlineStr">
        <is>
          <t>Chief Executive Officer</t>
        </is>
      </c>
      <c r="O55" s="9" t="inlineStr"/>
      <c r="P55" s="9" t="inlineStr"/>
      <c r="Q55" s="9" t="inlineStr">
        <is>
          <t>Senior Consultant – Enterprise Leadership</t>
        </is>
      </c>
    </row>
    <row r="56" ht="80" customHeight="1">
      <c r="A56" s="14" t="inlineStr">
        <is>
          <t>Finance &amp; Accounts</t>
        </is>
      </c>
      <c r="B56" s="9" t="inlineStr"/>
      <c r="C56" s="9" t="inlineStr"/>
      <c r="D56" s="9" t="inlineStr">
        <is>
          <t>Senior Accounts Executive ×2</t>
        </is>
      </c>
      <c r="E56" s="9" t="inlineStr">
        <is>
          <t>Finance Specialist ×2; Accounts Specialist – POD Lead ×2; Finance Specialist – POD Lead</t>
        </is>
      </c>
      <c r="F56" s="9" t="inlineStr">
        <is>
          <t>Senior Finance Specialist – POD Lead</t>
        </is>
      </c>
      <c r="G56" s="9" t="inlineStr"/>
      <c r="H56" s="9" t="inlineStr"/>
      <c r="I56" s="9" t="inlineStr">
        <is>
          <t>Associate Head – Admin &amp; Internal Audit; Associate Head – Finance &amp; Accounts</t>
        </is>
      </c>
      <c r="J56" s="9" t="inlineStr"/>
      <c r="K56" s="9" t="inlineStr"/>
      <c r="L56" s="9" t="inlineStr"/>
      <c r="M56" s="9" t="inlineStr"/>
      <c r="N56" s="9" t="inlineStr"/>
      <c r="O56" s="9" t="inlineStr"/>
      <c r="P56" s="9" t="inlineStr"/>
      <c r="Q56" s="9" t="inlineStr"/>
    </row>
    <row r="57" ht="80" customHeight="1">
      <c r="A57" s="14" t="inlineStr">
        <is>
          <t>Engineering &amp; Architecture</t>
        </is>
      </c>
      <c r="B57" s="9" t="inlineStr"/>
      <c r="C57" s="9" t="inlineStr"/>
      <c r="D57" s="9" t="inlineStr"/>
      <c r="E57" s="9" t="inlineStr"/>
      <c r="F57" s="9" t="inlineStr"/>
      <c r="G57" s="9" t="inlineStr">
        <is>
          <t>Technical Architect; Associate Technical Architect – POD Lead; Associate Technical Architect</t>
        </is>
      </c>
      <c r="H57" s="9" t="inlineStr">
        <is>
          <t>Practice Lead – Solution &amp; Technical Architecture · Player-Coach ×5</t>
        </is>
      </c>
      <c r="I57" s="9" t="inlineStr">
        <is>
          <t>Technical Architect; Solution Architect</t>
        </is>
      </c>
      <c r="J57" s="9" t="inlineStr"/>
      <c r="K57" s="9" t="inlineStr"/>
      <c r="L57" s="9" t="inlineStr"/>
      <c r="M57" s="9" t="inlineStr"/>
      <c r="N57" s="9" t="inlineStr"/>
      <c r="O57" s="9" t="inlineStr"/>
      <c r="P57" s="9" t="inlineStr"/>
      <c r="Q57" s="9" t="inlineStr"/>
    </row>
    <row r="58" ht="54" customHeight="1">
      <c r="A58" s="14" t="inlineStr">
        <is>
          <t>Administration, Legal &amp; Secretarial</t>
        </is>
      </c>
      <c r="B58" s="9" t="inlineStr">
        <is>
          <t>Intern – Company Secretarial &amp; Legal</t>
        </is>
      </c>
      <c r="C58" s="9" t="inlineStr"/>
      <c r="D58" s="9" t="inlineStr">
        <is>
          <t>Senior Administration Executive ×4; Senior Secretarial Executive</t>
        </is>
      </c>
      <c r="E58" s="9" t="inlineStr"/>
      <c r="F58" s="9" t="inlineStr">
        <is>
          <t>Manager – Administration</t>
        </is>
      </c>
      <c r="G58" s="9" t="inlineStr"/>
      <c r="H58" s="9" t="inlineStr"/>
      <c r="I58" s="9" t="inlineStr">
        <is>
          <t>Company Secretary – POD Lead</t>
        </is>
      </c>
      <c r="J58" s="9" t="inlineStr"/>
      <c r="K58" s="9" t="inlineStr"/>
      <c r="L58" s="9" t="inlineStr"/>
      <c r="M58" s="9" t="inlineStr"/>
      <c r="N58" s="9" t="inlineStr"/>
      <c r="O58" s="9" t="inlineStr">
        <is>
          <t>Associate Consultant – Administration &amp; Facilities</t>
        </is>
      </c>
      <c r="P58" s="9" t="inlineStr"/>
      <c r="Q58" s="9" t="inlineStr"/>
    </row>
    <row r="59" ht="41" customHeight="1">
      <c r="A59" s="14" t="inlineStr">
        <is>
          <t>Human Resources</t>
        </is>
      </c>
      <c r="B59" s="9" t="inlineStr"/>
      <c r="C59" s="9" t="inlineStr">
        <is>
          <t>HR Executive</t>
        </is>
      </c>
      <c r="D59" s="9" t="inlineStr">
        <is>
          <t>Senior Talent Acquisition Executive ×2</t>
        </is>
      </c>
      <c r="E59" s="9" t="inlineStr">
        <is>
          <t>HR Specialist; HR Specialist – POD Lead</t>
        </is>
      </c>
      <c r="F59" s="9" t="inlineStr">
        <is>
          <t>Senior Talent Acquisition Specialist</t>
        </is>
      </c>
      <c r="G59" s="9" t="inlineStr">
        <is>
          <t>Lead HR Specialist – Transformation &amp; OD</t>
        </is>
      </c>
      <c r="H59" s="9" t="inlineStr"/>
      <c r="I59" s="9" t="inlineStr"/>
      <c r="J59" s="9" t="inlineStr"/>
      <c r="K59" s="9" t="inlineStr"/>
      <c r="L59" s="9" t="inlineStr">
        <is>
          <t>Vice President – Human Resources</t>
        </is>
      </c>
      <c r="M59" s="9" t="inlineStr"/>
      <c r="N59" s="9" t="inlineStr"/>
      <c r="O59" s="9" t="inlineStr"/>
      <c r="P59" s="9" t="inlineStr"/>
      <c r="Q59" s="9" t="inlineStr"/>
    </row>
    <row r="60" ht="54" customHeight="1">
      <c r="A60" s="14" t="inlineStr">
        <is>
          <t>Solution Consulting &amp; Implementation</t>
        </is>
      </c>
      <c r="B60" s="9" t="inlineStr"/>
      <c r="C60" s="9" t="inlineStr"/>
      <c r="D60" s="9" t="inlineStr">
        <is>
          <t>Senior Functional Analyst</t>
        </is>
      </c>
      <c r="E60" s="9" t="inlineStr">
        <is>
          <t>Functional Specialist ×4; Functional Specialist – POD Lead</t>
        </is>
      </c>
      <c r="F60" s="9" t="inlineStr">
        <is>
          <t>Senior Functional Specialist</t>
        </is>
      </c>
      <c r="G60" s="9" t="inlineStr"/>
      <c r="H60" s="9" t="inlineStr"/>
      <c r="I60" s="9" t="inlineStr"/>
      <c r="J60" s="9" t="inlineStr"/>
      <c r="K60" s="9" t="inlineStr"/>
      <c r="L60" s="9" t="inlineStr"/>
      <c r="M60" s="9" t="inlineStr"/>
      <c r="N60" s="9" t="inlineStr"/>
      <c r="O60" s="9" t="inlineStr"/>
      <c r="P60" s="9" t="inlineStr"/>
      <c r="Q60" s="9" t="inlineStr"/>
    </row>
    <row r="61" ht="41" customHeight="1">
      <c r="A61" s="14" t="inlineStr">
        <is>
          <t>Design &amp; Creative</t>
        </is>
      </c>
      <c r="B61" s="9" t="inlineStr"/>
      <c r="C61" s="9" t="inlineStr">
        <is>
          <t>Designer</t>
        </is>
      </c>
      <c r="D61" s="9" t="inlineStr">
        <is>
          <t>Senior Designer ×2; Senior Product Designer ×2</t>
        </is>
      </c>
      <c r="E61" s="9" t="inlineStr">
        <is>
          <t>Design Specialist – POD Lead</t>
        </is>
      </c>
      <c r="F61" s="9" t="inlineStr"/>
      <c r="G61" s="9" t="inlineStr"/>
      <c r="H61" s="9" t="inlineStr"/>
      <c r="I61" s="9" t="inlineStr"/>
      <c r="J61" s="9" t="inlineStr"/>
      <c r="K61" s="9" t="inlineStr"/>
      <c r="L61" s="9" t="inlineStr"/>
      <c r="M61" s="9" t="inlineStr"/>
      <c r="N61" s="9" t="inlineStr"/>
      <c r="O61" s="9" t="inlineStr"/>
      <c r="P61" s="9" t="inlineStr"/>
      <c r="Q61" s="9" t="inlineStr"/>
    </row>
    <row r="62" ht="41" customHeight="1">
      <c r="A62" s="14" t="inlineStr">
        <is>
          <t>Unassigned</t>
        </is>
      </c>
      <c r="B62" s="9" t="inlineStr"/>
      <c r="C62" s="9" t="inlineStr"/>
      <c r="D62" s="9" t="inlineStr"/>
      <c r="E62" s="9" t="inlineStr"/>
      <c r="F62" s="9" t="inlineStr"/>
      <c r="G62" s="9" t="inlineStr"/>
      <c r="H62" s="9" t="inlineStr"/>
      <c r="I62" s="9" t="inlineStr"/>
      <c r="J62" s="9" t="inlineStr"/>
      <c r="K62" s="9" t="inlineStr"/>
      <c r="L62" s="9" t="inlineStr"/>
      <c r="M62" s="9" t="inlineStr"/>
      <c r="N62" s="9" t="inlineStr"/>
      <c r="O62" s="9" t="inlineStr">
        <is>
          <t>Associate Consultant – Software Development ×2</t>
        </is>
      </c>
      <c r="P62" s="9" t="inlineStr"/>
      <c r="Q62" s="9" t="inlineStr"/>
    </row>
  </sheetData>
  <mergeCells count="98">
    <mergeCell ref="A15:B15"/>
    <mergeCell ref="F36:H36"/>
    <mergeCell ref="C15:D15"/>
    <mergeCell ref="P20:Q20"/>
    <mergeCell ref="A34:Q34"/>
    <mergeCell ref="E23:F23"/>
    <mergeCell ref="G18:O18"/>
    <mergeCell ref="P22:Q22"/>
    <mergeCell ref="B27:O27"/>
    <mergeCell ref="P6:Q6"/>
    <mergeCell ref="B11:O11"/>
    <mergeCell ref="G20:O20"/>
    <mergeCell ref="A3:Q3"/>
    <mergeCell ref="P32:Q32"/>
    <mergeCell ref="B29:O29"/>
    <mergeCell ref="G22:O22"/>
    <mergeCell ref="A17:B17"/>
    <mergeCell ref="C17:D17"/>
    <mergeCell ref="A5:Q5"/>
    <mergeCell ref="A22:B22"/>
    <mergeCell ref="A14:Q14"/>
    <mergeCell ref="B6:O6"/>
    <mergeCell ref="P15:Q15"/>
    <mergeCell ref="A19:B19"/>
    <mergeCell ref="C19:D19"/>
    <mergeCell ref="P24:Q24"/>
    <mergeCell ref="E22:F22"/>
    <mergeCell ref="A40:Q40"/>
    <mergeCell ref="P10:Q10"/>
    <mergeCell ref="B7:O7"/>
    <mergeCell ref="P9:Q9"/>
    <mergeCell ref="G24:O24"/>
    <mergeCell ref="A37:B37"/>
    <mergeCell ref="P11:Q11"/>
    <mergeCell ref="C38:E38"/>
    <mergeCell ref="G16:O16"/>
    <mergeCell ref="B10:O10"/>
    <mergeCell ref="A2:Q2"/>
    <mergeCell ref="P28:Q28"/>
    <mergeCell ref="B28:O28"/>
    <mergeCell ref="B9:O9"/>
    <mergeCell ref="E16:F16"/>
    <mergeCell ref="P30:Q30"/>
    <mergeCell ref="B30:O30"/>
    <mergeCell ref="C18:D18"/>
    <mergeCell ref="E18:F18"/>
    <mergeCell ref="I37:Q37"/>
    <mergeCell ref="A36:B36"/>
    <mergeCell ref="B31:O31"/>
    <mergeCell ref="C20:D20"/>
    <mergeCell ref="F38:H38"/>
    <mergeCell ref="C36:E36"/>
    <mergeCell ref="E20:F20"/>
    <mergeCell ref="G15:O15"/>
    <mergeCell ref="C22:D22"/>
    <mergeCell ref="P27:Q27"/>
    <mergeCell ref="A41:Q41"/>
    <mergeCell ref="F37:H37"/>
    <mergeCell ref="B8:O8"/>
    <mergeCell ref="P17:Q17"/>
    <mergeCell ref="A21:B21"/>
    <mergeCell ref="C21:D21"/>
    <mergeCell ref="E15:F15"/>
    <mergeCell ref="C37:E37"/>
    <mergeCell ref="P19:Q19"/>
    <mergeCell ref="A23:B23"/>
    <mergeCell ref="C23:D23"/>
    <mergeCell ref="A38:B38"/>
    <mergeCell ref="P12:Q12"/>
    <mergeCell ref="A35:Q35"/>
    <mergeCell ref="I36:Q36"/>
    <mergeCell ref="G17:O17"/>
    <mergeCell ref="A24:B24"/>
    <mergeCell ref="C24:D24"/>
    <mergeCell ref="P29:Q29"/>
    <mergeCell ref="E24:F24"/>
    <mergeCell ref="G19:O19"/>
    <mergeCell ref="E17:F17"/>
    <mergeCell ref="P31:Q31"/>
    <mergeCell ref="A1:Q1"/>
    <mergeCell ref="A16:B16"/>
    <mergeCell ref="C16:D16"/>
    <mergeCell ref="B12:O12"/>
    <mergeCell ref="P21:Q21"/>
    <mergeCell ref="E19:F19"/>
    <mergeCell ref="P8:Q8"/>
    <mergeCell ref="A18:B18"/>
    <mergeCell ref="P23:Q23"/>
    <mergeCell ref="I38:Q38"/>
    <mergeCell ref="P7:Q7"/>
    <mergeCell ref="P16:Q16"/>
    <mergeCell ref="A26:Q26"/>
    <mergeCell ref="G21:O21"/>
    <mergeCell ref="P18:Q18"/>
    <mergeCell ref="A20:B20"/>
    <mergeCell ref="G23:O23"/>
    <mergeCell ref="B32:O32"/>
    <mergeCell ref="E21:F21"/>
  </mergeCells>
  <hyperlinks>
    <hyperlink xmlns:r="http://schemas.openxmlformats.org/officeDocument/2006/relationships" ref="R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worksheet>
</file>

<file path=xl/worksheets/sheet16.xml><?xml version="1.0" encoding="utf-8"?>
<worksheet xmlns="http://schemas.openxmlformats.org/spreadsheetml/2006/main">
  <sheetPr>
    <tabColor rgb="00806000"/>
    <outlinePr summaryBelow="1" summaryRight="1"/>
    <pageSetUpPr fitToPage="1"/>
  </sheetPr>
  <dimension ref="A1:G80"/>
  <sheetViews>
    <sheetView showGridLines="0" workbookViewId="0">
      <pane ySplit="4" topLeftCell="A5" activePane="bottomLeft" state="frozen"/>
      <selection pane="bottomLeft" activeCell="A1" sqref="A1"/>
    </sheetView>
  </sheetViews>
  <sheetFormatPr baseColWidth="8" defaultRowHeight="15"/>
  <cols>
    <col width="8" customWidth="1" min="1" max="1"/>
    <col width="26" customWidth="1" min="2" max="2"/>
    <col width="40" customWidth="1" min="3" max="3"/>
    <col width="40" customWidth="1" min="4" max="4"/>
    <col width="52" customWidth="1" min="5" max="5"/>
    <col width="13" customWidth="1" min="6" max="6"/>
    <col width="13" customWidth="1" min="7" max="7"/>
  </cols>
  <sheetData>
    <row r="1" ht="34" customHeight="1">
      <c r="A1" s="1" t="inlineStr">
        <is>
          <t>6 · Factors and ratings — what is rated, on what scale, from what evidence</t>
        </is>
      </c>
      <c r="F1" s="99" t="inlineStr">
        <is>
          <t>◂ Contents</t>
        </is>
      </c>
    </row>
    <row r="2" ht="30" customHeight="1">
      <c r="A2" s="3" t="inlineStr">
        <is>
          <t>Six factors describe the size of any role. Each is rated on the same scale as the ladder · A1 = 1 … E2 = 12, so a rating reads directly as a level.</t>
        </is>
      </c>
    </row>
    <row r="3">
      <c r="A3" s="4" t="inlineStr">
        <is>
          <t>IRIS · Job Architecture &amp; Job Design · Final v1.12 · October 2026 · Internal — Confidential</t>
        </is>
      </c>
    </row>
    <row r="4"/>
    <row r="5" ht="20" customHeight="1">
      <c r="A5" s="6" t="inlineStr">
        <is>
          <t>The six factors</t>
        </is>
      </c>
    </row>
    <row r="6" ht="15" customHeight="1">
      <c r="A6" s="7" t="inlineStr">
        <is>
          <t>ID</t>
        </is>
      </c>
      <c r="B6" s="7" t="inlineStr">
        <is>
          <t>Factor</t>
        </is>
      </c>
      <c r="C6" s="7" t="inlineStr">
        <is>
          <t>What it measures</t>
        </is>
      </c>
      <c r="D6" s="7" t="inlineStr">
        <is>
          <t>Evidence used</t>
        </is>
      </c>
      <c r="E6" s="7" t="inlineStr">
        <is>
          <t>Grounded in</t>
        </is>
      </c>
    </row>
    <row r="7" ht="41" customHeight="1">
      <c r="A7" s="17" t="inlineStr">
        <is>
          <t>F1</t>
        </is>
      </c>
      <c r="B7" s="9" t="inlineStr">
        <is>
          <t>Complexity &amp; Expertise</t>
        </is>
      </c>
      <c r="C7" s="9" t="inlineStr">
        <is>
          <t>How hard and how specialised the work is; the knowledge it needs</t>
        </is>
      </c>
      <c r="D7" s="9" t="inlineStr">
        <is>
          <t>Designation; survey: skills needed, typical judgement call; KRAs</t>
        </is>
      </c>
      <c r="E7" s="9" t="inlineStr">
        <is>
          <t>Hay Know-How · technical + Problem Solving · Mercer IPE Knowledge + Innovation · SFIA complexity · WTW GGS knowledge / problem solving</t>
        </is>
      </c>
    </row>
    <row r="8" ht="28" customHeight="1">
      <c r="A8" s="17" t="inlineStr">
        <is>
          <t>F2</t>
        </is>
      </c>
      <c r="B8" s="9" t="inlineStr">
        <is>
          <t>Autonomy &amp; Decision</t>
        </is>
      </c>
      <c r="C8" s="9" t="inlineStr">
        <is>
          <t>What the person can decide and act on without asking</t>
        </is>
      </c>
      <c r="D8" s="9" t="inlineStr">
        <is>
          <r>
            <rPr>
              <rFont val="Calibri"/>
              <b val="1"/>
              <sz val="10"/>
            </rPr>
            <t>Survey:</t>
          </r>
          <r>
            <rPr>
              <rFont val="Calibri"/>
              <sz val="10"/>
            </rPr>
            <t xml:space="preserve"> what can you decide on your own; reporting line</t>
          </r>
        </is>
      </c>
      <c r="E8" s="9" t="inlineStr">
        <is>
          <t>Hay Accountability — freedom to act · SFIA autonomy · Mercer IPE Impact</t>
        </is>
      </c>
    </row>
    <row r="9" ht="28" customHeight="1">
      <c r="A9" s="17" t="inlineStr">
        <is>
          <t>F3</t>
        </is>
      </c>
      <c r="B9" s="9" t="inlineStr">
        <is>
          <t>Accountability &amp; Impact</t>
        </is>
      </c>
      <c r="C9" s="9" t="inlineStr">
        <is>
          <t>What the role answers for, and the cost of getting it wrong</t>
        </is>
      </c>
      <c r="D9" s="9" t="inlineStr">
        <is>
          <r>
            <rPr>
              <rFont val="Calibri"/>
              <b val="1"/>
              <sz val="10"/>
            </rPr>
            <t>Survey:</t>
          </r>
          <r>
            <rPr>
              <rFont val="Calibri"/>
              <sz val="10"/>
            </rPr>
            <t xml:space="preserve"> accountable for, what happens when missed; KRAs</t>
          </r>
        </is>
      </c>
      <c r="E9" s="9" t="inlineStr">
        <is>
          <t>Hay Accountability — magnitude and impact · Mercer IPE Impact</t>
        </is>
      </c>
    </row>
    <row r="10" ht="28" customHeight="1">
      <c r="A10" s="17" t="inlineStr">
        <is>
          <t>F4</t>
        </is>
      </c>
      <c r="B10" s="9" t="inlineStr">
        <is>
          <t>Leadership &amp; Strategy</t>
        </is>
      </c>
      <c r="C10" s="9" t="inlineStr">
        <is>
          <t>Leading people and shaping direction</t>
        </is>
      </c>
      <c r="D10" s="9" t="inlineStr">
        <is>
          <t>Direct reports, span; survey on guiding others</t>
        </is>
      </c>
      <c r="E10" s="9" t="inlineStr">
        <is>
          <t>Hay Know-How · managerial, human relations · Mercer IPE Communication · SFIA influence</t>
        </is>
      </c>
    </row>
    <row r="11" ht="54" customHeight="1">
      <c r="A11" s="17" t="inlineStr">
        <is>
          <t>F5</t>
        </is>
      </c>
      <c r="B11" s="9" t="inlineStr">
        <is>
          <t>Experience &amp; Qualification</t>
        </is>
      </c>
      <c r="C11" s="9" t="inlineStr">
        <is>
          <t>Total experience on the same ladder scale, adjusted for qualification — weighted low by design: 10% in Bands A–B, 5% in Bands C–E</t>
        </is>
      </c>
      <c r="D11" s="9" t="inlineStr">
        <is>
          <t>HRIS experience and qualification</t>
        </is>
      </c>
      <c r="E11" s="9" t="inlineStr">
        <is>
          <t>Hay Know-How · depth / breadth · Radford / Infosys / Accenture experience norms</t>
        </is>
      </c>
    </row>
    <row r="12" ht="54" customHeight="1">
      <c r="A12" s="17" t="inlineStr">
        <is>
          <t>F6</t>
        </is>
      </c>
      <c r="B12" s="9" t="inlineStr">
        <is>
          <t>Business Impact</t>
        </is>
      </c>
      <c r="C12" s="9" t="inlineStr">
        <is>
          <t>The difference the role makes to revenue, clients, compliance or cost</t>
        </is>
      </c>
      <c r="D12" s="9" t="inlineStr">
        <is>
          <t>Starts from the role's accountability scope; survey and manager mapping on business-critical or unique work; managers and heads confirm or change it</t>
        </is>
      </c>
      <c r="E12" s="9" t="inlineStr">
        <is>
          <t>Mercer IPE Impact · Hay Accountability — nature of impact · WTW GGS business impact</t>
        </is>
      </c>
    </row>
    <row r="13" ht="15" customHeight="1"/>
    <row r="14" ht="20" customHeight="1">
      <c r="A14" s="6" t="inlineStr">
        <is>
          <t>The rating scale — a rating is a level</t>
        </is>
      </c>
    </row>
    <row r="15" ht="15" customHeight="1">
      <c r="A15" s="7" t="inlineStr">
        <is>
          <t>Rating</t>
        </is>
      </c>
      <c r="B15" s="7" t="inlineStr">
        <is>
          <t>Level</t>
        </is>
      </c>
      <c r="C15" s="7" t="inlineStr">
        <is>
          <t>Band</t>
        </is>
      </c>
      <c r="D15" s="7" t="inlineStr">
        <is>
          <t>Read it as</t>
        </is>
      </c>
      <c r="E15" s="63" t="n"/>
    </row>
    <row r="16" ht="15" customHeight="1">
      <c r="A16" s="18" t="n">
        <v>1</v>
      </c>
      <c r="B16" s="42" t="inlineStr">
        <is>
          <t>A1</t>
        </is>
      </c>
      <c r="C16" s="42" t="inlineStr">
        <is>
          <t>A</t>
        </is>
      </c>
      <c r="D16" s="19" t="inlineStr">
        <is>
          <t>Work typical of this level</t>
        </is>
      </c>
      <c r="E16" s="63" t="n"/>
    </row>
    <row r="17" ht="15" customHeight="1">
      <c r="A17" s="18" t="n">
        <v>2</v>
      </c>
      <c r="B17" s="42" t="inlineStr">
        <is>
          <t>A2</t>
        </is>
      </c>
      <c r="C17" s="42" t="inlineStr">
        <is>
          <t>A</t>
        </is>
      </c>
      <c r="D17" s="19" t="inlineStr">
        <is>
          <t>Work typical of this level</t>
        </is>
      </c>
      <c r="E17" s="63" t="n"/>
    </row>
    <row r="18" ht="15" customHeight="1">
      <c r="A18" s="18" t="n">
        <v>3</v>
      </c>
      <c r="B18" s="42" t="inlineStr">
        <is>
          <t>A3</t>
        </is>
      </c>
      <c r="C18" s="42" t="inlineStr">
        <is>
          <t>A</t>
        </is>
      </c>
      <c r="D18" s="19" t="inlineStr">
        <is>
          <t>Work typical of this level</t>
        </is>
      </c>
      <c r="E18" s="63" t="n"/>
    </row>
    <row r="19" ht="15" customHeight="1">
      <c r="A19" s="21" t="n">
        <v>4</v>
      </c>
      <c r="B19" s="43" t="inlineStr">
        <is>
          <t>B1</t>
        </is>
      </c>
      <c r="C19" s="43" t="inlineStr">
        <is>
          <t>B</t>
        </is>
      </c>
      <c r="D19" s="22" t="inlineStr">
        <is>
          <t>Work typical of this level</t>
        </is>
      </c>
      <c r="E19" s="63" t="n"/>
    </row>
    <row r="20" ht="15" customHeight="1">
      <c r="A20" s="21" t="n">
        <v>5</v>
      </c>
      <c r="B20" s="43" t="inlineStr">
        <is>
          <t>B2</t>
        </is>
      </c>
      <c r="C20" s="43" t="inlineStr">
        <is>
          <t>B</t>
        </is>
      </c>
      <c r="D20" s="22" t="inlineStr">
        <is>
          <t>Work typical of this level</t>
        </is>
      </c>
      <c r="E20" s="63" t="n"/>
    </row>
    <row r="21" ht="15" customHeight="1">
      <c r="A21" s="21" t="n">
        <v>6</v>
      </c>
      <c r="B21" s="43" t="inlineStr">
        <is>
          <t>B3</t>
        </is>
      </c>
      <c r="C21" s="43" t="inlineStr">
        <is>
          <t>B</t>
        </is>
      </c>
      <c r="D21" s="22" t="inlineStr">
        <is>
          <t>Work typical of this level</t>
        </is>
      </c>
      <c r="E21" s="63" t="n"/>
    </row>
    <row r="22" ht="15" customHeight="1">
      <c r="A22" s="24" t="n">
        <v>6.5</v>
      </c>
      <c r="B22" s="44" t="inlineStr">
        <is>
          <t>B+</t>
        </is>
      </c>
      <c r="C22" s="44" t="inlineStr">
        <is>
          <t>B+</t>
        </is>
      </c>
      <c r="D22" s="25" t="inlineStr">
        <is>
          <r>
            <rPr>
              <rFont val="Calibri"/>
              <b val="1"/>
              <sz val="10"/>
            </rPr>
            <t>Player-Coach transition step:</t>
          </r>
          <r>
            <rPr>
              <rFont val="Calibri"/>
              <sz val="10"/>
            </rPr>
            <t xml:space="preserve"> placed by rule R10, never rated directly</t>
          </r>
        </is>
      </c>
      <c r="E22" s="63" t="n"/>
    </row>
    <row r="23" ht="15" customHeight="1">
      <c r="A23" s="27" t="n">
        <v>7</v>
      </c>
      <c r="B23" s="45" t="inlineStr">
        <is>
          <t>C1</t>
        </is>
      </c>
      <c r="C23" s="45" t="inlineStr">
        <is>
          <t>C</t>
        </is>
      </c>
      <c r="D23" s="28" t="inlineStr">
        <is>
          <t>Work typical of this level</t>
        </is>
      </c>
      <c r="E23" s="63" t="n"/>
    </row>
    <row r="24" ht="15" customHeight="1">
      <c r="A24" s="27" t="n">
        <v>8</v>
      </c>
      <c r="B24" s="45" t="inlineStr">
        <is>
          <t>C2</t>
        </is>
      </c>
      <c r="C24" s="45" t="inlineStr">
        <is>
          <t>C</t>
        </is>
      </c>
      <c r="D24" s="28" t="inlineStr">
        <is>
          <t>Work typical of this level</t>
        </is>
      </c>
      <c r="E24" s="63" t="n"/>
    </row>
    <row r="25" ht="15" customHeight="1">
      <c r="A25" s="30" t="n">
        <v>8.5</v>
      </c>
      <c r="B25" s="46" t="inlineStr">
        <is>
          <t>C+</t>
        </is>
      </c>
      <c r="C25" s="46" t="inlineStr">
        <is>
          <t>C+</t>
        </is>
      </c>
      <c r="D25" s="31" t="inlineStr">
        <is>
          <r>
            <rPr>
              <rFont val="Calibri"/>
              <b val="1"/>
              <sz val="10"/>
            </rPr>
            <t>Player-Coach transition step:</t>
          </r>
          <r>
            <rPr>
              <rFont val="Calibri"/>
              <sz val="10"/>
            </rPr>
            <t xml:space="preserve"> placed by rule R10, never rated directly</t>
          </r>
        </is>
      </c>
      <c r="E25" s="63" t="n"/>
    </row>
    <row r="26" ht="15" customHeight="1">
      <c r="A26" s="33" t="n">
        <v>9</v>
      </c>
      <c r="B26" s="47" t="inlineStr">
        <is>
          <t>D1</t>
        </is>
      </c>
      <c r="C26" s="47" t="inlineStr">
        <is>
          <t>D</t>
        </is>
      </c>
      <c r="D26" s="34" t="inlineStr">
        <is>
          <t>Work typical of this level</t>
        </is>
      </c>
      <c r="E26" s="63" t="n"/>
    </row>
    <row r="27" ht="15" customHeight="1">
      <c r="A27" s="33" t="n">
        <v>10</v>
      </c>
      <c r="B27" s="47" t="inlineStr">
        <is>
          <t>D2</t>
        </is>
      </c>
      <c r="C27" s="47" t="inlineStr">
        <is>
          <t>D</t>
        </is>
      </c>
      <c r="D27" s="34" t="inlineStr">
        <is>
          <t>Work typical of this level</t>
        </is>
      </c>
      <c r="E27" s="63" t="n"/>
    </row>
    <row r="28" ht="15" customHeight="1">
      <c r="A28" s="36" t="n">
        <v>11</v>
      </c>
      <c r="B28" s="48" t="inlineStr">
        <is>
          <t>E1</t>
        </is>
      </c>
      <c r="C28" s="48" t="inlineStr">
        <is>
          <t>E</t>
        </is>
      </c>
      <c r="D28" s="37" t="inlineStr">
        <is>
          <t>Work typical of this level</t>
        </is>
      </c>
      <c r="E28" s="63" t="n"/>
    </row>
    <row r="29" ht="15" customHeight="1">
      <c r="A29" s="36" t="n">
        <v>12</v>
      </c>
      <c r="B29" s="48" t="inlineStr">
        <is>
          <t>E2</t>
        </is>
      </c>
      <c r="C29" s="48" t="inlineStr">
        <is>
          <t>E</t>
        </is>
      </c>
      <c r="D29" s="37" t="inlineStr">
        <is>
          <t>Work typical of this level</t>
        </is>
      </c>
      <c r="E29" s="63" t="n"/>
    </row>
    <row r="30" ht="15" customHeight="1"/>
    <row r="31" ht="15" customHeight="1">
      <c r="A31" s="12" t="inlineStr">
        <is>
          <r>
            <rPr>
              <rFont val="Calibri"/>
              <b val="1"/>
              <i val="1"/>
              <color rgb="00595959"/>
              <sz val="10"/>
            </rPr>
            <t>Half points sit between two levels:</t>
          </r>
          <r>
            <rPr>
              <rFont val="Calibri"/>
              <i val="1"/>
              <color rgb="00595959"/>
              <sz val="10"/>
            </rPr>
            <t xml:space="preserve"> 3.5 reads as 'between A3 and B1'.</t>
          </r>
        </is>
      </c>
    </row>
    <row r="32" ht="20" customHeight="1">
      <c r="A32" s="6" t="inlineStr">
        <is>
          <t>How a rating is set · evidence rules</t>
        </is>
      </c>
    </row>
    <row r="33" ht="15" customHeight="1">
      <c r="A33" s="7" t="inlineStr">
        <is>
          <t>ID</t>
        </is>
      </c>
      <c r="B33" s="7" t="inlineStr">
        <is>
          <t>Rule</t>
        </is>
      </c>
      <c r="C33" s="64" t="n"/>
      <c r="D33" s="63" t="n"/>
      <c r="E33" s="7" t="inlineStr">
        <is>
          <t>Sources</t>
        </is>
      </c>
    </row>
    <row r="34" ht="15" customHeight="1">
      <c r="A34" s="17" t="inlineStr">
        <is>
          <t>E1</t>
        </is>
      </c>
      <c r="B34" s="9" t="inlineStr">
        <is>
          <r>
            <rPr>
              <rFont val="Calibri"/>
              <b val="1"/>
              <sz val="10"/>
            </rPr>
            <t>Starting point:</t>
          </r>
          <r>
            <rPr>
              <rFont val="Calibri"/>
              <sz val="10"/>
            </rPr>
            <t xml:space="preserve"> what the designation and reporting line show.</t>
          </r>
        </is>
      </c>
      <c r="C34" s="64" t="n"/>
      <c r="D34" s="63" t="n"/>
      <c r="E34" s="9" t="inlineStr">
        <is>
          <t>S05, S07</t>
        </is>
      </c>
    </row>
    <row r="35" ht="28" customHeight="1">
      <c r="A35" s="17" t="inlineStr">
        <is>
          <t>E2</t>
        </is>
      </c>
      <c r="B35" s="9" t="inlineStr">
        <is>
          <r>
            <rPr>
              <rFont val="Calibri"/>
              <b val="1"/>
              <sz val="10"/>
            </rPr>
            <t>Move toward the survey / KRA evidence:</t>
          </r>
          <r>
            <rPr>
              <rFont val="Calibri"/>
              <sz val="10"/>
            </rPr>
            <t xml:space="preserve"> up to 1 level if the answers are specific, ½ level if brief, none if generic or missing.</t>
          </r>
        </is>
      </c>
      <c r="C35" s="64" t="n"/>
      <c r="D35" s="63" t="n"/>
      <c r="E35" s="9" t="inlineStr">
        <is>
          <t>S08, S41</t>
        </is>
      </c>
    </row>
    <row r="36" ht="41" customHeight="1">
      <c r="A36" s="17" t="inlineStr">
        <is>
          <t>E3</t>
        </is>
      </c>
      <c r="B36" s="9" t="inlineStr">
        <is>
          <r>
            <rPr>
              <rFont val="Calibri"/>
              <b val="1"/>
              <sz val="10"/>
            </rPr>
            <t>Experience &amp; Qualification:</t>
          </r>
          <r>
            <rPr>
              <rFont val="Calibri"/>
              <sz val="10"/>
            </rPr>
            <t xml:space="preserve"> total experience placed on the experience scale, then adjusted for qualification · +1.0 relevant professional; +0.5 relevant postgraduate or professional outside the field; −0.5 below graduate.</t>
          </r>
        </is>
      </c>
      <c r="C36" s="64" t="n"/>
      <c r="D36" s="63" t="n"/>
      <c r="E36" s="9" t="inlineStr">
        <is>
          <t>S05 · know-how depth, S01</t>
        </is>
      </c>
    </row>
    <row r="37" ht="15" customHeight="1"/>
    <row r="38" ht="20" customHeight="1">
      <c r="A38" s="6" t="inlineStr">
        <is>
          <t>Experience &amp; Qualification — the experience scale</t>
        </is>
      </c>
    </row>
    <row r="39" ht="15" customHeight="1">
      <c r="A39" s="7" t="inlineStr">
        <is>
          <t>Total experience · years</t>
        </is>
      </c>
      <c r="B39" s="63" t="n"/>
      <c r="C39" s="7" t="inlineStr">
        <is>
          <t>Rating</t>
        </is>
      </c>
      <c r="D39" s="7" t="inlineStr">
        <is>
          <t>Level</t>
        </is>
      </c>
      <c r="E39" s="63" t="n"/>
    </row>
    <row r="40" ht="15" customHeight="1">
      <c r="A40" s="17" t="inlineStr">
        <is>
          <t>0</t>
        </is>
      </c>
      <c r="B40" s="63" t="n"/>
      <c r="C40" s="8" t="n">
        <v>1</v>
      </c>
      <c r="D40" s="8" t="inlineStr">
        <is>
          <t>A1</t>
        </is>
      </c>
      <c r="E40" s="63" t="n"/>
    </row>
    <row r="41" ht="15" customHeight="1">
      <c r="A41" s="17" t="inlineStr">
        <is>
          <t>1</t>
        </is>
      </c>
      <c r="B41" s="63" t="n"/>
      <c r="C41" s="8" t="n">
        <v>2</v>
      </c>
      <c r="D41" s="8" t="inlineStr">
        <is>
          <t>A2</t>
        </is>
      </c>
      <c r="E41" s="63" t="n"/>
    </row>
    <row r="42" ht="15" customHeight="1">
      <c r="A42" s="17" t="inlineStr">
        <is>
          <t>3</t>
        </is>
      </c>
      <c r="B42" s="63" t="n"/>
      <c r="C42" s="8" t="n">
        <v>3</v>
      </c>
      <c r="D42" s="8" t="inlineStr">
        <is>
          <t>A3</t>
        </is>
      </c>
      <c r="E42" s="63" t="n"/>
    </row>
    <row r="43" ht="15" customHeight="1">
      <c r="A43" s="17" t="inlineStr">
        <is>
          <t>5.5</t>
        </is>
      </c>
      <c r="B43" s="63" t="n"/>
      <c r="C43" s="8" t="n">
        <v>4</v>
      </c>
      <c r="D43" s="8" t="inlineStr">
        <is>
          <t>B1</t>
        </is>
      </c>
      <c r="E43" s="63" t="n"/>
    </row>
    <row r="44" ht="15" customHeight="1">
      <c r="A44" s="17" t="inlineStr">
        <is>
          <t>7.5</t>
        </is>
      </c>
      <c r="B44" s="63" t="n"/>
      <c r="C44" s="8" t="n">
        <v>5</v>
      </c>
      <c r="D44" s="8" t="inlineStr">
        <is>
          <t>B2</t>
        </is>
      </c>
      <c r="E44" s="63" t="n"/>
    </row>
    <row r="45" ht="15" customHeight="1">
      <c r="A45" s="17" t="inlineStr">
        <is>
          <t>10</t>
        </is>
      </c>
      <c r="B45" s="63" t="n"/>
      <c r="C45" s="8" t="n">
        <v>6</v>
      </c>
      <c r="D45" s="8" t="inlineStr">
        <is>
          <t>B3</t>
        </is>
      </c>
      <c r="E45" s="63" t="n"/>
    </row>
    <row r="46" ht="15" customHeight="1">
      <c r="A46" s="17" t="inlineStr">
        <is>
          <t>12</t>
        </is>
      </c>
      <c r="B46" s="63" t="n"/>
      <c r="C46" s="8" t="n">
        <v>7</v>
      </c>
      <c r="D46" s="8" t="inlineStr">
        <is>
          <t>C1</t>
        </is>
      </c>
      <c r="E46" s="63" t="n"/>
    </row>
    <row r="47" ht="15" customHeight="1">
      <c r="A47" s="17" t="inlineStr">
        <is>
          <t>14.5</t>
        </is>
      </c>
      <c r="B47" s="63" t="n"/>
      <c r="C47" s="8" t="n">
        <v>8</v>
      </c>
      <c r="D47" s="8" t="inlineStr">
        <is>
          <t>C2</t>
        </is>
      </c>
      <c r="E47" s="63" t="n"/>
    </row>
    <row r="48" ht="15" customHeight="1">
      <c r="A48" s="17" t="inlineStr">
        <is>
          <t>17.5</t>
        </is>
      </c>
      <c r="B48" s="63" t="n"/>
      <c r="C48" s="8" t="n">
        <v>9</v>
      </c>
      <c r="D48" s="8" t="inlineStr">
        <is>
          <t>D1</t>
        </is>
      </c>
      <c r="E48" s="63" t="n"/>
    </row>
    <row r="49" ht="15" customHeight="1">
      <c r="A49" s="17" t="inlineStr">
        <is>
          <t>21</t>
        </is>
      </c>
      <c r="B49" s="63" t="n"/>
      <c r="C49" s="8" t="n">
        <v>10</v>
      </c>
      <c r="D49" s="8" t="inlineStr">
        <is>
          <t>D2</t>
        </is>
      </c>
      <c r="E49" s="63" t="n"/>
    </row>
    <row r="50" ht="15" customHeight="1">
      <c r="A50" s="17" t="inlineStr">
        <is>
          <t>24</t>
        </is>
      </c>
      <c r="B50" s="63" t="n"/>
      <c r="C50" s="8" t="n">
        <v>11</v>
      </c>
      <c r="D50" s="8" t="inlineStr">
        <is>
          <t>E1</t>
        </is>
      </c>
      <c r="E50" s="63" t="n"/>
    </row>
    <row r="51" ht="15" customHeight="1">
      <c r="A51" s="17" t="inlineStr">
        <is>
          <t>28</t>
        </is>
      </c>
      <c r="B51" s="63" t="n"/>
      <c r="C51" s="8" t="n">
        <v>12</v>
      </c>
      <c r="D51" s="8" t="inlineStr">
        <is>
          <t>E2</t>
        </is>
      </c>
      <c r="E51" s="63" t="n"/>
    </row>
    <row r="52" ht="15" customHeight="1"/>
    <row r="53" ht="20" customHeight="1">
      <c r="A53" s="6" t="inlineStr">
        <is>
          <t>Experience &amp; Qualification — the qualification adjustment</t>
        </is>
      </c>
    </row>
    <row r="54" ht="15" customHeight="1">
      <c r="A54" s="7" t="inlineStr">
        <is>
          <t>Qualification</t>
        </is>
      </c>
      <c r="B54" s="64" t="n"/>
      <c r="C54" s="63" t="n"/>
      <c r="D54" s="7" t="inlineStr">
        <is>
          <t>Adjustment</t>
        </is>
      </c>
      <c r="E54" s="63" t="n"/>
    </row>
    <row r="55" ht="15" customHeight="1">
      <c r="A55" s="14" t="inlineStr">
        <is>
          <t>Professional · CA, CMA / CWA, CS, LLB, relevant to the work</t>
        </is>
      </c>
      <c r="B55" s="64" t="n"/>
      <c r="C55" s="63" t="n"/>
      <c r="D55" s="9" t="inlineStr">
        <is>
          <t>+1.0</t>
        </is>
      </c>
      <c r="E55" s="63" t="n"/>
    </row>
    <row r="56" ht="15" customHeight="1">
      <c r="A56" s="14" t="inlineStr">
        <is>
          <t>Professional, outside the field</t>
        </is>
      </c>
      <c r="B56" s="64" t="n"/>
      <c r="C56" s="63" t="n"/>
      <c r="D56" s="9" t="inlineStr">
        <is>
          <t>+0.5</t>
        </is>
      </c>
      <c r="E56" s="63" t="n"/>
    </row>
    <row r="57" ht="28" customHeight="1">
      <c r="A57" s="14" t="inlineStr">
        <is>
          <t>Postgraduate · MBA, PGDM, MCA, M.Tech, M.Com, M.Sc …, relevant to the work</t>
        </is>
      </c>
      <c r="B57" s="64" t="n"/>
      <c r="C57" s="63" t="n"/>
      <c r="D57" s="9" t="inlineStr">
        <is>
          <t>+0.5</t>
        </is>
      </c>
      <c r="E57" s="63" t="n"/>
    </row>
    <row r="58" ht="15" customHeight="1">
      <c r="A58" s="14" t="inlineStr">
        <is>
          <t>Postgraduate, outside the field</t>
        </is>
      </c>
      <c r="B58" s="64" t="n"/>
      <c r="C58" s="63" t="n"/>
      <c r="D58" s="9" t="inlineStr">
        <is>
          <t>none</t>
        </is>
      </c>
      <c r="E58" s="63" t="n"/>
    </row>
    <row r="59" ht="15" customHeight="1">
      <c r="A59" s="14" t="inlineStr">
        <is>
          <t>Graduate</t>
        </is>
      </c>
      <c r="B59" s="64" t="n"/>
      <c r="C59" s="63" t="n"/>
      <c r="D59" s="9" t="inlineStr">
        <is>
          <t>none</t>
        </is>
      </c>
      <c r="E59" s="63" t="n"/>
    </row>
    <row r="60" ht="15" customHeight="1">
      <c r="A60" s="14" t="inlineStr">
        <is>
          <t>Below graduate · HSC, diploma, degree not completed</t>
        </is>
      </c>
      <c r="B60" s="64" t="n"/>
      <c r="C60" s="63" t="n"/>
      <c r="D60" s="9" t="inlineStr">
        <is>
          <t>−0.5</t>
        </is>
      </c>
      <c r="E60" s="63" t="n"/>
    </row>
    <row r="61" ht="15" customHeight="1">
      <c r="A61" s="14" t="inlineStr">
        <is>
          <t>Experience not on record or clearly incomplete</t>
        </is>
      </c>
      <c r="B61" s="64" t="n"/>
      <c r="C61" s="63" t="n"/>
      <c r="D61" s="9" t="inlineStr">
        <is>
          <t>Factor set at the role's own level until HR confirms</t>
        </is>
      </c>
      <c r="E61" s="63" t="n"/>
    </row>
    <row r="62" ht="15" customHeight="1">
      <c r="A62" s="14" t="inlineStr">
        <is>
          <t>Between two points</t>
        </is>
      </c>
      <c r="B62" s="64" t="n"/>
      <c r="C62" s="63" t="n"/>
      <c r="D62" s="9" t="inlineStr">
        <is>
          <t>Read off in proportion, to the nearest half point</t>
        </is>
      </c>
      <c r="E62" s="63" t="n"/>
    </row>
    <row r="63" ht="15" customHeight="1"/>
    <row r="64" ht="20" customHeight="1">
      <c r="A64" s="6" t="inlineStr">
        <is>
          <t>Panel factor anchors · calibration</t>
        </is>
      </c>
    </row>
    <row r="65" ht="41" customHeight="1">
      <c r="A65" s="12" t="inlineStr">
        <is>
          <r>
            <rPr>
              <rFont val="Calibri"/>
              <b val="1"/>
              <i val="1"/>
              <color rgb="00595959"/>
              <sz val="10"/>
            </rPr>
            <t>For the calibration panel:</t>
          </r>
          <r>
            <rPr>
              <rFont val="Calibri"/>
              <i val="1"/>
              <color rgb="00595959"/>
              <sz val="10"/>
            </rPr>
            <t xml:space="preserve"> each job-demand factor has its own 1–5 scale, so two raters can compare like with like and resolve differences on evidence. The first five inform the IRIS factors; Business Impact is rated on the ladder scale by managers; effort and working conditions are rated by the panel on anchor roles and are not part of the placement score until validated. Source: IRIS Career Architecture V2 · HR research, 7 Oct 2026.</t>
          </r>
        </is>
      </c>
    </row>
    <row r="66" ht="15" customHeight="1">
      <c r="A66" s="7" t="inlineStr">
        <is>
          <t>Factor</t>
        </is>
      </c>
      <c r="B66" s="7" t="inlineStr">
        <is>
          <t>IRIS factor it informs</t>
        </is>
      </c>
      <c r="C66" s="7" t="inlineStr">
        <is>
          <t>1</t>
        </is>
      </c>
      <c r="D66" s="7" t="inlineStr">
        <is>
          <t>2</t>
        </is>
      </c>
      <c r="E66" s="7" t="inlineStr">
        <is>
          <t>3</t>
        </is>
      </c>
      <c r="F66" s="7" t="inlineStr">
        <is>
          <t>4</t>
        </is>
      </c>
      <c r="G66" s="7" t="inlineStr">
        <is>
          <t>5</t>
        </is>
      </c>
    </row>
    <row r="67" ht="80" customHeight="1">
      <c r="A67" s="14" t="inlineStr">
        <is>
          <t>K · Required knowledge</t>
        </is>
      </c>
      <c r="B67" s="9" t="inlineStr">
        <is>
          <t>Complexity &amp; Expertise · knowledge</t>
        </is>
      </c>
      <c r="C67" s="9" t="inlineStr">
        <is>
          <t>Basic procedures learned with guidance</t>
        </is>
      </c>
      <c r="D67" s="9" t="inlineStr">
        <is>
          <t>Working knowledge of one discipline</t>
        </is>
      </c>
      <c r="E67" s="9" t="inlineStr">
        <is>
          <t>Deep specialist knowledge or integration of related disciplines</t>
        </is>
      </c>
      <c r="F67" s="9" t="inlineStr">
        <is>
          <t>Authoritative domain knowledge or broad functional integration</t>
        </is>
      </c>
      <c r="G67" s="9" t="inlineStr">
        <is>
          <t>Enterprise breadth or exceptional expertise critical to enterprise direction</t>
        </is>
      </c>
    </row>
    <row r="68" ht="67" customHeight="1">
      <c r="A68" s="14" t="inlineStr">
        <is>
          <t>P · Problem solving</t>
        </is>
      </c>
      <c r="B68" s="9" t="inlineStr">
        <is>
          <t>Complexity &amp; Expertise · problem solving</t>
        </is>
      </c>
      <c r="C68" s="9" t="inlineStr">
        <is>
          <t>Clear problems with a taught answer</t>
        </is>
      </c>
      <c r="D68" s="9" t="inlineStr">
        <is>
          <t>Varied cases using established alternatives</t>
        </is>
      </c>
      <c r="E68" s="9" t="inlineStr">
        <is>
          <t>Ambiguous problems requiring analysis and adaptation</t>
        </is>
      </c>
      <c r="F68" s="9" t="inlineStr">
        <is>
          <t>Novel cross-domain problems requiring new methods</t>
        </is>
      </c>
      <c r="G68" s="9" t="inlineStr">
        <is>
          <t>Unprecedented enterprise trade-offs with long-term uncertainty</t>
        </is>
      </c>
    </row>
    <row r="69" ht="93" customHeight="1">
      <c r="A69" s="14" t="inlineStr">
        <is>
          <t>A · Decision autonomy</t>
        </is>
      </c>
      <c r="B69" s="9" t="inlineStr">
        <is>
          <t>Autonomy &amp; Decision</t>
        </is>
      </c>
      <c r="C69" s="9" t="inlineStr">
        <is>
          <t>Detailed instructions and close checking</t>
        </is>
      </c>
      <c r="D69" s="9" t="inlineStr">
        <is>
          <t>Independent choices within procedures</t>
        </is>
      </c>
      <c r="E69" s="9" t="inlineStr">
        <is>
          <t>Own approaches and priorities within delegated objectives</t>
        </is>
      </c>
      <c r="F69" s="9" t="inlineStr">
        <is>
          <t>Set domain/function policy and major priorities within charter</t>
        </is>
      </c>
      <c r="G69" s="9" t="inlineStr">
        <is>
          <t>Set enterprise direction or enterprise-critical policy under governance oversight</t>
        </is>
      </c>
    </row>
    <row r="70" ht="80" customHeight="1">
      <c r="A70" s="14" t="inlineStr">
        <is>
          <t>R · Outcome accountability</t>
        </is>
      </c>
      <c r="B70" s="9" t="inlineStr">
        <is>
          <t>Accountability &amp; Impact</t>
        </is>
      </c>
      <c r="C70" s="9" t="inlineStr">
        <is>
          <t>Accuracy of assigned tasks</t>
        </is>
      </c>
      <c r="D70" s="9" t="inlineStr">
        <is>
          <t>Reliable process, service or individual outputs</t>
        </is>
      </c>
      <c r="E70" s="9" t="inlineStr">
        <is>
          <t>Domain/team/project outcomes with material downstream effects</t>
        </is>
      </c>
      <c r="F70" s="9" t="inlineStr">
        <is>
          <t>Function, major portfolio or enterprise-domain outcomes</t>
        </is>
      </c>
      <c r="G70" s="9" t="inlineStr">
        <is>
          <t>Whole-enterprise or equivalent systemic outcomes with clear accountability</t>
        </is>
      </c>
    </row>
    <row r="71" ht="93" customHeight="1">
      <c r="A71" s="14" t="inlineStr">
        <is>
          <t>I · Influence and relationships</t>
        </is>
      </c>
      <c r="B71" s="9" t="inlineStr">
        <is>
          <t>Leadership &amp; Strategy · influence</t>
        </is>
      </c>
      <c r="C71" s="9" t="inlineStr">
        <is>
          <t>Exchange information clearly</t>
        </is>
      </c>
      <c r="D71" s="9" t="inlineStr">
        <is>
          <t>Explain and coordinate routine relationships</t>
        </is>
      </c>
      <c r="E71" s="9" t="inlineStr">
        <is>
          <t>Persuade, coach or resolve conflicting stakeholder needs</t>
        </is>
      </c>
      <c r="F71" s="9" t="inlineStr">
        <is>
          <t>Align senior/cross-functional parties on material trade-offs</t>
        </is>
      </c>
      <c r="G71" s="9" t="inlineStr">
        <is>
          <t>Shape enterprise or major external stakeholder decisions amid conflicting interests</t>
        </is>
      </c>
    </row>
    <row r="72" ht="93" customHeight="1">
      <c r="A72" s="14" t="inlineStr">
        <is>
          <t>E · Sustained effort</t>
        </is>
      </c>
      <c r="B72" s="9" t="inlineStr">
        <is>
          <t>— · panel only</t>
        </is>
      </c>
      <c r="C72" s="9" t="inlineStr">
        <is>
          <t>Ordinary intermittent concentration/emotional/physical demands</t>
        </is>
      </c>
      <c r="D72" s="9" t="inlineStr">
        <is>
          <t>Recurring moderate sustained demands with recovery opportunities</t>
        </is>
      </c>
      <c r="E72" s="9" t="inlineStr">
        <is>
          <t>Frequent prolonged concentration, emotional labour or exertion</t>
        </is>
      </c>
      <c r="F72" s="9" t="inlineStr">
        <is>
          <t>Very frequent intense sustained demands integral to the normal job</t>
        </is>
      </c>
      <c r="G72" s="9" t="inlineStr">
        <is>
          <t>Exceptional sustained demands inherent to the role after reasonable job-design controls</t>
        </is>
      </c>
    </row>
    <row r="73" ht="80" customHeight="1">
      <c r="A73" s="14" t="inlineStr">
        <is>
          <t>W · Working conditions</t>
        </is>
      </c>
      <c r="B73" s="9" t="inlineStr">
        <is>
          <t>— · panel only</t>
        </is>
      </c>
      <c r="C73" s="9" t="inlineStr">
        <is>
          <t>Normal controlled working environment</t>
        </is>
      </c>
      <c r="D73" s="9" t="inlineStr">
        <is>
          <t>Occasional unavoidable disruption or moderately adverse exposure</t>
        </is>
      </c>
      <c r="E73" s="9" t="inlineStr">
        <is>
          <t>Recurring disruption or exposure requiring additional controls</t>
        </is>
      </c>
      <c r="F73" s="9" t="inlineStr">
        <is>
          <t>Frequent substantial exposure or unpredictable disruption under controls</t>
        </is>
      </c>
      <c r="G73" s="9" t="inlineStr">
        <is>
          <t>Exceptional persistent adverse conditions despite appropriate controls</t>
        </is>
      </c>
    </row>
    <row r="74" ht="15" customHeight="1"/>
    <row r="75" ht="15" customHeight="1">
      <c r="A75" s="7" t="inlineStr">
        <is>
          <t>Rule</t>
        </is>
      </c>
      <c r="B75" s="7" t="inlineStr">
        <is>
          <t>What it means</t>
        </is>
      </c>
      <c r="C75" s="64" t="n"/>
      <c r="D75" s="64" t="n"/>
      <c r="E75" s="63" t="n"/>
    </row>
    <row r="76" ht="54" customHeight="1">
      <c r="A76" s="14" t="inlineStr">
        <is>
          <t>Knowledge vs problem solving</t>
        </is>
      </c>
      <c r="B76" s="9" t="inlineStr">
        <is>
          <t>Knowledge asks what must be known; problem solving asks what novelty must be resolved — do not count the same demand twice</t>
        </is>
      </c>
      <c r="C76" s="64" t="n"/>
      <c r="D76" s="64" t="n"/>
      <c r="E76" s="63" t="n"/>
    </row>
    <row r="77" ht="54" customHeight="1">
      <c r="A77" s="14" t="inlineStr">
        <is>
          <t>Autonomy vs accountability</t>
        </is>
      </c>
      <c r="B77" s="9" t="inlineStr">
        <is>
          <t>Autonomy is what can be decided without approval; accountability is what the role answers for. Access to executives is not authority</t>
        </is>
      </c>
      <c r="C77" s="64" t="n"/>
      <c r="D77" s="64" t="n"/>
      <c r="E77" s="63" t="n"/>
    </row>
    <row r="78" ht="28" customHeight="1">
      <c r="A78" s="14" t="inlineStr">
        <is>
          <t>Influence</t>
        </is>
      </c>
      <c r="B78" s="9" t="inlineStr">
        <is>
          <t>Expert influence and people leadership both count; do not repeat accountability here</t>
        </is>
      </c>
      <c r="C78" s="64" t="n"/>
      <c r="D78" s="64" t="n"/>
      <c r="E78" s="63" t="n"/>
    </row>
    <row r="79" ht="28" customHeight="1">
      <c r="A79" s="14" t="inlineStr">
        <is>
          <t>Not counted</t>
        </is>
      </c>
      <c r="B79" s="9" t="inlineStr">
        <is>
          <t>University prestige, incumbent degree, tenure, revenue proximity or number of reports on their own</t>
        </is>
      </c>
      <c r="C79" s="64" t="n"/>
      <c r="D79" s="64" t="n"/>
      <c r="E79" s="63" t="n"/>
    </row>
    <row r="80" ht="41" customHeight="1">
      <c r="A80" s="14" t="inlineStr">
        <is>
          <t>Rater disagreement</t>
        </is>
      </c>
      <c r="B80" s="9" t="inlineStr">
        <is>
          <t>Two raters score independently; a difference of more than one point is resolved on evidence by the panel, never averaged</t>
        </is>
      </c>
      <c r="C80" s="64" t="n"/>
      <c r="D80" s="64" t="n"/>
      <c r="E80" s="63" t="n"/>
    </row>
  </sheetData>
  <mergeCells count="80">
    <mergeCell ref="D20:E20"/>
    <mergeCell ref="D60:E60"/>
    <mergeCell ref="A51:B51"/>
    <mergeCell ref="A1:E1"/>
    <mergeCell ref="D22:E22"/>
    <mergeCell ref="A57:C57"/>
    <mergeCell ref="D45:E45"/>
    <mergeCell ref="B34:D34"/>
    <mergeCell ref="B76:E76"/>
    <mergeCell ref="A65:E65"/>
    <mergeCell ref="A41:B41"/>
    <mergeCell ref="D61:E61"/>
    <mergeCell ref="D48:E48"/>
    <mergeCell ref="A42:B42"/>
    <mergeCell ref="D62:E62"/>
    <mergeCell ref="D56:E56"/>
    <mergeCell ref="D24:E24"/>
    <mergeCell ref="D51:E51"/>
    <mergeCell ref="B78:E78"/>
    <mergeCell ref="D26:E26"/>
    <mergeCell ref="A39:B39"/>
    <mergeCell ref="A48:B48"/>
    <mergeCell ref="D19:E19"/>
    <mergeCell ref="A45:B45"/>
    <mergeCell ref="A55:C55"/>
    <mergeCell ref="A46:B46"/>
    <mergeCell ref="A3:E3"/>
    <mergeCell ref="D47:E47"/>
    <mergeCell ref="B36:D36"/>
    <mergeCell ref="A58:C58"/>
    <mergeCell ref="B77:E77"/>
    <mergeCell ref="A5:E5"/>
    <mergeCell ref="A32:E32"/>
    <mergeCell ref="A14:E14"/>
    <mergeCell ref="D39:E39"/>
    <mergeCell ref="A60:C60"/>
    <mergeCell ref="A38:E38"/>
    <mergeCell ref="D15:E15"/>
    <mergeCell ref="D29:E29"/>
    <mergeCell ref="D23:E23"/>
    <mergeCell ref="A31:E31"/>
    <mergeCell ref="A49:B49"/>
    <mergeCell ref="B80:E80"/>
    <mergeCell ref="B79:E79"/>
    <mergeCell ref="D49:E49"/>
    <mergeCell ref="D27:E27"/>
    <mergeCell ref="A62:C62"/>
    <mergeCell ref="D17:E17"/>
    <mergeCell ref="A2:E2"/>
    <mergeCell ref="B35:D35"/>
    <mergeCell ref="D28:E28"/>
    <mergeCell ref="A59:C59"/>
    <mergeCell ref="D25:E25"/>
    <mergeCell ref="D55:E55"/>
    <mergeCell ref="A43:B43"/>
    <mergeCell ref="A61:C61"/>
    <mergeCell ref="D54:E54"/>
    <mergeCell ref="A40:B40"/>
    <mergeCell ref="A54:C54"/>
    <mergeCell ref="A64:E64"/>
    <mergeCell ref="A56:C56"/>
    <mergeCell ref="D46:E46"/>
    <mergeCell ref="D40:E40"/>
    <mergeCell ref="D21:E21"/>
    <mergeCell ref="B75:E75"/>
    <mergeCell ref="D57:E57"/>
    <mergeCell ref="D41:E41"/>
    <mergeCell ref="A50:B50"/>
    <mergeCell ref="B33:D33"/>
    <mergeCell ref="D16:E16"/>
    <mergeCell ref="D43:E43"/>
    <mergeCell ref="A47:B47"/>
    <mergeCell ref="D18:E18"/>
    <mergeCell ref="D58:E58"/>
    <mergeCell ref="A53:E53"/>
    <mergeCell ref="D42:E42"/>
    <mergeCell ref="A44:B44"/>
    <mergeCell ref="D50:E50"/>
    <mergeCell ref="D44:E44"/>
    <mergeCell ref="D59:E59"/>
  </mergeCells>
  <hyperlinks>
    <hyperlink xmlns:r="http://schemas.openxmlformats.org/officeDocument/2006/relationships" ref="F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worksheet>
</file>

<file path=xl/worksheets/sheet17.xml><?xml version="1.0" encoding="utf-8"?>
<worksheet xmlns="http://schemas.openxmlformats.org/spreadsheetml/2006/main">
  <sheetPr>
    <tabColor rgb="00375623"/>
    <outlinePr summaryBelow="1" summaryRight="1"/>
    <pageSetUpPr fitToPage="1"/>
  </sheetPr>
  <dimension ref="A1:K95"/>
  <sheetViews>
    <sheetView showGridLines="0" workbookViewId="0">
      <pane ySplit="4" topLeftCell="A5" activePane="bottomLeft" state="frozen"/>
      <selection pane="bottomLeft" activeCell="A1" sqref="A1"/>
    </sheetView>
  </sheetViews>
  <sheetFormatPr baseColWidth="8" defaultRowHeight="15"/>
  <cols>
    <col width="30" customWidth="1" min="1" max="1"/>
    <col width="26" customWidth="1" min="2" max="2"/>
    <col width="11" customWidth="1" min="3" max="3"/>
    <col width="11" customWidth="1" min="4" max="4"/>
    <col width="11" customWidth="1" min="5" max="5"/>
    <col width="11" customWidth="1" min="6" max="6"/>
    <col width="11" customWidth="1" min="7" max="7"/>
    <col width="11" customWidth="1" min="8" max="8"/>
    <col width="12" customWidth="1" min="9" max="9"/>
    <col width="44" customWidth="1" min="10" max="10"/>
    <col width="13" customWidth="1" min="11" max="11"/>
  </cols>
  <sheetData>
    <row r="1" ht="34" customHeight="1">
      <c r="A1" s="1" t="inlineStr">
        <is>
          <t>7 · Weights — how much each factor counts, and why</t>
        </is>
      </c>
      <c r="K1" s="99" t="inlineStr">
        <is>
          <t>◂ Contents</t>
        </is>
      </c>
    </row>
    <row r="2" ht="32" customHeight="1">
      <c r="A2" s="3" t="inlineStr">
        <is>
          <t>Every weight set = a base for the band and track + a tilt for the type of work · no tilt at Bands D–E or the C+ Player-Coach transition step. One formula for every set, so no weight is ever set by hand for a person. Experience &amp; Qualification is kept low · 10% in Bands A–B, 5% in Bands C–E; each department's row can be edited by its leaders on the Weightage Matrix.</t>
        </is>
      </c>
    </row>
    <row r="3">
      <c r="A3" s="4" t="inlineStr">
        <is>
          <t>IRIS · Job Architecture &amp; Job Design · Final v1.12 · October 2026 · Internal — Confidential</t>
        </is>
      </c>
    </row>
    <row r="4"/>
    <row r="5" ht="20" customHeight="1">
      <c r="A5" s="6" t="inlineStr">
        <is>
          <t>Step 1 · Base weights by band and track</t>
        </is>
      </c>
    </row>
    <row r="6" ht="28" customHeight="1">
      <c r="A6" s="7" t="inlineStr">
        <is>
          <t>Band and track</t>
        </is>
      </c>
      <c r="B6" s="7" t="inlineStr">
        <is>
          <t>Code</t>
        </is>
      </c>
      <c r="C6" s="7" t="inlineStr">
        <is>
          <t>Complexity</t>
        </is>
      </c>
      <c r="D6" s="7" t="inlineStr">
        <is>
          <t>Autonomy</t>
        </is>
      </c>
      <c r="E6" s="7" t="inlineStr">
        <is>
          <t>Accountab.</t>
        </is>
      </c>
      <c r="F6" s="7" t="inlineStr">
        <is>
          <t>Leadership</t>
        </is>
      </c>
      <c r="G6" s="7" t="inlineStr">
        <is>
          <t>Experience</t>
        </is>
      </c>
      <c r="H6" s="7" t="inlineStr">
        <is>
          <t>Bus. Impact</t>
        </is>
      </c>
      <c r="I6" s="7" t="inlineStr">
        <is>
          <t>Total</t>
        </is>
      </c>
      <c r="J6" s="7" t="inlineStr">
        <is>
          <t>Why</t>
        </is>
      </c>
    </row>
    <row r="7" ht="54" customHeight="1">
      <c r="A7" s="14" t="inlineStr">
        <is>
          <t>Band A</t>
        </is>
      </c>
      <c r="B7" s="8" t="inlineStr">
        <is>
          <t>A</t>
        </is>
      </c>
      <c r="C7" s="8" t="inlineStr">
        <is>
          <t>59%</t>
        </is>
      </c>
      <c r="D7" s="8" t="inlineStr">
        <is>
          <t>16%</t>
        </is>
      </c>
      <c r="E7" s="8" t="inlineStr">
        <is>
          <t>9%</t>
        </is>
      </c>
      <c r="F7" s="8" t="inlineStr">
        <is>
          <t>0%</t>
        </is>
      </c>
      <c r="G7" s="8" t="inlineStr">
        <is>
          <t>10%</t>
        </is>
      </c>
      <c r="H7" s="8" t="inlineStr">
        <is>
          <t>6%</t>
        </is>
      </c>
      <c r="I7" s="8" t="inlineStr">
        <is>
          <t>100%</t>
        </is>
      </c>
      <c r="J7" s="9" t="inlineStr">
        <is>
          <t>Entry and practitioner work is judged mainly on the knowledge and problem solving the work needs; leading others is not expected yet, so Leadership counts 0%.</t>
        </is>
      </c>
    </row>
    <row r="8" ht="41" customHeight="1">
      <c r="A8" s="14" t="inlineStr">
        <is>
          <t>Band B · IC / POD Lead</t>
        </is>
      </c>
      <c r="B8" s="8" t="inlineStr">
        <is>
          <t>B-IC</t>
        </is>
      </c>
      <c r="C8" s="8" t="inlineStr">
        <is>
          <t>51%</t>
        </is>
      </c>
      <c r="D8" s="8" t="inlineStr">
        <is>
          <t>17%</t>
        </is>
      </c>
      <c r="E8" s="8" t="inlineStr">
        <is>
          <t>10%</t>
        </is>
      </c>
      <c r="F8" s="8" t="inlineStr">
        <is>
          <t>5%</t>
        </is>
      </c>
      <c r="G8" s="8" t="inlineStr">
        <is>
          <t>10%</t>
        </is>
      </c>
      <c r="H8" s="8" t="inlineStr">
        <is>
          <t>7%</t>
        </is>
      </c>
      <c r="I8" s="8" t="inlineStr">
        <is>
          <t>100%</t>
        </is>
      </c>
      <c r="J8" s="9" t="inlineStr">
        <is>
          <t>Specialists are judged mainly on depth of expertise, then on what they decide alone, what they answer for and their impact.</t>
        </is>
      </c>
    </row>
    <row r="9" ht="54" customHeight="1">
      <c r="A9" s="14" t="inlineStr">
        <is>
          <t>Band B · People Manager</t>
        </is>
      </c>
      <c r="B9" s="8" t="inlineStr">
        <is>
          <t>B-M</t>
        </is>
      </c>
      <c r="C9" s="8" t="inlineStr">
        <is>
          <t>37%</t>
        </is>
      </c>
      <c r="D9" s="8" t="inlineStr">
        <is>
          <t>18%</t>
        </is>
      </c>
      <c r="E9" s="8" t="inlineStr">
        <is>
          <t>11%</t>
        </is>
      </c>
      <c r="F9" s="8" t="inlineStr">
        <is>
          <t>15%</t>
        </is>
      </c>
      <c r="G9" s="8" t="inlineStr">
        <is>
          <t>10%</t>
        </is>
      </c>
      <c r="H9" s="8" t="inlineStr">
        <is>
          <t>9%</t>
        </is>
      </c>
      <c r="I9" s="8" t="inlineStr">
        <is>
          <t>100%</t>
        </is>
      </c>
      <c r="J9" s="9" t="inlineStr">
        <is>
          <t>A manager's results come through the team, so Leadership rises to 15% and Complexity falls; autonomy, accountability and impact rise.</t>
        </is>
      </c>
    </row>
    <row r="10" ht="28" customHeight="1">
      <c r="A10" s="14" t="inlineStr">
        <is>
          <t>Band C · Principal specialist</t>
        </is>
      </c>
      <c r="B10" s="8" t="inlineStr">
        <is>
          <t>C-IC</t>
        </is>
      </c>
      <c r="C10" s="8" t="inlineStr">
        <is>
          <t>54%</t>
        </is>
      </c>
      <c r="D10" s="8" t="inlineStr">
        <is>
          <t>18%</t>
        </is>
      </c>
      <c r="E10" s="8" t="inlineStr">
        <is>
          <t>10%</t>
        </is>
      </c>
      <c r="F10" s="8" t="inlineStr">
        <is>
          <t>5%</t>
        </is>
      </c>
      <c r="G10" s="8" t="inlineStr">
        <is>
          <t>5%</t>
        </is>
      </c>
      <c r="H10" s="8" t="inlineStr">
        <is>
          <t>8%</t>
        </is>
      </c>
      <c r="I10" s="8" t="inlineStr">
        <is>
          <t>100%</t>
        </is>
      </c>
      <c r="J10" s="9" t="inlineStr">
        <is>
          <t>A principal is judged mainly on expertise across products; experience counts only 5%.</t>
        </is>
      </c>
    </row>
    <row r="11" ht="54" customHeight="1">
      <c r="A11" s="14" t="inlineStr">
        <is>
          <t>Band C · Head / manager</t>
        </is>
      </c>
      <c r="B11" s="8" t="inlineStr">
        <is>
          <t>C-M</t>
        </is>
      </c>
      <c r="C11" s="8" t="inlineStr">
        <is>
          <t>43%</t>
        </is>
      </c>
      <c r="D11" s="8" t="inlineStr">
        <is>
          <t>18%</t>
        </is>
      </c>
      <c r="E11" s="8" t="inlineStr">
        <is>
          <t>11%</t>
        </is>
      </c>
      <c r="F11" s="8" t="inlineStr">
        <is>
          <t>15%</t>
        </is>
      </c>
      <c r="G11" s="8" t="inlineStr">
        <is>
          <t>5%</t>
        </is>
      </c>
      <c r="H11" s="8" t="inlineStr">
        <is>
          <t>8%</t>
        </is>
      </c>
      <c r="I11" s="8" t="inlineStr">
        <is>
          <t>100%</t>
        </is>
      </c>
      <c r="J11" s="9" t="inlineStr">
        <is>
          <r>
            <rPr>
              <rFont val="Calibri"/>
              <b val="1"/>
              <sz val="10"/>
            </rPr>
            <t>A head answers for a function through managers:</t>
          </r>
          <r>
            <rPr>
              <rFont val="Calibri"/>
              <sz val="10"/>
            </rPr>
            <t xml:space="preserve"> Leadership 15%, with autonomy, accountability and impact rising; expertise still counts most.</t>
          </r>
        </is>
      </c>
    </row>
    <row r="12" ht="41" customHeight="1">
      <c r="A12" s="14" t="inlineStr">
        <is>
          <t>Bands D–E</t>
        </is>
      </c>
      <c r="B12" s="8" t="inlineStr">
        <is>
          <t>DE</t>
        </is>
      </c>
      <c r="C12" s="8" t="inlineStr">
        <is>
          <t>37%</t>
        </is>
      </c>
      <c r="D12" s="8" t="inlineStr">
        <is>
          <t>19%</t>
        </is>
      </c>
      <c r="E12" s="8" t="inlineStr">
        <is>
          <t>11%</t>
        </is>
      </c>
      <c r="F12" s="8" t="inlineStr">
        <is>
          <t>20%</t>
        </is>
      </c>
      <c r="G12" s="8" t="inlineStr">
        <is>
          <t>5%</t>
        </is>
      </c>
      <c r="H12" s="8" t="inlineStr">
        <is>
          <t>8%</t>
        </is>
      </c>
      <c r="I12" s="8" t="inlineStr">
        <is>
          <t>100%</t>
        </is>
      </c>
      <c r="J12" s="9" t="inlineStr">
        <is>
          <t>Leaders are judged on the hardest problems, on leading — 20% — and on the decisions, scope and business impact of the job.</t>
        </is>
      </c>
    </row>
    <row r="13" ht="28" customHeight="1">
      <c r="A13" s="14" t="inlineStr">
        <is>
          <t>Player-Coach B+ · between B and C</t>
        </is>
      </c>
      <c r="B13" s="8" t="inlineStr">
        <is>
          <t>PC-B+</t>
        </is>
      </c>
      <c r="C13" s="8" t="inlineStr">
        <is>
          <t>44%</t>
        </is>
      </c>
      <c r="D13" s="8" t="inlineStr">
        <is>
          <t>18%</t>
        </is>
      </c>
      <c r="E13" s="8" t="inlineStr">
        <is>
          <t>10%</t>
        </is>
      </c>
      <c r="F13" s="8" t="inlineStr">
        <is>
          <t>10%</t>
        </is>
      </c>
      <c r="G13" s="8" t="inlineStr">
        <is>
          <t>10%</t>
        </is>
      </c>
      <c r="H13" s="8" t="inlineStr">
        <is>
          <t>8%</t>
        </is>
      </c>
      <c r="I13" s="8" t="inlineStr">
        <is>
          <t>100%</t>
        </is>
      </c>
      <c r="J13" s="9" t="inlineStr">
        <is>
          <t>A player-coach is judged half on own expert work and half on leading people.</t>
        </is>
      </c>
    </row>
    <row r="14" ht="28" customHeight="1">
      <c r="A14" s="14" t="inlineStr">
        <is>
          <t>Player-Coach C+ · between C and D</t>
        </is>
      </c>
      <c r="B14" s="8" t="inlineStr">
        <is>
          <t>PC-C+</t>
        </is>
      </c>
      <c r="C14" s="8" t="inlineStr">
        <is>
          <t>38%</t>
        </is>
      </c>
      <c r="D14" s="8" t="inlineStr">
        <is>
          <t>18%</t>
        </is>
      </c>
      <c r="E14" s="8" t="inlineStr">
        <is>
          <t>11%</t>
        </is>
      </c>
      <c r="F14" s="8" t="inlineStr">
        <is>
          <t>20%</t>
        </is>
      </c>
      <c r="G14" s="8" t="inlineStr">
        <is>
          <t>5%</t>
        </is>
      </c>
      <c r="H14" s="8" t="inlineStr">
        <is>
          <t>8%</t>
        </is>
      </c>
      <c r="I14" s="8" t="inlineStr">
        <is>
          <t>100%</t>
        </is>
      </c>
      <c r="J14" s="9" t="inlineStr">
        <is>
          <t>A C+ player-coach leads a function and still delivers personally.</t>
        </is>
      </c>
    </row>
    <row r="15" ht="15" customHeight="1"/>
    <row r="16" ht="67" customHeight="1">
      <c r="A16" s="12" t="inlineStr">
        <is>
          <r>
            <rPr>
              <rFont val="Calibri"/>
              <b val="1"/>
              <i val="1"/>
              <color rgb="00595959"/>
              <sz val="10"/>
            </rPr>
            <t>Base weights:</t>
          </r>
          <r>
            <rPr>
              <rFont val="Calibri"/>
              <i val="1"/>
              <color rgb="00595959"/>
              <sz val="10"/>
            </rPr>
            <t xml:space="preserve"> Sources: S46–S51 Korn Ferry Hay evaluations · S04, S52 Mercer IPE · S53–S57 NHS, UK NJC/PSC, GLPC, SJC and US OPM point-factor plans. Experience: Sources: S05, S49 Hay know-how includes experience however acquired · S04, S52 Mercer IPE knowledge · S07 WTW GGS · S58 McKinsey · S59 Deloitte · S60 WEF · S61 EY India, 2026 — skills over tenure. The 10% / 5% level is an IRIS leadership decision. Leadership: Sources: S05, S46, S47 Hay managerial know-how by level · S04 Mercer IPE communication · S09 McKinsey spans of control. The 0 / 5 / 10 / 15 / 20% steps by role group are an IRIS design rule. Business Impact: Sources: S05 Hay accountability, nature of impact · S04 Mercer IPE impact · S07 WTW GGS nature and area of impact · S53–S57 public plans' financial or consequences factor, 7–10% of points.</t>
          </r>
        </is>
      </c>
    </row>
    <row r="17" ht="20" customHeight="1">
      <c r="A17" s="6" t="inlineStr">
        <is>
          <t>Step 2 · Tilt by type of work · points added to or taken from the base</t>
        </is>
      </c>
    </row>
    <row r="18" ht="28" customHeight="1">
      <c r="A18" s="7" t="inlineStr">
        <is>
          <t>Type of work</t>
        </is>
      </c>
      <c r="B18" s="7" t="inlineStr">
        <is>
          <t>Code</t>
        </is>
      </c>
      <c r="C18" s="7" t="inlineStr">
        <is>
          <t>Complexity</t>
        </is>
      </c>
      <c r="D18" s="7" t="inlineStr">
        <is>
          <t>Autonomy</t>
        </is>
      </c>
      <c r="E18" s="7" t="inlineStr">
        <is>
          <t>Accountab.</t>
        </is>
      </c>
      <c r="F18" s="7" t="inlineStr">
        <is>
          <t>Leadership</t>
        </is>
      </c>
      <c r="G18" s="7" t="inlineStr">
        <is>
          <t>Experience</t>
        </is>
      </c>
      <c r="H18" s="7" t="inlineStr">
        <is>
          <t>Bus. Impact</t>
        </is>
      </c>
      <c r="I18" s="7" t="inlineStr">
        <is>
          <t>Net</t>
        </is>
      </c>
      <c r="J18" s="7" t="inlineStr">
        <is>
          <t>Why</t>
        </is>
      </c>
    </row>
    <row r="19" ht="28" customHeight="1">
      <c r="A19" s="14" t="inlineStr">
        <is>
          <t>Technology &amp; engineering</t>
        </is>
      </c>
      <c r="B19" s="8" t="inlineStr">
        <is>
          <t>TE</t>
        </is>
      </c>
      <c r="C19" s="8" t="inlineStr">
        <is>
          <t>+5</t>
        </is>
      </c>
      <c r="D19" s="8" t="inlineStr">
        <is>
          <t>0</t>
        </is>
      </c>
      <c r="E19" s="8" t="inlineStr">
        <is>
          <t>-5</t>
        </is>
      </c>
      <c r="F19" s="8" t="inlineStr">
        <is>
          <t>0</t>
        </is>
      </c>
      <c r="G19" s="8" t="inlineStr">
        <is>
          <t>0</t>
        </is>
      </c>
      <c r="H19" s="8" t="inlineStr">
        <is>
          <t>0</t>
        </is>
      </c>
      <c r="I19" s="8" t="inlineStr">
        <is>
          <t>0</t>
        </is>
      </c>
      <c r="J19" s="9" t="inlineStr">
        <is>
          <t>Technology work is valued for technical depth, so Complexity +5 and Accountability −5.</t>
        </is>
      </c>
    </row>
    <row r="20" ht="28" customHeight="1">
      <c r="A20" s="14" t="inlineStr">
        <is>
          <t>Product &amp; programme</t>
        </is>
      </c>
      <c r="B20" s="8" t="inlineStr">
        <is>
          <t>PP</t>
        </is>
      </c>
      <c r="C20" s="8" t="inlineStr">
        <is>
          <t>-5</t>
        </is>
      </c>
      <c r="D20" s="8" t="inlineStr">
        <is>
          <t>+5</t>
        </is>
      </c>
      <c r="E20" s="8" t="inlineStr">
        <is>
          <t>0</t>
        </is>
      </c>
      <c r="F20" s="8" t="inlineStr">
        <is>
          <t>0</t>
        </is>
      </c>
      <c r="G20" s="8" t="inlineStr">
        <is>
          <t>0</t>
        </is>
      </c>
      <c r="H20" s="8" t="inlineStr">
        <is>
          <t>0</t>
        </is>
      </c>
      <c r="I20" s="8" t="inlineStr">
        <is>
          <t>0</t>
        </is>
      </c>
      <c r="J20" s="9" t="inlineStr">
        <is>
          <t>Product roles decide trade-offs, so Autonomy +5 and Complexity −5.</t>
        </is>
      </c>
    </row>
    <row r="21" ht="28" customHeight="1">
      <c r="A21" s="14" t="inlineStr">
        <is>
          <t>Regulatory &amp; domain consulting</t>
        </is>
      </c>
      <c r="B21" s="8" t="inlineStr">
        <is>
          <t>RC</t>
        </is>
      </c>
      <c r="C21" s="8" t="inlineStr">
        <is>
          <t>0</t>
        </is>
      </c>
      <c r="D21" s="8" t="inlineStr">
        <is>
          <t>0</t>
        </is>
      </c>
      <c r="E21" s="8" t="inlineStr">
        <is>
          <t>0</t>
        </is>
      </c>
      <c r="F21" s="8" t="inlineStr">
        <is>
          <t>0</t>
        </is>
      </c>
      <c r="G21" s="8" t="inlineStr">
        <is>
          <t>0</t>
        </is>
      </c>
      <c r="H21" s="8" t="inlineStr">
        <is>
          <t>0</t>
        </is>
      </c>
      <c r="I21" s="8" t="inlineStr">
        <is>
          <t>0</t>
        </is>
      </c>
      <c r="J21" s="9" t="inlineStr">
        <is>
          <t>Regulatory consulting balances expertise and accountability, so no change.</t>
        </is>
      </c>
    </row>
    <row r="22" ht="41" customHeight="1">
      <c r="A22" s="14" t="inlineStr">
        <is>
          <t>Service delivery &amp; data operations</t>
        </is>
      </c>
      <c r="B22" s="8" t="inlineStr">
        <is>
          <t>SD</t>
        </is>
      </c>
      <c r="C22" s="8" t="inlineStr">
        <is>
          <t>-5</t>
        </is>
      </c>
      <c r="D22" s="8" t="inlineStr">
        <is>
          <t>0</t>
        </is>
      </c>
      <c r="E22" s="8" t="inlineStr">
        <is>
          <t>+5</t>
        </is>
      </c>
      <c r="F22" s="8" t="inlineStr">
        <is>
          <t>0</t>
        </is>
      </c>
      <c r="G22" s="8" t="inlineStr">
        <is>
          <t>0</t>
        </is>
      </c>
      <c r="H22" s="8" t="inlineStr">
        <is>
          <t>0</t>
        </is>
      </c>
      <c r="I22" s="8" t="inlineStr">
        <is>
          <t>0</t>
        </is>
      </c>
      <c r="J22" s="9" t="inlineStr">
        <is>
          <t>Delivery work is judged on accuracy and turnaround, so Accountability +5 and Complexity −5.</t>
        </is>
      </c>
    </row>
    <row r="23" ht="28" customHeight="1">
      <c r="A23" s="14" t="inlineStr">
        <is>
          <t>Customer support &amp; success</t>
        </is>
      </c>
      <c r="B23" s="8" t="inlineStr">
        <is>
          <t>CS</t>
        </is>
      </c>
      <c r="C23" s="8" t="inlineStr">
        <is>
          <t>-5</t>
        </is>
      </c>
      <c r="D23" s="8" t="inlineStr">
        <is>
          <t>0</t>
        </is>
      </c>
      <c r="E23" s="8" t="inlineStr">
        <is>
          <t>0</t>
        </is>
      </c>
      <c r="F23" s="8" t="inlineStr">
        <is>
          <t>0</t>
        </is>
      </c>
      <c r="G23" s="8" t="inlineStr">
        <is>
          <t>0</t>
        </is>
      </c>
      <c r="H23" s="8" t="inlineStr">
        <is>
          <t>+5</t>
        </is>
      </c>
      <c r="I23" s="8" t="inlineStr">
        <is>
          <t>0</t>
        </is>
      </c>
      <c r="J23" s="9" t="inlineStr">
        <is>
          <t>Support is judged on client outcomes, so Business Impact +5 and Complexity −5.</t>
        </is>
      </c>
    </row>
    <row r="24" ht="41" customHeight="1">
      <c r="A24" s="14" t="inlineStr">
        <is>
          <t>Sales &amp; marketing</t>
        </is>
      </c>
      <c r="B24" s="8" t="inlineStr">
        <is>
          <t>SM</t>
        </is>
      </c>
      <c r="C24" s="8" t="inlineStr">
        <is>
          <t>-5</t>
        </is>
      </c>
      <c r="D24" s="8" t="inlineStr">
        <is>
          <t>+5</t>
        </is>
      </c>
      <c r="E24" s="8" t="inlineStr">
        <is>
          <t>-5</t>
        </is>
      </c>
      <c r="F24" s="8" t="inlineStr">
        <is>
          <t>0</t>
        </is>
      </c>
      <c r="G24" s="8" t="inlineStr">
        <is>
          <t>0</t>
        </is>
      </c>
      <c r="H24" s="8" t="inlineStr">
        <is>
          <t>+5</t>
        </is>
      </c>
      <c r="I24" s="8" t="inlineStr">
        <is>
          <t>0</t>
        </is>
      </c>
      <c r="J24" s="9" t="inlineStr">
        <is>
          <t>Sales and marketing are judged on pipeline and revenue, so Business Impact +5, Autonomy +5, Complexity −5 and Accountability −5.</t>
        </is>
      </c>
    </row>
    <row r="25" ht="54" customHeight="1">
      <c r="A25" s="14" t="inlineStr">
        <is>
          <t>Corporate functions</t>
        </is>
      </c>
      <c r="B25" s="8" t="inlineStr">
        <is>
          <t>CF</t>
        </is>
      </c>
      <c r="C25" s="8" t="inlineStr">
        <is>
          <t>-5</t>
        </is>
      </c>
      <c r="D25" s="8" t="inlineStr">
        <is>
          <t>0</t>
        </is>
      </c>
      <c r="E25" s="8" t="inlineStr">
        <is>
          <t>0</t>
        </is>
      </c>
      <c r="F25" s="8" t="inlineStr">
        <is>
          <t>0</t>
        </is>
      </c>
      <c r="G25" s="8" t="inlineStr">
        <is>
          <t>+5</t>
        </is>
      </c>
      <c r="H25" s="8" t="inlineStr">
        <is>
          <t>0</t>
        </is>
      </c>
      <c r="I25" s="8" t="inlineStr">
        <is>
          <t>0</t>
        </is>
      </c>
      <c r="J25" s="9" t="inlineStr">
        <is>
          <t>Corporate functions rely on professional qualifications such as CA, CS or law, so Experience &amp; Qualification +5 and Complexity −5.</t>
        </is>
      </c>
    </row>
    <row r="26" ht="28" customHeight="1">
      <c r="A26" s="14" t="inlineStr">
        <is>
          <t>General management</t>
        </is>
      </c>
      <c r="B26" s="8" t="inlineStr">
        <is>
          <t>GM</t>
        </is>
      </c>
      <c r="C26" s="8" t="inlineStr">
        <is>
          <t>0</t>
        </is>
      </c>
      <c r="D26" s="8" t="inlineStr">
        <is>
          <t>0</t>
        </is>
      </c>
      <c r="E26" s="8" t="inlineStr">
        <is>
          <t>0</t>
        </is>
      </c>
      <c r="F26" s="8" t="inlineStr">
        <is>
          <t>0</t>
        </is>
      </c>
      <c r="G26" s="8" t="inlineStr">
        <is>
          <t>0</t>
        </is>
      </c>
      <c r="H26" s="8" t="inlineStr">
        <is>
          <t>0</t>
        </is>
      </c>
      <c r="I26" s="8" t="inlineStr">
        <is>
          <t>0</t>
        </is>
      </c>
      <c r="J26" s="9" t="inlineStr">
        <is>
          <t>General management uses the base weights, so no change.</t>
        </is>
      </c>
    </row>
    <row r="27" ht="15" customHeight="1"/>
    <row r="28" ht="15" customHeight="1">
      <c r="A28" s="12" t="inlineStr">
        <is>
          <t>No tilt at Bands D–E or the C+ Player-Coach transition step: at that height a role is judged on what it answers for, whatever the type of work.</t>
        </is>
      </c>
    </row>
    <row r="29" ht="28" customHeight="1">
      <c r="A29" s="12" t="inlineStr">
        <is>
          <r>
            <rPr>
              <rFont val="Calibri"/>
              <b val="1"/>
              <i val="1"/>
              <color rgb="00595959"/>
              <sz val="10"/>
            </rPr>
            <t>Tilt:</t>
          </r>
          <r>
            <rPr>
              <rFont val="Calibri"/>
              <i val="1"/>
              <color rgb="00595959"/>
              <sz val="10"/>
            </rPr>
            <t xml:space="preserve"> Basis: S06 Hay short profile — A-type delivery jobs weight accountability, P-type thinking jobs weight problem solving, L-type are balanced. The ±5 size is an IRIS design rule, kept small so the market defaults stay in control. Full links: source register, HR Super Master sheet 11 and Framework Master M16.</t>
          </r>
        </is>
      </c>
    </row>
    <row r="30" ht="20" customHeight="1">
      <c r="A30" s="6" t="inlineStr">
        <is>
          <t>Result · every weight set · type of work × band and track</t>
        </is>
      </c>
    </row>
    <row r="31" ht="28" customHeight="1">
      <c r="A31" s="7" t="inlineStr">
        <is>
          <t>Type of work</t>
        </is>
      </c>
      <c r="B31" s="7" t="inlineStr">
        <is>
          <t>Band and track</t>
        </is>
      </c>
      <c r="C31" s="7" t="inlineStr">
        <is>
          <t>Complexity</t>
        </is>
      </c>
      <c r="D31" s="7" t="inlineStr">
        <is>
          <t>Autonomy</t>
        </is>
      </c>
      <c r="E31" s="7" t="inlineStr">
        <is>
          <t>Accountab.</t>
        </is>
      </c>
      <c r="F31" s="7" t="inlineStr">
        <is>
          <t>Leadership</t>
        </is>
      </c>
      <c r="G31" s="7" t="inlineStr">
        <is>
          <t>Experience</t>
        </is>
      </c>
      <c r="H31" s="7" t="inlineStr">
        <is>
          <t>Bus. Impact</t>
        </is>
      </c>
      <c r="I31" s="7" t="inlineStr">
        <is>
          <t>Total</t>
        </is>
      </c>
      <c r="J31" s="7" t="inlineStr">
        <is>
          <t>Set ID</t>
        </is>
      </c>
    </row>
    <row r="32" ht="15" customHeight="1">
      <c r="A32" s="9" t="inlineStr">
        <is>
          <t>Technology &amp; engineering</t>
        </is>
      </c>
      <c r="B32" s="9" t="inlineStr">
        <is>
          <t>Band A</t>
        </is>
      </c>
      <c r="C32" s="8" t="inlineStr">
        <is>
          <t>64%</t>
        </is>
      </c>
      <c r="D32" s="8" t="inlineStr">
        <is>
          <t>16%</t>
        </is>
      </c>
      <c r="E32" s="8" t="inlineStr">
        <is>
          <t>4%</t>
        </is>
      </c>
      <c r="F32" s="8" t="inlineStr">
        <is>
          <t>0%</t>
        </is>
      </c>
      <c r="G32" s="8" t="inlineStr">
        <is>
          <t>10%</t>
        </is>
      </c>
      <c r="H32" s="8" t="inlineStr">
        <is>
          <t>6%</t>
        </is>
      </c>
      <c r="I32" s="8" t="inlineStr">
        <is>
          <t>100%</t>
        </is>
      </c>
      <c r="J32" s="8" t="inlineStr">
        <is>
          <t>TE-A</t>
        </is>
      </c>
    </row>
    <row r="33" ht="15" customHeight="1">
      <c r="A33" s="9" t="inlineStr">
        <is>
          <t>Technology &amp; engineering</t>
        </is>
      </c>
      <c r="B33" s="9" t="inlineStr">
        <is>
          <t>Band B · IC / POD Lead</t>
        </is>
      </c>
      <c r="C33" s="8" t="inlineStr">
        <is>
          <t>56%</t>
        </is>
      </c>
      <c r="D33" s="8" t="inlineStr">
        <is>
          <t>17%</t>
        </is>
      </c>
      <c r="E33" s="8" t="inlineStr">
        <is>
          <t>5%</t>
        </is>
      </c>
      <c r="F33" s="8" t="inlineStr">
        <is>
          <t>5%</t>
        </is>
      </c>
      <c r="G33" s="8" t="inlineStr">
        <is>
          <t>10%</t>
        </is>
      </c>
      <c r="H33" s="8" t="inlineStr">
        <is>
          <t>7%</t>
        </is>
      </c>
      <c r="I33" s="8" t="inlineStr">
        <is>
          <t>100%</t>
        </is>
      </c>
      <c r="J33" s="8" t="inlineStr">
        <is>
          <t>TE-B-IC</t>
        </is>
      </c>
    </row>
    <row r="34" ht="15" customHeight="1">
      <c r="A34" s="9" t="inlineStr">
        <is>
          <t>Technology &amp; engineering</t>
        </is>
      </c>
      <c r="B34" s="9" t="inlineStr">
        <is>
          <t>Band B · People Manager</t>
        </is>
      </c>
      <c r="C34" s="8" t="inlineStr">
        <is>
          <t>42%</t>
        </is>
      </c>
      <c r="D34" s="8" t="inlineStr">
        <is>
          <t>18%</t>
        </is>
      </c>
      <c r="E34" s="8" t="inlineStr">
        <is>
          <t>6%</t>
        </is>
      </c>
      <c r="F34" s="8" t="inlineStr">
        <is>
          <t>15%</t>
        </is>
      </c>
      <c r="G34" s="8" t="inlineStr">
        <is>
          <t>10%</t>
        </is>
      </c>
      <c r="H34" s="8" t="inlineStr">
        <is>
          <t>9%</t>
        </is>
      </c>
      <c r="I34" s="8" t="inlineStr">
        <is>
          <t>100%</t>
        </is>
      </c>
      <c r="J34" s="8" t="inlineStr">
        <is>
          <t>TE-B-M</t>
        </is>
      </c>
    </row>
    <row r="35" ht="28" customHeight="1">
      <c r="A35" s="9" t="inlineStr">
        <is>
          <t>Technology &amp; engineering</t>
        </is>
      </c>
      <c r="B35" s="9" t="inlineStr">
        <is>
          <t>Band C · Principal specialist</t>
        </is>
      </c>
      <c r="C35" s="8" t="inlineStr">
        <is>
          <t>59%</t>
        </is>
      </c>
      <c r="D35" s="8" t="inlineStr">
        <is>
          <t>18%</t>
        </is>
      </c>
      <c r="E35" s="8" t="inlineStr">
        <is>
          <t>5%</t>
        </is>
      </c>
      <c r="F35" s="8" t="inlineStr">
        <is>
          <t>5%</t>
        </is>
      </c>
      <c r="G35" s="8" t="inlineStr">
        <is>
          <t>5%</t>
        </is>
      </c>
      <c r="H35" s="8" t="inlineStr">
        <is>
          <t>8%</t>
        </is>
      </c>
      <c r="I35" s="8" t="inlineStr">
        <is>
          <t>100%</t>
        </is>
      </c>
      <c r="J35" s="8" t="inlineStr">
        <is>
          <t>TE-C-IC</t>
        </is>
      </c>
    </row>
    <row r="36" ht="15" customHeight="1">
      <c r="A36" s="9" t="inlineStr">
        <is>
          <t>Technology &amp; engineering</t>
        </is>
      </c>
      <c r="B36" s="9" t="inlineStr">
        <is>
          <t>Band C · Head / manager</t>
        </is>
      </c>
      <c r="C36" s="8" t="inlineStr">
        <is>
          <t>48%</t>
        </is>
      </c>
      <c r="D36" s="8" t="inlineStr">
        <is>
          <t>18%</t>
        </is>
      </c>
      <c r="E36" s="8" t="inlineStr">
        <is>
          <t>6%</t>
        </is>
      </c>
      <c r="F36" s="8" t="inlineStr">
        <is>
          <t>15%</t>
        </is>
      </c>
      <c r="G36" s="8" t="inlineStr">
        <is>
          <t>5%</t>
        </is>
      </c>
      <c r="H36" s="8" t="inlineStr">
        <is>
          <t>8%</t>
        </is>
      </c>
      <c r="I36" s="8" t="inlineStr">
        <is>
          <t>100%</t>
        </is>
      </c>
      <c r="J36" s="8" t="inlineStr">
        <is>
          <t>TE-C-M</t>
        </is>
      </c>
    </row>
    <row r="37" ht="15" customHeight="1">
      <c r="A37" s="9" t="inlineStr">
        <is>
          <t>Technology &amp; engineering</t>
        </is>
      </c>
      <c r="B37" s="9" t="inlineStr">
        <is>
          <t>Bands D–E</t>
        </is>
      </c>
      <c r="C37" s="8" t="inlineStr">
        <is>
          <t>37%</t>
        </is>
      </c>
      <c r="D37" s="8" t="inlineStr">
        <is>
          <t>19%</t>
        </is>
      </c>
      <c r="E37" s="8" t="inlineStr">
        <is>
          <t>11%</t>
        </is>
      </c>
      <c r="F37" s="8" t="inlineStr">
        <is>
          <t>20%</t>
        </is>
      </c>
      <c r="G37" s="8" t="inlineStr">
        <is>
          <t>5%</t>
        </is>
      </c>
      <c r="H37" s="8" t="inlineStr">
        <is>
          <t>8%</t>
        </is>
      </c>
      <c r="I37" s="8" t="inlineStr">
        <is>
          <t>100%</t>
        </is>
      </c>
      <c r="J37" s="8" t="inlineStr">
        <is>
          <t>TE-DE</t>
        </is>
      </c>
    </row>
    <row r="38" ht="28" customHeight="1">
      <c r="A38" s="9" t="inlineStr">
        <is>
          <t>Technology &amp; engineering</t>
        </is>
      </c>
      <c r="B38" s="9" t="inlineStr">
        <is>
          <t>Player-Coach B+ · between B and C</t>
        </is>
      </c>
      <c r="C38" s="8" t="inlineStr">
        <is>
          <t>49%</t>
        </is>
      </c>
      <c r="D38" s="8" t="inlineStr">
        <is>
          <t>18%</t>
        </is>
      </c>
      <c r="E38" s="8" t="inlineStr">
        <is>
          <t>5%</t>
        </is>
      </c>
      <c r="F38" s="8" t="inlineStr">
        <is>
          <t>10%</t>
        </is>
      </c>
      <c r="G38" s="8" t="inlineStr">
        <is>
          <t>10%</t>
        </is>
      </c>
      <c r="H38" s="8" t="inlineStr">
        <is>
          <t>8%</t>
        </is>
      </c>
      <c r="I38" s="8" t="inlineStr">
        <is>
          <t>100%</t>
        </is>
      </c>
      <c r="J38" s="8" t="inlineStr">
        <is>
          <t>TE-PC-B+</t>
        </is>
      </c>
    </row>
    <row r="39" ht="28" customHeight="1">
      <c r="A39" s="9" t="inlineStr">
        <is>
          <t>Technology &amp; engineering</t>
        </is>
      </c>
      <c r="B39" s="9" t="inlineStr">
        <is>
          <t>Player-Coach C+ · between C and D</t>
        </is>
      </c>
      <c r="C39" s="8" t="inlineStr">
        <is>
          <t>38%</t>
        </is>
      </c>
      <c r="D39" s="8" t="inlineStr">
        <is>
          <t>18%</t>
        </is>
      </c>
      <c r="E39" s="8" t="inlineStr">
        <is>
          <t>11%</t>
        </is>
      </c>
      <c r="F39" s="8" t="inlineStr">
        <is>
          <t>20%</t>
        </is>
      </c>
      <c r="G39" s="8" t="inlineStr">
        <is>
          <t>5%</t>
        </is>
      </c>
      <c r="H39" s="8" t="inlineStr">
        <is>
          <t>8%</t>
        </is>
      </c>
      <c r="I39" s="8" t="inlineStr">
        <is>
          <t>100%</t>
        </is>
      </c>
      <c r="J39" s="8" t="inlineStr">
        <is>
          <t>TE-PC-C+</t>
        </is>
      </c>
    </row>
    <row r="40" ht="15" customHeight="1">
      <c r="A40" s="57" t="inlineStr">
        <is>
          <t>Product &amp; programme</t>
        </is>
      </c>
      <c r="B40" s="57" t="inlineStr">
        <is>
          <t>Band A</t>
        </is>
      </c>
      <c r="C40" s="58" t="inlineStr">
        <is>
          <t>54%</t>
        </is>
      </c>
      <c r="D40" s="58" t="inlineStr">
        <is>
          <t>21%</t>
        </is>
      </c>
      <c r="E40" s="58" t="inlineStr">
        <is>
          <t>9%</t>
        </is>
      </c>
      <c r="F40" s="58" t="inlineStr">
        <is>
          <t>0%</t>
        </is>
      </c>
      <c r="G40" s="58" t="inlineStr">
        <is>
          <t>10%</t>
        </is>
      </c>
      <c r="H40" s="58" t="inlineStr">
        <is>
          <t>6%</t>
        </is>
      </c>
      <c r="I40" s="58" t="inlineStr">
        <is>
          <t>100%</t>
        </is>
      </c>
      <c r="J40" s="58" t="inlineStr">
        <is>
          <t>PP-A</t>
        </is>
      </c>
    </row>
    <row r="41" ht="15" customHeight="1">
      <c r="A41" s="57" t="inlineStr">
        <is>
          <t>Product &amp; programme</t>
        </is>
      </c>
      <c r="B41" s="57" t="inlineStr">
        <is>
          <t>Band B · IC / POD Lead</t>
        </is>
      </c>
      <c r="C41" s="58" t="inlineStr">
        <is>
          <t>46%</t>
        </is>
      </c>
      <c r="D41" s="58" t="inlineStr">
        <is>
          <t>22%</t>
        </is>
      </c>
      <c r="E41" s="58" t="inlineStr">
        <is>
          <t>10%</t>
        </is>
      </c>
      <c r="F41" s="58" t="inlineStr">
        <is>
          <t>5%</t>
        </is>
      </c>
      <c r="G41" s="58" t="inlineStr">
        <is>
          <t>10%</t>
        </is>
      </c>
      <c r="H41" s="58" t="inlineStr">
        <is>
          <t>7%</t>
        </is>
      </c>
      <c r="I41" s="58" t="inlineStr">
        <is>
          <t>100%</t>
        </is>
      </c>
      <c r="J41" s="58" t="inlineStr">
        <is>
          <t>PP-B-IC</t>
        </is>
      </c>
    </row>
    <row r="42" ht="15" customHeight="1">
      <c r="A42" s="57" t="inlineStr">
        <is>
          <t>Product &amp; programme</t>
        </is>
      </c>
      <c r="B42" s="57" t="inlineStr">
        <is>
          <t>Band B · People Manager</t>
        </is>
      </c>
      <c r="C42" s="58" t="inlineStr">
        <is>
          <t>32%</t>
        </is>
      </c>
      <c r="D42" s="58" t="inlineStr">
        <is>
          <t>23%</t>
        </is>
      </c>
      <c r="E42" s="58" t="inlineStr">
        <is>
          <t>11%</t>
        </is>
      </c>
      <c r="F42" s="58" t="inlineStr">
        <is>
          <t>15%</t>
        </is>
      </c>
      <c r="G42" s="58" t="inlineStr">
        <is>
          <t>10%</t>
        </is>
      </c>
      <c r="H42" s="58" t="inlineStr">
        <is>
          <t>9%</t>
        </is>
      </c>
      <c r="I42" s="58" t="inlineStr">
        <is>
          <t>100%</t>
        </is>
      </c>
      <c r="J42" s="58" t="inlineStr">
        <is>
          <t>PP-B-M</t>
        </is>
      </c>
    </row>
    <row r="43" ht="28" customHeight="1">
      <c r="A43" s="57" t="inlineStr">
        <is>
          <t>Product &amp; programme</t>
        </is>
      </c>
      <c r="B43" s="57" t="inlineStr">
        <is>
          <t>Band C · Principal specialist</t>
        </is>
      </c>
      <c r="C43" s="58" t="inlineStr">
        <is>
          <t>49%</t>
        </is>
      </c>
      <c r="D43" s="58" t="inlineStr">
        <is>
          <t>23%</t>
        </is>
      </c>
      <c r="E43" s="58" t="inlineStr">
        <is>
          <t>10%</t>
        </is>
      </c>
      <c r="F43" s="58" t="inlineStr">
        <is>
          <t>5%</t>
        </is>
      </c>
      <c r="G43" s="58" t="inlineStr">
        <is>
          <t>5%</t>
        </is>
      </c>
      <c r="H43" s="58" t="inlineStr">
        <is>
          <t>8%</t>
        </is>
      </c>
      <c r="I43" s="58" t="inlineStr">
        <is>
          <t>100%</t>
        </is>
      </c>
      <c r="J43" s="58" t="inlineStr">
        <is>
          <t>PP-C-IC</t>
        </is>
      </c>
    </row>
    <row r="44" ht="15" customHeight="1">
      <c r="A44" s="57" t="inlineStr">
        <is>
          <t>Product &amp; programme</t>
        </is>
      </c>
      <c r="B44" s="57" t="inlineStr">
        <is>
          <t>Band C · Head / manager</t>
        </is>
      </c>
      <c r="C44" s="58" t="inlineStr">
        <is>
          <t>38%</t>
        </is>
      </c>
      <c r="D44" s="58" t="inlineStr">
        <is>
          <t>23%</t>
        </is>
      </c>
      <c r="E44" s="58" t="inlineStr">
        <is>
          <t>11%</t>
        </is>
      </c>
      <c r="F44" s="58" t="inlineStr">
        <is>
          <t>15%</t>
        </is>
      </c>
      <c r="G44" s="58" t="inlineStr">
        <is>
          <t>5%</t>
        </is>
      </c>
      <c r="H44" s="58" t="inlineStr">
        <is>
          <t>8%</t>
        </is>
      </c>
      <c r="I44" s="58" t="inlineStr">
        <is>
          <t>100%</t>
        </is>
      </c>
      <c r="J44" s="58" t="inlineStr">
        <is>
          <t>PP-C-M</t>
        </is>
      </c>
    </row>
    <row r="45" ht="15" customHeight="1">
      <c r="A45" s="57" t="inlineStr">
        <is>
          <t>Product &amp; programme</t>
        </is>
      </c>
      <c r="B45" s="57" t="inlineStr">
        <is>
          <t>Bands D–E</t>
        </is>
      </c>
      <c r="C45" s="58" t="inlineStr">
        <is>
          <t>37%</t>
        </is>
      </c>
      <c r="D45" s="58" t="inlineStr">
        <is>
          <t>19%</t>
        </is>
      </c>
      <c r="E45" s="58" t="inlineStr">
        <is>
          <t>11%</t>
        </is>
      </c>
      <c r="F45" s="58" t="inlineStr">
        <is>
          <t>20%</t>
        </is>
      </c>
      <c r="G45" s="58" t="inlineStr">
        <is>
          <t>5%</t>
        </is>
      </c>
      <c r="H45" s="58" t="inlineStr">
        <is>
          <t>8%</t>
        </is>
      </c>
      <c r="I45" s="58" t="inlineStr">
        <is>
          <t>100%</t>
        </is>
      </c>
      <c r="J45" s="58" t="inlineStr">
        <is>
          <t>PP-DE</t>
        </is>
      </c>
    </row>
    <row r="46" ht="28" customHeight="1">
      <c r="A46" s="57" t="inlineStr">
        <is>
          <t>Product &amp; programme</t>
        </is>
      </c>
      <c r="B46" s="57" t="inlineStr">
        <is>
          <t>Player-Coach B+ · between B and C</t>
        </is>
      </c>
      <c r="C46" s="58" t="inlineStr">
        <is>
          <t>39%</t>
        </is>
      </c>
      <c r="D46" s="58" t="inlineStr">
        <is>
          <t>23%</t>
        </is>
      </c>
      <c r="E46" s="58" t="inlineStr">
        <is>
          <t>10%</t>
        </is>
      </c>
      <c r="F46" s="58" t="inlineStr">
        <is>
          <t>10%</t>
        </is>
      </c>
      <c r="G46" s="58" t="inlineStr">
        <is>
          <t>10%</t>
        </is>
      </c>
      <c r="H46" s="58" t="inlineStr">
        <is>
          <t>8%</t>
        </is>
      </c>
      <c r="I46" s="58" t="inlineStr">
        <is>
          <t>100%</t>
        </is>
      </c>
      <c r="J46" s="58" t="inlineStr">
        <is>
          <t>PP-PC-B+</t>
        </is>
      </c>
    </row>
    <row r="47" ht="28" customHeight="1">
      <c r="A47" s="57" t="inlineStr">
        <is>
          <t>Product &amp; programme</t>
        </is>
      </c>
      <c r="B47" s="57" t="inlineStr">
        <is>
          <t>Player-Coach C+ · between C and D</t>
        </is>
      </c>
      <c r="C47" s="58" t="inlineStr">
        <is>
          <t>38%</t>
        </is>
      </c>
      <c r="D47" s="58" t="inlineStr">
        <is>
          <t>18%</t>
        </is>
      </c>
      <c r="E47" s="58" t="inlineStr">
        <is>
          <t>11%</t>
        </is>
      </c>
      <c r="F47" s="58" t="inlineStr">
        <is>
          <t>20%</t>
        </is>
      </c>
      <c r="G47" s="58" t="inlineStr">
        <is>
          <t>5%</t>
        </is>
      </c>
      <c r="H47" s="58" t="inlineStr">
        <is>
          <t>8%</t>
        </is>
      </c>
      <c r="I47" s="58" t="inlineStr">
        <is>
          <t>100%</t>
        </is>
      </c>
      <c r="J47" s="58" t="inlineStr">
        <is>
          <t>PP-PC-C+</t>
        </is>
      </c>
    </row>
    <row r="48" ht="28" customHeight="1">
      <c r="A48" s="9" t="inlineStr">
        <is>
          <t>Regulatory &amp; domain consulting</t>
        </is>
      </c>
      <c r="B48" s="9" t="inlineStr">
        <is>
          <t>Band A</t>
        </is>
      </c>
      <c r="C48" s="8" t="inlineStr">
        <is>
          <t>59%</t>
        </is>
      </c>
      <c r="D48" s="8" t="inlineStr">
        <is>
          <t>16%</t>
        </is>
      </c>
      <c r="E48" s="8" t="inlineStr">
        <is>
          <t>9%</t>
        </is>
      </c>
      <c r="F48" s="8" t="inlineStr">
        <is>
          <t>0%</t>
        </is>
      </c>
      <c r="G48" s="8" t="inlineStr">
        <is>
          <t>10%</t>
        </is>
      </c>
      <c r="H48" s="8" t="inlineStr">
        <is>
          <t>6%</t>
        </is>
      </c>
      <c r="I48" s="8" t="inlineStr">
        <is>
          <t>100%</t>
        </is>
      </c>
      <c r="J48" s="8" t="inlineStr">
        <is>
          <t>RC-A</t>
        </is>
      </c>
    </row>
    <row r="49" ht="28" customHeight="1">
      <c r="A49" s="9" t="inlineStr">
        <is>
          <t>Regulatory &amp; domain consulting</t>
        </is>
      </c>
      <c r="B49" s="9" t="inlineStr">
        <is>
          <t>Band B · IC / POD Lead</t>
        </is>
      </c>
      <c r="C49" s="8" t="inlineStr">
        <is>
          <t>51%</t>
        </is>
      </c>
      <c r="D49" s="8" t="inlineStr">
        <is>
          <t>17%</t>
        </is>
      </c>
      <c r="E49" s="8" t="inlineStr">
        <is>
          <t>10%</t>
        </is>
      </c>
      <c r="F49" s="8" t="inlineStr">
        <is>
          <t>5%</t>
        </is>
      </c>
      <c r="G49" s="8" t="inlineStr">
        <is>
          <t>10%</t>
        </is>
      </c>
      <c r="H49" s="8" t="inlineStr">
        <is>
          <t>7%</t>
        </is>
      </c>
      <c r="I49" s="8" t="inlineStr">
        <is>
          <t>100%</t>
        </is>
      </c>
      <c r="J49" s="8" t="inlineStr">
        <is>
          <t>RC-B-IC</t>
        </is>
      </c>
    </row>
    <row r="50" ht="28" customHeight="1">
      <c r="A50" s="9" t="inlineStr">
        <is>
          <t>Regulatory &amp; domain consulting</t>
        </is>
      </c>
      <c r="B50" s="9" t="inlineStr">
        <is>
          <t>Band B · People Manager</t>
        </is>
      </c>
      <c r="C50" s="8" t="inlineStr">
        <is>
          <t>37%</t>
        </is>
      </c>
      <c r="D50" s="8" t="inlineStr">
        <is>
          <t>18%</t>
        </is>
      </c>
      <c r="E50" s="8" t="inlineStr">
        <is>
          <t>11%</t>
        </is>
      </c>
      <c r="F50" s="8" t="inlineStr">
        <is>
          <t>15%</t>
        </is>
      </c>
      <c r="G50" s="8" t="inlineStr">
        <is>
          <t>10%</t>
        </is>
      </c>
      <c r="H50" s="8" t="inlineStr">
        <is>
          <t>9%</t>
        </is>
      </c>
      <c r="I50" s="8" t="inlineStr">
        <is>
          <t>100%</t>
        </is>
      </c>
      <c r="J50" s="8" t="inlineStr">
        <is>
          <t>RC-B-M</t>
        </is>
      </c>
    </row>
    <row r="51" ht="28" customHeight="1">
      <c r="A51" s="9" t="inlineStr">
        <is>
          <t>Regulatory &amp; domain consulting</t>
        </is>
      </c>
      <c r="B51" s="9" t="inlineStr">
        <is>
          <t>Band C · Principal specialist</t>
        </is>
      </c>
      <c r="C51" s="8" t="inlineStr">
        <is>
          <t>54%</t>
        </is>
      </c>
      <c r="D51" s="8" t="inlineStr">
        <is>
          <t>18%</t>
        </is>
      </c>
      <c r="E51" s="8" t="inlineStr">
        <is>
          <t>10%</t>
        </is>
      </c>
      <c r="F51" s="8" t="inlineStr">
        <is>
          <t>5%</t>
        </is>
      </c>
      <c r="G51" s="8" t="inlineStr">
        <is>
          <t>5%</t>
        </is>
      </c>
      <c r="H51" s="8" t="inlineStr">
        <is>
          <t>8%</t>
        </is>
      </c>
      <c r="I51" s="8" t="inlineStr">
        <is>
          <t>100%</t>
        </is>
      </c>
      <c r="J51" s="8" t="inlineStr">
        <is>
          <t>RC-C-IC</t>
        </is>
      </c>
    </row>
    <row r="52" ht="28" customHeight="1">
      <c r="A52" s="9" t="inlineStr">
        <is>
          <t>Regulatory &amp; domain consulting</t>
        </is>
      </c>
      <c r="B52" s="9" t="inlineStr">
        <is>
          <t>Band C · Head / manager</t>
        </is>
      </c>
      <c r="C52" s="8" t="inlineStr">
        <is>
          <t>43%</t>
        </is>
      </c>
      <c r="D52" s="8" t="inlineStr">
        <is>
          <t>18%</t>
        </is>
      </c>
      <c r="E52" s="8" t="inlineStr">
        <is>
          <t>11%</t>
        </is>
      </c>
      <c r="F52" s="8" t="inlineStr">
        <is>
          <t>15%</t>
        </is>
      </c>
      <c r="G52" s="8" t="inlineStr">
        <is>
          <t>5%</t>
        </is>
      </c>
      <c r="H52" s="8" t="inlineStr">
        <is>
          <t>8%</t>
        </is>
      </c>
      <c r="I52" s="8" t="inlineStr">
        <is>
          <t>100%</t>
        </is>
      </c>
      <c r="J52" s="8" t="inlineStr">
        <is>
          <t>RC-C-M</t>
        </is>
      </c>
    </row>
    <row r="53" ht="28" customHeight="1">
      <c r="A53" s="9" t="inlineStr">
        <is>
          <t>Regulatory &amp; domain consulting</t>
        </is>
      </c>
      <c r="B53" s="9" t="inlineStr">
        <is>
          <t>Bands D–E</t>
        </is>
      </c>
      <c r="C53" s="8" t="inlineStr">
        <is>
          <t>37%</t>
        </is>
      </c>
      <c r="D53" s="8" t="inlineStr">
        <is>
          <t>19%</t>
        </is>
      </c>
      <c r="E53" s="8" t="inlineStr">
        <is>
          <t>11%</t>
        </is>
      </c>
      <c r="F53" s="8" t="inlineStr">
        <is>
          <t>20%</t>
        </is>
      </c>
      <c r="G53" s="8" t="inlineStr">
        <is>
          <t>5%</t>
        </is>
      </c>
      <c r="H53" s="8" t="inlineStr">
        <is>
          <t>8%</t>
        </is>
      </c>
      <c r="I53" s="8" t="inlineStr">
        <is>
          <t>100%</t>
        </is>
      </c>
      <c r="J53" s="8" t="inlineStr">
        <is>
          <t>RC-DE</t>
        </is>
      </c>
    </row>
    <row r="54" ht="28" customHeight="1">
      <c r="A54" s="9" t="inlineStr">
        <is>
          <t>Regulatory &amp; domain consulting</t>
        </is>
      </c>
      <c r="B54" s="9" t="inlineStr">
        <is>
          <t>Player-Coach B+ · between B and C</t>
        </is>
      </c>
      <c r="C54" s="8" t="inlineStr">
        <is>
          <t>44%</t>
        </is>
      </c>
      <c r="D54" s="8" t="inlineStr">
        <is>
          <t>18%</t>
        </is>
      </c>
      <c r="E54" s="8" t="inlineStr">
        <is>
          <t>10%</t>
        </is>
      </c>
      <c r="F54" s="8" t="inlineStr">
        <is>
          <t>10%</t>
        </is>
      </c>
      <c r="G54" s="8" t="inlineStr">
        <is>
          <t>10%</t>
        </is>
      </c>
      <c r="H54" s="8" t="inlineStr">
        <is>
          <t>8%</t>
        </is>
      </c>
      <c r="I54" s="8" t="inlineStr">
        <is>
          <t>100%</t>
        </is>
      </c>
      <c r="J54" s="8" t="inlineStr">
        <is>
          <t>RC-PC-B+</t>
        </is>
      </c>
    </row>
    <row r="55" ht="28" customHeight="1">
      <c r="A55" s="9" t="inlineStr">
        <is>
          <t>Regulatory &amp; domain consulting</t>
        </is>
      </c>
      <c r="B55" s="9" t="inlineStr">
        <is>
          <t>Player-Coach C+ · between C and D</t>
        </is>
      </c>
      <c r="C55" s="8" t="inlineStr">
        <is>
          <t>38%</t>
        </is>
      </c>
      <c r="D55" s="8" t="inlineStr">
        <is>
          <t>18%</t>
        </is>
      </c>
      <c r="E55" s="8" t="inlineStr">
        <is>
          <t>11%</t>
        </is>
      </c>
      <c r="F55" s="8" t="inlineStr">
        <is>
          <t>20%</t>
        </is>
      </c>
      <c r="G55" s="8" t="inlineStr">
        <is>
          <t>5%</t>
        </is>
      </c>
      <c r="H55" s="8" t="inlineStr">
        <is>
          <t>8%</t>
        </is>
      </c>
      <c r="I55" s="8" t="inlineStr">
        <is>
          <t>100%</t>
        </is>
      </c>
      <c r="J55" s="8" t="inlineStr">
        <is>
          <t>RC-PC-C+</t>
        </is>
      </c>
    </row>
    <row r="56" ht="28" customHeight="1">
      <c r="A56" s="57" t="inlineStr">
        <is>
          <t>Service delivery &amp; data operations</t>
        </is>
      </c>
      <c r="B56" s="57" t="inlineStr">
        <is>
          <t>Band A</t>
        </is>
      </c>
      <c r="C56" s="58" t="inlineStr">
        <is>
          <t>54%</t>
        </is>
      </c>
      <c r="D56" s="58" t="inlineStr">
        <is>
          <t>16%</t>
        </is>
      </c>
      <c r="E56" s="58" t="inlineStr">
        <is>
          <t>14%</t>
        </is>
      </c>
      <c r="F56" s="58" t="inlineStr">
        <is>
          <t>0%</t>
        </is>
      </c>
      <c r="G56" s="58" t="inlineStr">
        <is>
          <t>10%</t>
        </is>
      </c>
      <c r="H56" s="58" t="inlineStr">
        <is>
          <t>6%</t>
        </is>
      </c>
      <c r="I56" s="58" t="inlineStr">
        <is>
          <t>100%</t>
        </is>
      </c>
      <c r="J56" s="58" t="inlineStr">
        <is>
          <t>SD-A</t>
        </is>
      </c>
    </row>
    <row r="57" ht="28" customHeight="1">
      <c r="A57" s="57" t="inlineStr">
        <is>
          <t>Service delivery &amp; data operations</t>
        </is>
      </c>
      <c r="B57" s="57" t="inlineStr">
        <is>
          <t>Band B · IC / POD Lead</t>
        </is>
      </c>
      <c r="C57" s="58" t="inlineStr">
        <is>
          <t>46%</t>
        </is>
      </c>
      <c r="D57" s="58" t="inlineStr">
        <is>
          <t>17%</t>
        </is>
      </c>
      <c r="E57" s="58" t="inlineStr">
        <is>
          <t>15%</t>
        </is>
      </c>
      <c r="F57" s="58" t="inlineStr">
        <is>
          <t>5%</t>
        </is>
      </c>
      <c r="G57" s="58" t="inlineStr">
        <is>
          <t>10%</t>
        </is>
      </c>
      <c r="H57" s="58" t="inlineStr">
        <is>
          <t>7%</t>
        </is>
      </c>
      <c r="I57" s="58" t="inlineStr">
        <is>
          <t>100%</t>
        </is>
      </c>
      <c r="J57" s="58" t="inlineStr">
        <is>
          <t>SD-B-IC</t>
        </is>
      </c>
    </row>
    <row r="58" ht="28" customHeight="1">
      <c r="A58" s="57" t="inlineStr">
        <is>
          <t>Service delivery &amp; data operations</t>
        </is>
      </c>
      <c r="B58" s="57" t="inlineStr">
        <is>
          <t>Band B · People Manager</t>
        </is>
      </c>
      <c r="C58" s="58" t="inlineStr">
        <is>
          <t>32%</t>
        </is>
      </c>
      <c r="D58" s="58" t="inlineStr">
        <is>
          <t>18%</t>
        </is>
      </c>
      <c r="E58" s="58" t="inlineStr">
        <is>
          <t>16%</t>
        </is>
      </c>
      <c r="F58" s="58" t="inlineStr">
        <is>
          <t>15%</t>
        </is>
      </c>
      <c r="G58" s="58" t="inlineStr">
        <is>
          <t>10%</t>
        </is>
      </c>
      <c r="H58" s="58" t="inlineStr">
        <is>
          <t>9%</t>
        </is>
      </c>
      <c r="I58" s="58" t="inlineStr">
        <is>
          <t>100%</t>
        </is>
      </c>
      <c r="J58" s="58" t="inlineStr">
        <is>
          <t>SD-B-M</t>
        </is>
      </c>
    </row>
    <row r="59" ht="28" customHeight="1">
      <c r="A59" s="57" t="inlineStr">
        <is>
          <t>Service delivery &amp; data operations</t>
        </is>
      </c>
      <c r="B59" s="57" t="inlineStr">
        <is>
          <t>Band C · Principal specialist</t>
        </is>
      </c>
      <c r="C59" s="58" t="inlineStr">
        <is>
          <t>49%</t>
        </is>
      </c>
      <c r="D59" s="58" t="inlineStr">
        <is>
          <t>18%</t>
        </is>
      </c>
      <c r="E59" s="58" t="inlineStr">
        <is>
          <t>15%</t>
        </is>
      </c>
      <c r="F59" s="58" t="inlineStr">
        <is>
          <t>5%</t>
        </is>
      </c>
      <c r="G59" s="58" t="inlineStr">
        <is>
          <t>5%</t>
        </is>
      </c>
      <c r="H59" s="58" t="inlineStr">
        <is>
          <t>8%</t>
        </is>
      </c>
      <c r="I59" s="58" t="inlineStr">
        <is>
          <t>100%</t>
        </is>
      </c>
      <c r="J59" s="58" t="inlineStr">
        <is>
          <t>SD-C-IC</t>
        </is>
      </c>
    </row>
    <row r="60" ht="28" customHeight="1">
      <c r="A60" s="57" t="inlineStr">
        <is>
          <t>Service delivery &amp; data operations</t>
        </is>
      </c>
      <c r="B60" s="57" t="inlineStr">
        <is>
          <t>Band C · Head / manager</t>
        </is>
      </c>
      <c r="C60" s="58" t="inlineStr">
        <is>
          <t>38%</t>
        </is>
      </c>
      <c r="D60" s="58" t="inlineStr">
        <is>
          <t>18%</t>
        </is>
      </c>
      <c r="E60" s="58" t="inlineStr">
        <is>
          <t>16%</t>
        </is>
      </c>
      <c r="F60" s="58" t="inlineStr">
        <is>
          <t>15%</t>
        </is>
      </c>
      <c r="G60" s="58" t="inlineStr">
        <is>
          <t>5%</t>
        </is>
      </c>
      <c r="H60" s="58" t="inlineStr">
        <is>
          <t>8%</t>
        </is>
      </c>
      <c r="I60" s="58" t="inlineStr">
        <is>
          <t>100%</t>
        </is>
      </c>
      <c r="J60" s="58" t="inlineStr">
        <is>
          <t>SD-C-M</t>
        </is>
      </c>
    </row>
    <row r="61" ht="28" customHeight="1">
      <c r="A61" s="57" t="inlineStr">
        <is>
          <t>Service delivery &amp; data operations</t>
        </is>
      </c>
      <c r="B61" s="57" t="inlineStr">
        <is>
          <t>Bands D–E</t>
        </is>
      </c>
      <c r="C61" s="58" t="inlineStr">
        <is>
          <t>37%</t>
        </is>
      </c>
      <c r="D61" s="58" t="inlineStr">
        <is>
          <t>19%</t>
        </is>
      </c>
      <c r="E61" s="58" t="inlineStr">
        <is>
          <t>11%</t>
        </is>
      </c>
      <c r="F61" s="58" t="inlineStr">
        <is>
          <t>20%</t>
        </is>
      </c>
      <c r="G61" s="58" t="inlineStr">
        <is>
          <t>5%</t>
        </is>
      </c>
      <c r="H61" s="58" t="inlineStr">
        <is>
          <t>8%</t>
        </is>
      </c>
      <c r="I61" s="58" t="inlineStr">
        <is>
          <t>100%</t>
        </is>
      </c>
      <c r="J61" s="58" t="inlineStr">
        <is>
          <t>SD-DE</t>
        </is>
      </c>
    </row>
    <row r="62" ht="28" customHeight="1">
      <c r="A62" s="57" t="inlineStr">
        <is>
          <t>Service delivery &amp; data operations</t>
        </is>
      </c>
      <c r="B62" s="57" t="inlineStr">
        <is>
          <t>Player-Coach B+ · between B and C</t>
        </is>
      </c>
      <c r="C62" s="58" t="inlineStr">
        <is>
          <t>39%</t>
        </is>
      </c>
      <c r="D62" s="58" t="inlineStr">
        <is>
          <t>18%</t>
        </is>
      </c>
      <c r="E62" s="58" t="inlineStr">
        <is>
          <t>15%</t>
        </is>
      </c>
      <c r="F62" s="58" t="inlineStr">
        <is>
          <t>10%</t>
        </is>
      </c>
      <c r="G62" s="58" t="inlineStr">
        <is>
          <t>10%</t>
        </is>
      </c>
      <c r="H62" s="58" t="inlineStr">
        <is>
          <t>8%</t>
        </is>
      </c>
      <c r="I62" s="58" t="inlineStr">
        <is>
          <t>100%</t>
        </is>
      </c>
      <c r="J62" s="58" t="inlineStr">
        <is>
          <t>SD-PC-B+</t>
        </is>
      </c>
    </row>
    <row r="63" ht="28" customHeight="1">
      <c r="A63" s="57" t="inlineStr">
        <is>
          <t>Service delivery &amp; data operations</t>
        </is>
      </c>
      <c r="B63" s="57" t="inlineStr">
        <is>
          <t>Player-Coach C+ · between C and D</t>
        </is>
      </c>
      <c r="C63" s="58" t="inlineStr">
        <is>
          <t>38%</t>
        </is>
      </c>
      <c r="D63" s="58" t="inlineStr">
        <is>
          <t>18%</t>
        </is>
      </c>
      <c r="E63" s="58" t="inlineStr">
        <is>
          <t>11%</t>
        </is>
      </c>
      <c r="F63" s="58" t="inlineStr">
        <is>
          <t>20%</t>
        </is>
      </c>
      <c r="G63" s="58" t="inlineStr">
        <is>
          <t>5%</t>
        </is>
      </c>
      <c r="H63" s="58" t="inlineStr">
        <is>
          <t>8%</t>
        </is>
      </c>
      <c r="I63" s="58" t="inlineStr">
        <is>
          <t>100%</t>
        </is>
      </c>
      <c r="J63" s="58" t="inlineStr">
        <is>
          <t>SD-PC-C+</t>
        </is>
      </c>
    </row>
    <row r="64" ht="15" customHeight="1">
      <c r="A64" s="9" t="inlineStr">
        <is>
          <t>Customer support &amp; success</t>
        </is>
      </c>
      <c r="B64" s="9" t="inlineStr">
        <is>
          <t>Band A</t>
        </is>
      </c>
      <c r="C64" s="8" t="inlineStr">
        <is>
          <t>54%</t>
        </is>
      </c>
      <c r="D64" s="8" t="inlineStr">
        <is>
          <t>16%</t>
        </is>
      </c>
      <c r="E64" s="8" t="inlineStr">
        <is>
          <t>9%</t>
        </is>
      </c>
      <c r="F64" s="8" t="inlineStr">
        <is>
          <t>0%</t>
        </is>
      </c>
      <c r="G64" s="8" t="inlineStr">
        <is>
          <t>10%</t>
        </is>
      </c>
      <c r="H64" s="8" t="inlineStr">
        <is>
          <t>11%</t>
        </is>
      </c>
      <c r="I64" s="8" t="inlineStr">
        <is>
          <t>100%</t>
        </is>
      </c>
      <c r="J64" s="8" t="inlineStr">
        <is>
          <t>CS-A</t>
        </is>
      </c>
    </row>
    <row r="65" ht="15" customHeight="1">
      <c r="A65" s="9" t="inlineStr">
        <is>
          <t>Customer support &amp; success</t>
        </is>
      </c>
      <c r="B65" s="9" t="inlineStr">
        <is>
          <t>Band B · IC / POD Lead</t>
        </is>
      </c>
      <c r="C65" s="8" t="inlineStr">
        <is>
          <t>46%</t>
        </is>
      </c>
      <c r="D65" s="8" t="inlineStr">
        <is>
          <t>17%</t>
        </is>
      </c>
      <c r="E65" s="8" t="inlineStr">
        <is>
          <t>10%</t>
        </is>
      </c>
      <c r="F65" s="8" t="inlineStr">
        <is>
          <t>5%</t>
        </is>
      </c>
      <c r="G65" s="8" t="inlineStr">
        <is>
          <t>10%</t>
        </is>
      </c>
      <c r="H65" s="8" t="inlineStr">
        <is>
          <t>12%</t>
        </is>
      </c>
      <c r="I65" s="8" t="inlineStr">
        <is>
          <t>100%</t>
        </is>
      </c>
      <c r="J65" s="8" t="inlineStr">
        <is>
          <t>CS-B-IC</t>
        </is>
      </c>
    </row>
    <row r="66" ht="15" customHeight="1">
      <c r="A66" s="9" t="inlineStr">
        <is>
          <t>Customer support &amp; success</t>
        </is>
      </c>
      <c r="B66" s="9" t="inlineStr">
        <is>
          <t>Band B · People Manager</t>
        </is>
      </c>
      <c r="C66" s="8" t="inlineStr">
        <is>
          <t>32%</t>
        </is>
      </c>
      <c r="D66" s="8" t="inlineStr">
        <is>
          <t>18%</t>
        </is>
      </c>
      <c r="E66" s="8" t="inlineStr">
        <is>
          <t>11%</t>
        </is>
      </c>
      <c r="F66" s="8" t="inlineStr">
        <is>
          <t>15%</t>
        </is>
      </c>
      <c r="G66" s="8" t="inlineStr">
        <is>
          <t>10%</t>
        </is>
      </c>
      <c r="H66" s="8" t="inlineStr">
        <is>
          <t>14%</t>
        </is>
      </c>
      <c r="I66" s="8" t="inlineStr">
        <is>
          <t>100%</t>
        </is>
      </c>
      <c r="J66" s="8" t="inlineStr">
        <is>
          <t>CS-B-M</t>
        </is>
      </c>
    </row>
    <row r="67" ht="28" customHeight="1">
      <c r="A67" s="9" t="inlineStr">
        <is>
          <t>Customer support &amp; success</t>
        </is>
      </c>
      <c r="B67" s="9" t="inlineStr">
        <is>
          <t>Band C · Principal specialist</t>
        </is>
      </c>
      <c r="C67" s="8" t="inlineStr">
        <is>
          <t>49%</t>
        </is>
      </c>
      <c r="D67" s="8" t="inlineStr">
        <is>
          <t>18%</t>
        </is>
      </c>
      <c r="E67" s="8" t="inlineStr">
        <is>
          <t>10%</t>
        </is>
      </c>
      <c r="F67" s="8" t="inlineStr">
        <is>
          <t>5%</t>
        </is>
      </c>
      <c r="G67" s="8" t="inlineStr">
        <is>
          <t>5%</t>
        </is>
      </c>
      <c r="H67" s="8" t="inlineStr">
        <is>
          <t>13%</t>
        </is>
      </c>
      <c r="I67" s="8" t="inlineStr">
        <is>
          <t>100%</t>
        </is>
      </c>
      <c r="J67" s="8" t="inlineStr">
        <is>
          <t>CS-C-IC</t>
        </is>
      </c>
    </row>
    <row r="68" ht="15" customHeight="1">
      <c r="A68" s="9" t="inlineStr">
        <is>
          <t>Customer support &amp; success</t>
        </is>
      </c>
      <c r="B68" s="9" t="inlineStr">
        <is>
          <t>Band C · Head / manager</t>
        </is>
      </c>
      <c r="C68" s="8" t="inlineStr">
        <is>
          <t>38%</t>
        </is>
      </c>
      <c r="D68" s="8" t="inlineStr">
        <is>
          <t>18%</t>
        </is>
      </c>
      <c r="E68" s="8" t="inlineStr">
        <is>
          <t>11%</t>
        </is>
      </c>
      <c r="F68" s="8" t="inlineStr">
        <is>
          <t>15%</t>
        </is>
      </c>
      <c r="G68" s="8" t="inlineStr">
        <is>
          <t>5%</t>
        </is>
      </c>
      <c r="H68" s="8" t="inlineStr">
        <is>
          <t>13%</t>
        </is>
      </c>
      <c r="I68" s="8" t="inlineStr">
        <is>
          <t>100%</t>
        </is>
      </c>
      <c r="J68" s="8" t="inlineStr">
        <is>
          <t>CS-C-M</t>
        </is>
      </c>
    </row>
    <row r="69" ht="15" customHeight="1">
      <c r="A69" s="9" t="inlineStr">
        <is>
          <t>Customer support &amp; success</t>
        </is>
      </c>
      <c r="B69" s="9" t="inlineStr">
        <is>
          <t>Bands D–E</t>
        </is>
      </c>
      <c r="C69" s="8" t="inlineStr">
        <is>
          <t>37%</t>
        </is>
      </c>
      <c r="D69" s="8" t="inlineStr">
        <is>
          <t>19%</t>
        </is>
      </c>
      <c r="E69" s="8" t="inlineStr">
        <is>
          <t>11%</t>
        </is>
      </c>
      <c r="F69" s="8" t="inlineStr">
        <is>
          <t>20%</t>
        </is>
      </c>
      <c r="G69" s="8" t="inlineStr">
        <is>
          <t>5%</t>
        </is>
      </c>
      <c r="H69" s="8" t="inlineStr">
        <is>
          <t>8%</t>
        </is>
      </c>
      <c r="I69" s="8" t="inlineStr">
        <is>
          <t>100%</t>
        </is>
      </c>
      <c r="J69" s="8" t="inlineStr">
        <is>
          <t>CS-DE</t>
        </is>
      </c>
    </row>
    <row r="70" ht="28" customHeight="1">
      <c r="A70" s="9" t="inlineStr">
        <is>
          <t>Customer support &amp; success</t>
        </is>
      </c>
      <c r="B70" s="9" t="inlineStr">
        <is>
          <t>Player-Coach B+ · between B and C</t>
        </is>
      </c>
      <c r="C70" s="8" t="inlineStr">
        <is>
          <t>39%</t>
        </is>
      </c>
      <c r="D70" s="8" t="inlineStr">
        <is>
          <t>18%</t>
        </is>
      </c>
      <c r="E70" s="8" t="inlineStr">
        <is>
          <t>10%</t>
        </is>
      </c>
      <c r="F70" s="8" t="inlineStr">
        <is>
          <t>10%</t>
        </is>
      </c>
      <c r="G70" s="8" t="inlineStr">
        <is>
          <t>10%</t>
        </is>
      </c>
      <c r="H70" s="8" t="inlineStr">
        <is>
          <t>13%</t>
        </is>
      </c>
      <c r="I70" s="8" t="inlineStr">
        <is>
          <t>100%</t>
        </is>
      </c>
      <c r="J70" s="8" t="inlineStr">
        <is>
          <t>CS-PC-B+</t>
        </is>
      </c>
    </row>
    <row r="71" ht="28" customHeight="1">
      <c r="A71" s="9" t="inlineStr">
        <is>
          <t>Customer support &amp; success</t>
        </is>
      </c>
      <c r="B71" s="9" t="inlineStr">
        <is>
          <t>Player-Coach C+ · between C and D</t>
        </is>
      </c>
      <c r="C71" s="8" t="inlineStr">
        <is>
          <t>38%</t>
        </is>
      </c>
      <c r="D71" s="8" t="inlineStr">
        <is>
          <t>18%</t>
        </is>
      </c>
      <c r="E71" s="8" t="inlineStr">
        <is>
          <t>11%</t>
        </is>
      </c>
      <c r="F71" s="8" t="inlineStr">
        <is>
          <t>20%</t>
        </is>
      </c>
      <c r="G71" s="8" t="inlineStr">
        <is>
          <t>5%</t>
        </is>
      </c>
      <c r="H71" s="8" t="inlineStr">
        <is>
          <t>8%</t>
        </is>
      </c>
      <c r="I71" s="8" t="inlineStr">
        <is>
          <t>100%</t>
        </is>
      </c>
      <c r="J71" s="8" t="inlineStr">
        <is>
          <t>CS-PC-C+</t>
        </is>
      </c>
    </row>
    <row r="72" ht="15" customHeight="1">
      <c r="A72" s="57" t="inlineStr">
        <is>
          <t>Sales &amp; marketing</t>
        </is>
      </c>
      <c r="B72" s="57" t="inlineStr">
        <is>
          <t>Band A</t>
        </is>
      </c>
      <c r="C72" s="58" t="inlineStr">
        <is>
          <t>54%</t>
        </is>
      </c>
      <c r="D72" s="58" t="inlineStr">
        <is>
          <t>21%</t>
        </is>
      </c>
      <c r="E72" s="58" t="inlineStr">
        <is>
          <t>4%</t>
        </is>
      </c>
      <c r="F72" s="58" t="inlineStr">
        <is>
          <t>0%</t>
        </is>
      </c>
      <c r="G72" s="58" t="inlineStr">
        <is>
          <t>10%</t>
        </is>
      </c>
      <c r="H72" s="58" t="inlineStr">
        <is>
          <t>11%</t>
        </is>
      </c>
      <c r="I72" s="58" t="inlineStr">
        <is>
          <t>100%</t>
        </is>
      </c>
      <c r="J72" s="58" t="inlineStr">
        <is>
          <t>SM-A</t>
        </is>
      </c>
    </row>
    <row r="73" ht="15" customHeight="1">
      <c r="A73" s="57" t="inlineStr">
        <is>
          <t>Sales &amp; marketing</t>
        </is>
      </c>
      <c r="B73" s="57" t="inlineStr">
        <is>
          <t>Band B · IC / POD Lead</t>
        </is>
      </c>
      <c r="C73" s="58" t="inlineStr">
        <is>
          <t>46%</t>
        </is>
      </c>
      <c r="D73" s="58" t="inlineStr">
        <is>
          <t>22%</t>
        </is>
      </c>
      <c r="E73" s="58" t="inlineStr">
        <is>
          <t>5%</t>
        </is>
      </c>
      <c r="F73" s="58" t="inlineStr">
        <is>
          <t>5%</t>
        </is>
      </c>
      <c r="G73" s="58" t="inlineStr">
        <is>
          <t>10%</t>
        </is>
      </c>
      <c r="H73" s="58" t="inlineStr">
        <is>
          <t>12%</t>
        </is>
      </c>
      <c r="I73" s="58" t="inlineStr">
        <is>
          <t>100%</t>
        </is>
      </c>
      <c r="J73" s="58" t="inlineStr">
        <is>
          <t>SM-B-IC</t>
        </is>
      </c>
    </row>
    <row r="74" ht="15" customHeight="1">
      <c r="A74" s="57" t="inlineStr">
        <is>
          <t>Sales &amp; marketing</t>
        </is>
      </c>
      <c r="B74" s="57" t="inlineStr">
        <is>
          <t>Band B · People Manager</t>
        </is>
      </c>
      <c r="C74" s="58" t="inlineStr">
        <is>
          <t>32%</t>
        </is>
      </c>
      <c r="D74" s="58" t="inlineStr">
        <is>
          <t>23%</t>
        </is>
      </c>
      <c r="E74" s="58" t="inlineStr">
        <is>
          <t>6%</t>
        </is>
      </c>
      <c r="F74" s="58" t="inlineStr">
        <is>
          <t>15%</t>
        </is>
      </c>
      <c r="G74" s="58" t="inlineStr">
        <is>
          <t>10%</t>
        </is>
      </c>
      <c r="H74" s="58" t="inlineStr">
        <is>
          <t>14%</t>
        </is>
      </c>
      <c r="I74" s="58" t="inlineStr">
        <is>
          <t>100%</t>
        </is>
      </c>
      <c r="J74" s="58" t="inlineStr">
        <is>
          <t>SM-B-M</t>
        </is>
      </c>
    </row>
    <row r="75" ht="28" customHeight="1">
      <c r="A75" s="57" t="inlineStr">
        <is>
          <t>Sales &amp; marketing</t>
        </is>
      </c>
      <c r="B75" s="57" t="inlineStr">
        <is>
          <t>Band C · Principal specialist</t>
        </is>
      </c>
      <c r="C75" s="58" t="inlineStr">
        <is>
          <t>49%</t>
        </is>
      </c>
      <c r="D75" s="58" t="inlineStr">
        <is>
          <t>23%</t>
        </is>
      </c>
      <c r="E75" s="58" t="inlineStr">
        <is>
          <t>5%</t>
        </is>
      </c>
      <c r="F75" s="58" t="inlineStr">
        <is>
          <t>5%</t>
        </is>
      </c>
      <c r="G75" s="58" t="inlineStr">
        <is>
          <t>5%</t>
        </is>
      </c>
      <c r="H75" s="58" t="inlineStr">
        <is>
          <t>13%</t>
        </is>
      </c>
      <c r="I75" s="58" t="inlineStr">
        <is>
          <t>100%</t>
        </is>
      </c>
      <c r="J75" s="58" t="inlineStr">
        <is>
          <t>SM-C-IC</t>
        </is>
      </c>
    </row>
    <row r="76" ht="15" customHeight="1">
      <c r="A76" s="57" t="inlineStr">
        <is>
          <t>Sales &amp; marketing</t>
        </is>
      </c>
      <c r="B76" s="57" t="inlineStr">
        <is>
          <t>Band C · Head / manager</t>
        </is>
      </c>
      <c r="C76" s="58" t="inlineStr">
        <is>
          <t>38%</t>
        </is>
      </c>
      <c r="D76" s="58" t="inlineStr">
        <is>
          <t>23%</t>
        </is>
      </c>
      <c r="E76" s="58" t="inlineStr">
        <is>
          <t>6%</t>
        </is>
      </c>
      <c r="F76" s="58" t="inlineStr">
        <is>
          <t>15%</t>
        </is>
      </c>
      <c r="G76" s="58" t="inlineStr">
        <is>
          <t>5%</t>
        </is>
      </c>
      <c r="H76" s="58" t="inlineStr">
        <is>
          <t>13%</t>
        </is>
      </c>
      <c r="I76" s="58" t="inlineStr">
        <is>
          <t>100%</t>
        </is>
      </c>
      <c r="J76" s="58" t="inlineStr">
        <is>
          <t>SM-C-M</t>
        </is>
      </c>
    </row>
    <row r="77" ht="15" customHeight="1">
      <c r="A77" s="57" t="inlineStr">
        <is>
          <t>Sales &amp; marketing</t>
        </is>
      </c>
      <c r="B77" s="57" t="inlineStr">
        <is>
          <t>Bands D–E</t>
        </is>
      </c>
      <c r="C77" s="58" t="inlineStr">
        <is>
          <t>37%</t>
        </is>
      </c>
      <c r="D77" s="58" t="inlineStr">
        <is>
          <t>19%</t>
        </is>
      </c>
      <c r="E77" s="58" t="inlineStr">
        <is>
          <t>11%</t>
        </is>
      </c>
      <c r="F77" s="58" t="inlineStr">
        <is>
          <t>20%</t>
        </is>
      </c>
      <c r="G77" s="58" t="inlineStr">
        <is>
          <t>5%</t>
        </is>
      </c>
      <c r="H77" s="58" t="inlineStr">
        <is>
          <t>8%</t>
        </is>
      </c>
      <c r="I77" s="58" t="inlineStr">
        <is>
          <t>100%</t>
        </is>
      </c>
      <c r="J77" s="58" t="inlineStr">
        <is>
          <t>SM-DE</t>
        </is>
      </c>
    </row>
    <row r="78" ht="28" customHeight="1">
      <c r="A78" s="57" t="inlineStr">
        <is>
          <t>Sales &amp; marketing</t>
        </is>
      </c>
      <c r="B78" s="57" t="inlineStr">
        <is>
          <t>Player-Coach B+ · between B and C</t>
        </is>
      </c>
      <c r="C78" s="58" t="inlineStr">
        <is>
          <t>39%</t>
        </is>
      </c>
      <c r="D78" s="58" t="inlineStr">
        <is>
          <t>23%</t>
        </is>
      </c>
      <c r="E78" s="58" t="inlineStr">
        <is>
          <t>5%</t>
        </is>
      </c>
      <c r="F78" s="58" t="inlineStr">
        <is>
          <t>10%</t>
        </is>
      </c>
      <c r="G78" s="58" t="inlineStr">
        <is>
          <t>10%</t>
        </is>
      </c>
      <c r="H78" s="58" t="inlineStr">
        <is>
          <t>13%</t>
        </is>
      </c>
      <c r="I78" s="58" t="inlineStr">
        <is>
          <t>100%</t>
        </is>
      </c>
      <c r="J78" s="58" t="inlineStr">
        <is>
          <t>SM-PC-B+</t>
        </is>
      </c>
    </row>
    <row r="79" ht="28" customHeight="1">
      <c r="A79" s="57" t="inlineStr">
        <is>
          <t>Sales &amp; marketing</t>
        </is>
      </c>
      <c r="B79" s="57" t="inlineStr">
        <is>
          <t>Player-Coach C+ · between C and D</t>
        </is>
      </c>
      <c r="C79" s="58" t="inlineStr">
        <is>
          <t>38%</t>
        </is>
      </c>
      <c r="D79" s="58" t="inlineStr">
        <is>
          <t>18%</t>
        </is>
      </c>
      <c r="E79" s="58" t="inlineStr">
        <is>
          <t>11%</t>
        </is>
      </c>
      <c r="F79" s="58" t="inlineStr">
        <is>
          <t>20%</t>
        </is>
      </c>
      <c r="G79" s="58" t="inlineStr">
        <is>
          <t>5%</t>
        </is>
      </c>
      <c r="H79" s="58" t="inlineStr">
        <is>
          <t>8%</t>
        </is>
      </c>
      <c r="I79" s="58" t="inlineStr">
        <is>
          <t>100%</t>
        </is>
      </c>
      <c r="J79" s="58" t="inlineStr">
        <is>
          <t>SM-PC-C+</t>
        </is>
      </c>
    </row>
    <row r="80" ht="15" customHeight="1">
      <c r="A80" s="9" t="inlineStr">
        <is>
          <t>Corporate functions</t>
        </is>
      </c>
      <c r="B80" s="9" t="inlineStr">
        <is>
          <t>Band A</t>
        </is>
      </c>
      <c r="C80" s="8" t="inlineStr">
        <is>
          <t>54%</t>
        </is>
      </c>
      <c r="D80" s="8" t="inlineStr">
        <is>
          <t>16%</t>
        </is>
      </c>
      <c r="E80" s="8" t="inlineStr">
        <is>
          <t>9%</t>
        </is>
      </c>
      <c r="F80" s="8" t="inlineStr">
        <is>
          <t>0%</t>
        </is>
      </c>
      <c r="G80" s="8" t="inlineStr">
        <is>
          <t>15%</t>
        </is>
      </c>
      <c r="H80" s="8" t="inlineStr">
        <is>
          <t>6%</t>
        </is>
      </c>
      <c r="I80" s="8" t="inlineStr">
        <is>
          <t>100%</t>
        </is>
      </c>
      <c r="J80" s="8" t="inlineStr">
        <is>
          <t>CF-A</t>
        </is>
      </c>
    </row>
    <row r="81" ht="15" customHeight="1">
      <c r="A81" s="9" t="inlineStr">
        <is>
          <t>Corporate functions</t>
        </is>
      </c>
      <c r="B81" s="9" t="inlineStr">
        <is>
          <t>Band B · IC / POD Lead</t>
        </is>
      </c>
      <c r="C81" s="8" t="inlineStr">
        <is>
          <t>46%</t>
        </is>
      </c>
      <c r="D81" s="8" t="inlineStr">
        <is>
          <t>17%</t>
        </is>
      </c>
      <c r="E81" s="8" t="inlineStr">
        <is>
          <t>10%</t>
        </is>
      </c>
      <c r="F81" s="8" t="inlineStr">
        <is>
          <t>5%</t>
        </is>
      </c>
      <c r="G81" s="8" t="inlineStr">
        <is>
          <t>15%</t>
        </is>
      </c>
      <c r="H81" s="8" t="inlineStr">
        <is>
          <t>7%</t>
        </is>
      </c>
      <c r="I81" s="8" t="inlineStr">
        <is>
          <t>100%</t>
        </is>
      </c>
      <c r="J81" s="8" t="inlineStr">
        <is>
          <t>CF-B-IC</t>
        </is>
      </c>
    </row>
    <row r="82" ht="15" customHeight="1">
      <c r="A82" s="9" t="inlineStr">
        <is>
          <t>Corporate functions</t>
        </is>
      </c>
      <c r="B82" s="9" t="inlineStr">
        <is>
          <t>Band B · People Manager</t>
        </is>
      </c>
      <c r="C82" s="8" t="inlineStr">
        <is>
          <t>32%</t>
        </is>
      </c>
      <c r="D82" s="8" t="inlineStr">
        <is>
          <t>18%</t>
        </is>
      </c>
      <c r="E82" s="8" t="inlineStr">
        <is>
          <t>11%</t>
        </is>
      </c>
      <c r="F82" s="8" t="inlineStr">
        <is>
          <t>15%</t>
        </is>
      </c>
      <c r="G82" s="8" t="inlineStr">
        <is>
          <t>15%</t>
        </is>
      </c>
      <c r="H82" s="8" t="inlineStr">
        <is>
          <t>9%</t>
        </is>
      </c>
      <c r="I82" s="8" t="inlineStr">
        <is>
          <t>100%</t>
        </is>
      </c>
      <c r="J82" s="8" t="inlineStr">
        <is>
          <t>CF-B-M</t>
        </is>
      </c>
    </row>
    <row r="83" ht="28" customHeight="1">
      <c r="A83" s="9" t="inlineStr">
        <is>
          <t>Corporate functions</t>
        </is>
      </c>
      <c r="B83" s="9" t="inlineStr">
        <is>
          <t>Band C · Principal specialist</t>
        </is>
      </c>
      <c r="C83" s="8" t="inlineStr">
        <is>
          <t>49%</t>
        </is>
      </c>
      <c r="D83" s="8" t="inlineStr">
        <is>
          <t>18%</t>
        </is>
      </c>
      <c r="E83" s="8" t="inlineStr">
        <is>
          <t>10%</t>
        </is>
      </c>
      <c r="F83" s="8" t="inlineStr">
        <is>
          <t>5%</t>
        </is>
      </c>
      <c r="G83" s="8" t="inlineStr">
        <is>
          <t>10%</t>
        </is>
      </c>
      <c r="H83" s="8" t="inlineStr">
        <is>
          <t>8%</t>
        </is>
      </c>
      <c r="I83" s="8" t="inlineStr">
        <is>
          <t>100%</t>
        </is>
      </c>
      <c r="J83" s="8" t="inlineStr">
        <is>
          <t>CF-C-IC</t>
        </is>
      </c>
    </row>
    <row r="84" ht="15" customHeight="1">
      <c r="A84" s="9" t="inlineStr">
        <is>
          <t>Corporate functions</t>
        </is>
      </c>
      <c r="B84" s="9" t="inlineStr">
        <is>
          <t>Band C · Head / manager</t>
        </is>
      </c>
      <c r="C84" s="8" t="inlineStr">
        <is>
          <t>38%</t>
        </is>
      </c>
      <c r="D84" s="8" t="inlineStr">
        <is>
          <t>18%</t>
        </is>
      </c>
      <c r="E84" s="8" t="inlineStr">
        <is>
          <t>11%</t>
        </is>
      </c>
      <c r="F84" s="8" t="inlineStr">
        <is>
          <t>15%</t>
        </is>
      </c>
      <c r="G84" s="8" t="inlineStr">
        <is>
          <t>10%</t>
        </is>
      </c>
      <c r="H84" s="8" t="inlineStr">
        <is>
          <t>8%</t>
        </is>
      </c>
      <c r="I84" s="8" t="inlineStr">
        <is>
          <t>100%</t>
        </is>
      </c>
      <c r="J84" s="8" t="inlineStr">
        <is>
          <t>CF-C-M</t>
        </is>
      </c>
    </row>
    <row r="85" ht="15" customHeight="1">
      <c r="A85" s="9" t="inlineStr">
        <is>
          <t>Corporate functions</t>
        </is>
      </c>
      <c r="B85" s="9" t="inlineStr">
        <is>
          <t>Bands D–E</t>
        </is>
      </c>
      <c r="C85" s="8" t="inlineStr">
        <is>
          <t>37%</t>
        </is>
      </c>
      <c r="D85" s="8" t="inlineStr">
        <is>
          <t>19%</t>
        </is>
      </c>
      <c r="E85" s="8" t="inlineStr">
        <is>
          <t>11%</t>
        </is>
      </c>
      <c r="F85" s="8" t="inlineStr">
        <is>
          <t>20%</t>
        </is>
      </c>
      <c r="G85" s="8" t="inlineStr">
        <is>
          <t>5%</t>
        </is>
      </c>
      <c r="H85" s="8" t="inlineStr">
        <is>
          <t>8%</t>
        </is>
      </c>
      <c r="I85" s="8" t="inlineStr">
        <is>
          <t>100%</t>
        </is>
      </c>
      <c r="J85" s="8" t="inlineStr">
        <is>
          <t>CF-DE</t>
        </is>
      </c>
    </row>
    <row r="86" ht="28" customHeight="1">
      <c r="A86" s="9" t="inlineStr">
        <is>
          <t>Corporate functions</t>
        </is>
      </c>
      <c r="B86" s="9" t="inlineStr">
        <is>
          <t>Player-Coach B+ · between B and C</t>
        </is>
      </c>
      <c r="C86" s="8" t="inlineStr">
        <is>
          <t>39%</t>
        </is>
      </c>
      <c r="D86" s="8" t="inlineStr">
        <is>
          <t>18%</t>
        </is>
      </c>
      <c r="E86" s="8" t="inlineStr">
        <is>
          <t>10%</t>
        </is>
      </c>
      <c r="F86" s="8" t="inlineStr">
        <is>
          <t>10%</t>
        </is>
      </c>
      <c r="G86" s="8" t="inlineStr">
        <is>
          <t>15%</t>
        </is>
      </c>
      <c r="H86" s="8" t="inlineStr">
        <is>
          <t>8%</t>
        </is>
      </c>
      <c r="I86" s="8" t="inlineStr">
        <is>
          <t>100%</t>
        </is>
      </c>
      <c r="J86" s="8" t="inlineStr">
        <is>
          <t>CF-PC-B+</t>
        </is>
      </c>
    </row>
    <row r="87" ht="28" customHeight="1">
      <c r="A87" s="9" t="inlineStr">
        <is>
          <t>Corporate functions</t>
        </is>
      </c>
      <c r="B87" s="9" t="inlineStr">
        <is>
          <t>Player-Coach C+ · between C and D</t>
        </is>
      </c>
      <c r="C87" s="8" t="inlineStr">
        <is>
          <t>38%</t>
        </is>
      </c>
      <c r="D87" s="8" t="inlineStr">
        <is>
          <t>18%</t>
        </is>
      </c>
      <c r="E87" s="8" t="inlineStr">
        <is>
          <t>11%</t>
        </is>
      </c>
      <c r="F87" s="8" t="inlineStr">
        <is>
          <t>20%</t>
        </is>
      </c>
      <c r="G87" s="8" t="inlineStr">
        <is>
          <t>5%</t>
        </is>
      </c>
      <c r="H87" s="8" t="inlineStr">
        <is>
          <t>8%</t>
        </is>
      </c>
      <c r="I87" s="8" t="inlineStr">
        <is>
          <t>100%</t>
        </is>
      </c>
      <c r="J87" s="8" t="inlineStr">
        <is>
          <t>CF-PC-C+</t>
        </is>
      </c>
    </row>
    <row r="88" ht="15" customHeight="1">
      <c r="A88" s="57" t="inlineStr">
        <is>
          <t>General management</t>
        </is>
      </c>
      <c r="B88" s="57" t="inlineStr">
        <is>
          <t>Band A</t>
        </is>
      </c>
      <c r="C88" s="58" t="inlineStr">
        <is>
          <t>59%</t>
        </is>
      </c>
      <c r="D88" s="58" t="inlineStr">
        <is>
          <t>16%</t>
        </is>
      </c>
      <c r="E88" s="58" t="inlineStr">
        <is>
          <t>9%</t>
        </is>
      </c>
      <c r="F88" s="58" t="inlineStr">
        <is>
          <t>0%</t>
        </is>
      </c>
      <c r="G88" s="58" t="inlineStr">
        <is>
          <t>10%</t>
        </is>
      </c>
      <c r="H88" s="58" t="inlineStr">
        <is>
          <t>6%</t>
        </is>
      </c>
      <c r="I88" s="58" t="inlineStr">
        <is>
          <t>100%</t>
        </is>
      </c>
      <c r="J88" s="58" t="inlineStr">
        <is>
          <t>GM-A</t>
        </is>
      </c>
    </row>
    <row r="89" ht="15" customHeight="1">
      <c r="A89" s="57" t="inlineStr">
        <is>
          <t>General management</t>
        </is>
      </c>
      <c r="B89" s="57" t="inlineStr">
        <is>
          <t>Band B · IC / POD Lead</t>
        </is>
      </c>
      <c r="C89" s="58" t="inlineStr">
        <is>
          <t>51%</t>
        </is>
      </c>
      <c r="D89" s="58" t="inlineStr">
        <is>
          <t>17%</t>
        </is>
      </c>
      <c r="E89" s="58" t="inlineStr">
        <is>
          <t>10%</t>
        </is>
      </c>
      <c r="F89" s="58" t="inlineStr">
        <is>
          <t>5%</t>
        </is>
      </c>
      <c r="G89" s="58" t="inlineStr">
        <is>
          <t>10%</t>
        </is>
      </c>
      <c r="H89" s="58" t="inlineStr">
        <is>
          <t>7%</t>
        </is>
      </c>
      <c r="I89" s="58" t="inlineStr">
        <is>
          <t>100%</t>
        </is>
      </c>
      <c r="J89" s="58" t="inlineStr">
        <is>
          <t>GM-B-IC</t>
        </is>
      </c>
    </row>
    <row r="90" ht="15" customHeight="1">
      <c r="A90" s="57" t="inlineStr">
        <is>
          <t>General management</t>
        </is>
      </c>
      <c r="B90" s="57" t="inlineStr">
        <is>
          <t>Band B · People Manager</t>
        </is>
      </c>
      <c r="C90" s="58" t="inlineStr">
        <is>
          <t>37%</t>
        </is>
      </c>
      <c r="D90" s="58" t="inlineStr">
        <is>
          <t>18%</t>
        </is>
      </c>
      <c r="E90" s="58" t="inlineStr">
        <is>
          <t>11%</t>
        </is>
      </c>
      <c r="F90" s="58" t="inlineStr">
        <is>
          <t>15%</t>
        </is>
      </c>
      <c r="G90" s="58" t="inlineStr">
        <is>
          <t>10%</t>
        </is>
      </c>
      <c r="H90" s="58" t="inlineStr">
        <is>
          <t>9%</t>
        </is>
      </c>
      <c r="I90" s="58" t="inlineStr">
        <is>
          <t>100%</t>
        </is>
      </c>
      <c r="J90" s="58" t="inlineStr">
        <is>
          <t>GM-B-M</t>
        </is>
      </c>
    </row>
    <row r="91" ht="28" customHeight="1">
      <c r="A91" s="57" t="inlineStr">
        <is>
          <t>General management</t>
        </is>
      </c>
      <c r="B91" s="57" t="inlineStr">
        <is>
          <t>Band C · Principal specialist</t>
        </is>
      </c>
      <c r="C91" s="58" t="inlineStr">
        <is>
          <t>54%</t>
        </is>
      </c>
      <c r="D91" s="58" t="inlineStr">
        <is>
          <t>18%</t>
        </is>
      </c>
      <c r="E91" s="58" t="inlineStr">
        <is>
          <t>10%</t>
        </is>
      </c>
      <c r="F91" s="58" t="inlineStr">
        <is>
          <t>5%</t>
        </is>
      </c>
      <c r="G91" s="58" t="inlineStr">
        <is>
          <t>5%</t>
        </is>
      </c>
      <c r="H91" s="58" t="inlineStr">
        <is>
          <t>8%</t>
        </is>
      </c>
      <c r="I91" s="58" t="inlineStr">
        <is>
          <t>100%</t>
        </is>
      </c>
      <c r="J91" s="58" t="inlineStr">
        <is>
          <t>GM-C-IC</t>
        </is>
      </c>
    </row>
    <row r="92" ht="15" customHeight="1">
      <c r="A92" s="57" t="inlineStr">
        <is>
          <t>General management</t>
        </is>
      </c>
      <c r="B92" s="57" t="inlineStr">
        <is>
          <t>Band C · Head / manager</t>
        </is>
      </c>
      <c r="C92" s="58" t="inlineStr">
        <is>
          <t>43%</t>
        </is>
      </c>
      <c r="D92" s="58" t="inlineStr">
        <is>
          <t>18%</t>
        </is>
      </c>
      <c r="E92" s="58" t="inlineStr">
        <is>
          <t>11%</t>
        </is>
      </c>
      <c r="F92" s="58" t="inlineStr">
        <is>
          <t>15%</t>
        </is>
      </c>
      <c r="G92" s="58" t="inlineStr">
        <is>
          <t>5%</t>
        </is>
      </c>
      <c r="H92" s="58" t="inlineStr">
        <is>
          <t>8%</t>
        </is>
      </c>
      <c r="I92" s="58" t="inlineStr">
        <is>
          <t>100%</t>
        </is>
      </c>
      <c r="J92" s="58" t="inlineStr">
        <is>
          <t>GM-C-M</t>
        </is>
      </c>
    </row>
    <row r="93" ht="15" customHeight="1">
      <c r="A93" s="57" t="inlineStr">
        <is>
          <t>General management</t>
        </is>
      </c>
      <c r="B93" s="57" t="inlineStr">
        <is>
          <t>Bands D–E</t>
        </is>
      </c>
      <c r="C93" s="58" t="inlineStr">
        <is>
          <t>37%</t>
        </is>
      </c>
      <c r="D93" s="58" t="inlineStr">
        <is>
          <t>19%</t>
        </is>
      </c>
      <c r="E93" s="58" t="inlineStr">
        <is>
          <t>11%</t>
        </is>
      </c>
      <c r="F93" s="58" t="inlineStr">
        <is>
          <t>20%</t>
        </is>
      </c>
      <c r="G93" s="58" t="inlineStr">
        <is>
          <t>5%</t>
        </is>
      </c>
      <c r="H93" s="58" t="inlineStr">
        <is>
          <t>8%</t>
        </is>
      </c>
      <c r="I93" s="58" t="inlineStr">
        <is>
          <t>100%</t>
        </is>
      </c>
      <c r="J93" s="58" t="inlineStr">
        <is>
          <t>GM-DE</t>
        </is>
      </c>
    </row>
    <row r="94" ht="28" customHeight="1">
      <c r="A94" s="57" t="inlineStr">
        <is>
          <t>General management</t>
        </is>
      </c>
      <c r="B94" s="57" t="inlineStr">
        <is>
          <t>Player-Coach B+ · between B and C</t>
        </is>
      </c>
      <c r="C94" s="58" t="inlineStr">
        <is>
          <t>44%</t>
        </is>
      </c>
      <c r="D94" s="58" t="inlineStr">
        <is>
          <t>18%</t>
        </is>
      </c>
      <c r="E94" s="58" t="inlineStr">
        <is>
          <t>10%</t>
        </is>
      </c>
      <c r="F94" s="58" t="inlineStr">
        <is>
          <t>10%</t>
        </is>
      </c>
      <c r="G94" s="58" t="inlineStr">
        <is>
          <t>10%</t>
        </is>
      </c>
      <c r="H94" s="58" t="inlineStr">
        <is>
          <t>8%</t>
        </is>
      </c>
      <c r="I94" s="58" t="inlineStr">
        <is>
          <t>100%</t>
        </is>
      </c>
      <c r="J94" s="58" t="inlineStr">
        <is>
          <t>GM-PC-B+</t>
        </is>
      </c>
    </row>
    <row r="95" ht="28" customHeight="1">
      <c r="A95" s="57" t="inlineStr">
        <is>
          <t>General management</t>
        </is>
      </c>
      <c r="B95" s="57" t="inlineStr">
        <is>
          <t>Player-Coach C+ · between C and D</t>
        </is>
      </c>
      <c r="C95" s="58" t="inlineStr">
        <is>
          <t>38%</t>
        </is>
      </c>
      <c r="D95" s="58" t="inlineStr">
        <is>
          <t>18%</t>
        </is>
      </c>
      <c r="E95" s="58" t="inlineStr">
        <is>
          <t>11%</t>
        </is>
      </c>
      <c r="F95" s="58" t="inlineStr">
        <is>
          <t>20%</t>
        </is>
      </c>
      <c r="G95" s="58" t="inlineStr">
        <is>
          <t>5%</t>
        </is>
      </c>
      <c r="H95" s="58" t="inlineStr">
        <is>
          <t>8%</t>
        </is>
      </c>
      <c r="I95" s="58" t="inlineStr">
        <is>
          <t>100%</t>
        </is>
      </c>
      <c r="J95" s="58" t="inlineStr">
        <is>
          <t>GM-PC-C+</t>
        </is>
      </c>
    </row>
  </sheetData>
  <mergeCells count="9">
    <mergeCell ref="A1:J1"/>
    <mergeCell ref="A5:J5"/>
    <mergeCell ref="A17:J17"/>
    <mergeCell ref="A2:J2"/>
    <mergeCell ref="A3:J3"/>
    <mergeCell ref="A30:J30"/>
    <mergeCell ref="A29:J29"/>
    <mergeCell ref="A16:J16"/>
    <mergeCell ref="A28:J28"/>
  </mergeCells>
  <hyperlinks>
    <hyperlink xmlns:r="http://schemas.openxmlformats.org/officeDocument/2006/relationships" ref="K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worksheet>
</file>

<file path=xl/worksheets/sheet18.xml><?xml version="1.0" encoding="utf-8"?>
<worksheet xmlns="http://schemas.openxmlformats.org/spreadsheetml/2006/main">
  <sheetPr>
    <tabColor rgb="00843C0C"/>
    <outlinePr summaryBelow="1" summaryRight="1"/>
    <pageSetUpPr fitToPage="1"/>
  </sheetPr>
  <dimension ref="A1:F41"/>
  <sheetViews>
    <sheetView showGridLines="0" workbookViewId="0">
      <pane ySplit="4" topLeftCell="A5" activePane="bottomLeft" state="frozen"/>
      <selection pane="bottomLeft" activeCell="A1" sqref="A1"/>
    </sheetView>
  </sheetViews>
  <sheetFormatPr baseColWidth="8" defaultRowHeight="15"/>
  <cols>
    <col width="18" customWidth="1" min="1" max="1"/>
    <col width="34" customWidth="1" min="2" max="2"/>
    <col width="18" customWidth="1" min="3" max="3"/>
    <col width="46" customWidth="1" min="4" max="4"/>
    <col width="60" customWidth="1" min="5" max="5"/>
    <col width="13" customWidth="1" min="6" max="6"/>
  </cols>
  <sheetData>
    <row r="1" ht="34" customHeight="1">
      <c r="A1" s="1" t="inlineStr">
        <is>
          <t>8 · From score to level — the arithmetic and the ten rules</t>
        </is>
      </c>
      <c r="F1" s="99" t="inlineStr">
        <is>
          <t>◂ Contents</t>
        </is>
      </c>
    </row>
    <row r="2" ht="30" customHeight="1">
      <c r="A2" s="3" t="inlineStr">
        <is>
          <t>The weighted score points to a level. Ten rules, applied in order, then confirm that the role really carries that level: the work, the structure, the experience and the track.</t>
        </is>
      </c>
    </row>
    <row r="3">
      <c r="A3" s="4" t="inlineStr">
        <is>
          <t>IRIS · Job Architecture &amp; Job Design · Final v1.12 · October 2026 · Internal — Confidential</t>
        </is>
      </c>
    </row>
    <row r="4"/>
    <row r="5" ht="20" customHeight="1">
      <c r="A5" s="6" t="inlineStr">
        <is>
          <t>The arithmetic</t>
        </is>
      </c>
    </row>
    <row r="6" ht="15" customHeight="1">
      <c r="A6" s="7" t="inlineStr">
        <is>
          <t>Step</t>
        </is>
      </c>
      <c r="B6" s="7" t="inlineStr">
        <is>
          <t>How</t>
        </is>
      </c>
      <c r="C6" s="64" t="n"/>
      <c r="D6" s="64" t="n"/>
      <c r="E6" s="63" t="n"/>
    </row>
    <row r="7" ht="15" customHeight="1">
      <c r="A7" s="14" t="inlineStr">
        <is>
          <t>1 · Points</t>
        </is>
      </c>
      <c r="B7" s="9" t="inlineStr">
        <is>
          <t>Rating × weight, for each of the six factors</t>
        </is>
      </c>
      <c r="C7" s="64" t="n"/>
      <c r="D7" s="64" t="n"/>
      <c r="E7" s="63" t="n"/>
    </row>
    <row r="8" ht="15" customHeight="1">
      <c r="A8" s="14" t="inlineStr">
        <is>
          <t>2 · Score</t>
        </is>
      </c>
      <c r="B8" s="9" t="inlineStr">
        <is>
          <r>
            <rPr>
              <rFont val="Calibri"/>
              <b val="1"/>
              <sz val="10"/>
            </rPr>
            <t>The points added together:</t>
          </r>
          <r>
            <rPr>
              <rFont val="Calibri"/>
              <sz val="10"/>
            </rPr>
            <t xml:space="preserve"> the weighted score</t>
          </r>
        </is>
      </c>
      <c r="C8" s="64" t="n"/>
      <c r="D8" s="64" t="n"/>
      <c r="E8" s="63" t="n"/>
    </row>
    <row r="9" ht="15" customHeight="1">
      <c r="A9" s="14" t="inlineStr">
        <is>
          <t>3 · Nearest level</t>
        </is>
      </c>
      <c r="B9" s="9" t="inlineStr">
        <is>
          <t>The score rounded to the nearest whole number ·.5 rounds up is the level value: A1 = 1 … E2 = 12</t>
        </is>
      </c>
      <c r="C9" s="64" t="n"/>
      <c r="D9" s="64" t="n"/>
      <c r="E9" s="63" t="n"/>
    </row>
    <row r="10" ht="15" customHeight="1">
      <c r="A10" s="14" t="inlineStr">
        <is>
          <t>4 · Band check</t>
        </is>
      </c>
      <c r="B10" s="9" t="inlineStr">
        <is>
          <t>Each band is checked on its own weights; the person sits in the highest band where the score holds</t>
        </is>
      </c>
      <c r="C10" s="64" t="n"/>
      <c r="D10" s="64" t="n"/>
      <c r="E10" s="63" t="n"/>
    </row>
    <row r="11" ht="15" customHeight="1">
      <c r="A11" s="14" t="inlineStr">
        <is>
          <t>5 · Rules</t>
        </is>
      </c>
      <c r="B11" s="9" t="inlineStr">
        <is>
          <t>Rules R4–R10 confirm or adjust the level, in order · below</t>
        </is>
      </c>
      <c r="C11" s="64" t="n"/>
      <c r="D11" s="64" t="n"/>
      <c r="E11" s="63" t="n"/>
    </row>
    <row r="12" ht="15" customHeight="1"/>
    <row r="13" ht="20" customHeight="1">
      <c r="A13" s="6" t="inlineStr">
        <is>
          <t>The ten rules, in the order applied</t>
        </is>
      </c>
    </row>
    <row r="14" ht="15" customHeight="1">
      <c r="A14" s="7" t="inlineStr">
        <is>
          <t>Rule</t>
        </is>
      </c>
      <c r="B14" s="7" t="inlineStr">
        <is>
          <t>What it says</t>
        </is>
      </c>
      <c r="C14" s="64" t="n"/>
      <c r="D14" s="63" t="n"/>
      <c r="E14" s="7" t="inlineStr">
        <is>
          <t>People affected</t>
        </is>
      </c>
    </row>
    <row r="15" ht="28" customHeight="1">
      <c r="A15" s="17" t="inlineStr">
        <is>
          <t>R1</t>
        </is>
      </c>
      <c r="B15" s="9" t="inlineStr">
        <is>
          <r>
            <rPr>
              <rFont val="Calibri"/>
              <b val="1"/>
              <sz val="10"/>
            </rPr>
            <t>Category rule:</t>
          </r>
          <r>
            <rPr>
              <rFont val="Calibri"/>
              <sz val="10"/>
            </rPr>
            <t xml:space="preserve"> interns and trainees in their first year at IRIS → A1; consultants → X1–X3 · outside the ladder</t>
          </r>
        </is>
      </c>
      <c r="C15" s="64" t="n"/>
      <c r="D15" s="63" t="n"/>
      <c r="E15" s="8" t="n">
        <v>44</v>
      </c>
    </row>
    <row r="16" ht="15" customHeight="1">
      <c r="A16" s="17" t="inlineStr">
        <is>
          <t>R2</t>
        </is>
      </c>
      <c r="B16" s="9" t="inlineStr">
        <is>
          <r>
            <rPr>
              <rFont val="Calibri"/>
              <b val="1"/>
              <sz val="10"/>
            </rPr>
            <t>Provisional:</t>
          </r>
          <r>
            <rPr>
              <rFont val="Calibri"/>
              <sz val="10"/>
            </rPr>
            <t xml:space="preserve"> experience to be confirmed by HR — level kept until confirmed</t>
          </r>
        </is>
      </c>
      <c r="C16" s="64" t="n"/>
      <c r="D16" s="63" t="n"/>
      <c r="E16" s="8" t="n">
        <v>9</v>
      </c>
    </row>
    <row r="17" ht="28" customHeight="1">
      <c r="A17" s="17" t="inlineStr">
        <is>
          <t>R3</t>
        </is>
      </c>
      <c r="B17" s="9" t="inlineStr">
        <is>
          <t>Weighted score on each band's own weights; the person sits in the highest band where the score holds, rounded to the nearest level</t>
        </is>
      </c>
      <c r="C17" s="64" t="n"/>
      <c r="D17" s="63" t="n"/>
      <c r="E17" s="8" t="n">
        <v>540</v>
      </c>
    </row>
    <row r="18" ht="28" customHeight="1">
      <c r="A18" s="17" t="inlineStr">
        <is>
          <t>R4</t>
        </is>
      </c>
      <c r="B18" s="9" t="inlineStr">
        <is>
          <r>
            <rPr>
              <rFont val="Calibri"/>
              <b val="1"/>
              <sz val="10"/>
            </rPr>
            <t>Role-substance limit:</t>
          </r>
          <r>
            <rPr>
              <rFont val="Calibri"/>
              <sz val="10"/>
            </rPr>
            <t xml:space="preserve"> at most one level above what Complexity and Accountability show · this is the Band B gate at B1; people managers exempt — the reporting structure is the evidence</t>
          </r>
        </is>
      </c>
      <c r="C18" s="64" t="n"/>
      <c r="D18" s="63" t="n"/>
      <c r="E18" s="8" t="n">
        <v>6</v>
      </c>
    </row>
    <row r="19" ht="41" customHeight="1">
      <c r="A19" s="17" t="inlineStr">
        <is>
          <t>R5</t>
        </is>
      </c>
      <c r="B19" s="9" t="inlineStr">
        <is>
          <r>
            <rPr>
              <rFont val="Calibri"/>
              <b val="1"/>
              <sz val="10"/>
            </rPr>
            <t>Structural gate:</t>
          </r>
          <r>
            <rPr>
              <rFont val="Calibri"/>
              <sz val="10"/>
            </rPr>
            <t xml:space="preserve"> C1+ needs a function / sub-function or principal authority, C2 a function or company-wide discipline, D a business line, E an enterprise mandate, B3 on the manager track team leads or 10+ people — evidenced by the org chart</t>
          </r>
        </is>
      </c>
      <c r="C19" s="64" t="n"/>
      <c r="D19" s="63" t="n"/>
      <c r="E19" s="8" t="n">
        <v>8</v>
      </c>
    </row>
    <row r="20" ht="15" customHeight="1">
      <c r="A20" s="17" t="inlineStr">
        <is>
          <t>R6</t>
        </is>
      </c>
      <c r="B20" s="9" t="inlineStr">
        <is>
          <r>
            <rPr>
              <rFont val="Calibri"/>
              <b val="1"/>
              <sz val="10"/>
            </rPr>
            <t>Top of band:</t>
          </r>
          <r>
            <rPr>
              <rFont val="Calibri"/>
              <sz val="10"/>
            </rPr>
            <t xml:space="preserve"> the score passes the band but does not hold on the next band's weights</t>
          </r>
        </is>
      </c>
      <c r="C20" s="64" t="n"/>
      <c r="D20" s="63" t="n"/>
      <c r="E20" s="8" t="n">
        <v>21</v>
      </c>
    </row>
    <row r="21" ht="28" customHeight="1">
      <c r="A21" s="17" t="inlineStr">
        <is>
          <t>R7</t>
        </is>
      </c>
      <c r="B21" s="9" t="inlineStr">
        <is>
          <r>
            <rPr>
              <rFont val="Calibri"/>
              <b val="1"/>
              <sz val="10"/>
            </rPr>
            <t>Band A experience rule:</t>
          </r>
          <r>
            <rPr>
              <rFont val="Calibri"/>
              <sz val="10"/>
            </rPr>
            <t xml:space="preserve"> under 1 yr → A2 at most; 2+ yrs → A3 · still subject to R4; between 1 and 2 yrs the score decides</t>
          </r>
        </is>
      </c>
      <c r="C21" s="64" t="n"/>
      <c r="D21" s="63" t="n"/>
      <c r="E21" s="8" t="n">
        <v>97</v>
      </c>
    </row>
    <row r="22" ht="28" customHeight="1">
      <c r="A22" s="17" t="inlineStr">
        <is>
          <t>R8</t>
        </is>
      </c>
      <c r="B22" s="9" t="inlineStr">
        <is>
          <r>
            <rPr>
              <rFont val="Calibri"/>
              <b val="1"/>
              <sz val="10"/>
            </rPr>
            <t>Experience limit:</t>
          </r>
          <r>
            <rPr>
              <rFont val="Calibri"/>
              <sz val="10"/>
            </rPr>
            <t xml:space="preserve"> in Bands A–B at most one level above the experience-fit level · people managers exempt — structure is the proof</t>
          </r>
        </is>
      </c>
      <c r="C22" s="64" t="n"/>
      <c r="D22" s="63" t="n"/>
      <c r="E22" s="8" t="n">
        <v>0</v>
      </c>
    </row>
    <row r="23" ht="15" customHeight="1">
      <c r="A23" s="17" t="inlineStr">
        <is>
          <t>R9</t>
        </is>
      </c>
      <c r="B23" s="9" t="inlineStr">
        <is>
          <r>
            <rPr>
              <rFont val="Calibri"/>
              <b val="1"/>
              <sz val="10"/>
            </rPr>
            <t>Track minimum:</t>
          </r>
          <r>
            <rPr>
              <rFont val="Calibri"/>
              <sz val="10"/>
            </rPr>
            <t xml:space="preserve"> POD Leads and People Managers sit at B1 or above</t>
          </r>
        </is>
      </c>
      <c r="C23" s="64" t="n"/>
      <c r="D23" s="63" t="n"/>
      <c r="E23" s="8" t="n">
        <v>6</v>
      </c>
    </row>
    <row r="24" ht="80" customHeight="1">
      <c r="A24" s="17" t="inlineStr">
        <is>
          <t>R10</t>
        </is>
      </c>
      <c r="B24" s="9" t="inlineStr">
        <is>
          <r>
            <rPr>
              <rFont val="Calibri"/>
              <b val="1"/>
              <sz val="10"/>
            </rPr>
            <t>Player-Coach transition step:</t>
          </r>
          <r>
            <rPr>
              <rFont val="Calibri"/>
              <sz val="10"/>
            </rPr>
            <t xml:space="preserve"> at B3 or C2, a person who leads people while still delivering hands-on work moves to the Player-Coach transition step above · B+, between B3 and C1; C+, between C2 and D1 when the score on the Player-Coach weights reaches 6.25 for B+ / 8.25 for C+ and the Complexity–Accountability average reaches 5.5 / 7.5. A shortfall of up to 0.15 on either is accepted · tolerance, and a span outside the norm · B+ 3–6, C+ 4–8 direct reports is flagged, never blocking; both go to calibration. The next band's structural gate is not needed</t>
          </r>
        </is>
      </c>
      <c r="C24" s="64" t="n"/>
      <c r="D24" s="63" t="n"/>
      <c r="E24" s="8" t="n">
        <v>6</v>
      </c>
    </row>
    <row r="25" ht="28" customHeight="1">
      <c r="A25" s="17" t="inlineStr">
        <is>
          <t>R11</t>
        </is>
      </c>
      <c r="B25" s="9" t="inlineStr">
        <is>
          <r>
            <rPr>
              <rFont val="Calibri"/>
              <b val="1"/>
              <sz val="10"/>
            </rPr>
            <t>Leadership decision:</t>
          </r>
          <r>
            <rPr>
              <rFont val="Calibri"/>
              <sz val="10"/>
            </rPr>
            <t xml:space="preserve"> the level is set by the approved leadership structure · validated input in inputs/overrides.csv, field 'Approved level'</t>
          </r>
        </is>
      </c>
      <c r="C25" s="64" t="n"/>
      <c r="D25" s="63" t="n"/>
      <c r="E25" s="8" t="n">
        <v>5</v>
      </c>
    </row>
    <row r="26" ht="15" customHeight="1">
      <c r="A26" s="17" t="inlineStr">
        <is>
          <t>R12</t>
        </is>
      </c>
      <c r="B26" s="9" t="inlineStr">
        <is>
          <t>Reporting-line cap in Bands D–E: no one sits above their reporting manager's level</t>
        </is>
      </c>
      <c r="C26" s="64" t="n"/>
      <c r="D26" s="63" t="n"/>
      <c r="E26" s="8" t="n">
        <v>0</v>
      </c>
    </row>
    <row r="27" ht="15" customHeight="1">
      <c r="A27" s="17" t="inlineStr">
        <is>
          <t>R13</t>
        </is>
      </c>
      <c r="B27" s="9" t="inlineStr">
        <is>
          <r>
            <rPr>
              <rFont val="Calibri"/>
              <b val="1"/>
              <sz val="10"/>
            </rPr>
            <t>Reports to the top:</t>
          </r>
          <r>
            <rPr>
              <rFont val="Calibri"/>
              <sz val="10"/>
            </rPr>
            <t xml:space="preserve"> anyone in Band D who reports directly to an E1 or E2 sits at D2</t>
          </r>
        </is>
      </c>
      <c r="C27" s="64" t="n"/>
      <c r="D27" s="63" t="n"/>
      <c r="E27" s="8" t="n">
        <v>1</v>
      </c>
    </row>
    <row r="28" ht="15" customHeight="1"/>
    <row r="29" ht="20" customHeight="1">
      <c r="A29" s="6" t="inlineStr">
        <is>
          <t>Player-Coach transition steps — thresholds</t>
        </is>
      </c>
    </row>
    <row r="30" ht="28" customHeight="1">
      <c r="A30" s="7" t="inlineStr">
        <is>
          <t>Player-Coach transition step</t>
        </is>
      </c>
      <c r="B30" s="7" t="inlineStr">
        <is>
          <t>From level</t>
        </is>
      </c>
      <c r="C30" s="7" t="inlineStr">
        <is>
          <t>Weights</t>
        </is>
      </c>
      <c r="D30" s="7" t="inlineStr">
        <is>
          <t>Score needed</t>
        </is>
      </c>
      <c r="E30" s="7" t="inlineStr">
        <is>
          <t>Complexity–accountability average needed</t>
        </is>
      </c>
    </row>
    <row r="31" ht="28" customHeight="1">
      <c r="A31" s="17" t="inlineStr">
        <is>
          <t>B+ · Player-Coach, between B and C</t>
        </is>
      </c>
      <c r="B31" s="8" t="inlineStr">
        <is>
          <t>B3</t>
        </is>
      </c>
      <c r="C31" s="9" t="inlineStr">
        <is>
          <t>B+ Player-Coach transition step</t>
        </is>
      </c>
      <c r="D31" s="8" t="n">
        <v>6.25</v>
      </c>
      <c r="E31" s="8" t="n">
        <v>5.5</v>
      </c>
    </row>
    <row r="32" ht="28" customHeight="1">
      <c r="A32" s="17" t="inlineStr">
        <is>
          <t>C+ · Player-Coach, between C and D</t>
        </is>
      </c>
      <c r="B32" s="8" t="inlineStr">
        <is>
          <t>C2</t>
        </is>
      </c>
      <c r="C32" s="9" t="inlineStr">
        <is>
          <t>C+ Player-Coach transition step</t>
        </is>
      </c>
      <c r="D32" s="8" t="n">
        <v>8.25</v>
      </c>
      <c r="E32" s="8" t="n">
        <v>7.5</v>
      </c>
    </row>
    <row r="33" ht="15" customHeight="1"/>
    <row r="34" ht="15" customHeight="1">
      <c r="A34" s="12" t="inlineStr">
        <is>
          <t>A Player-Coach transition step also needs people reporting in · or the manager's player-coach flag and evidence of the person's own hands-on delivery.</t>
        </is>
      </c>
    </row>
    <row r="35" ht="20" customHeight="1">
      <c r="A35" s="6" t="inlineStr">
        <is>
          <t>Worked examples · illustrative numbers, not real people</t>
        </is>
      </c>
    </row>
    <row r="36" ht="28" customHeight="1">
      <c r="A36" s="7" t="inlineStr">
        <is>
          <t>Example</t>
        </is>
      </c>
      <c r="B36" s="7" t="inlineStr">
        <is>
          <t>Weight set</t>
        </is>
      </c>
      <c r="C36" s="7" t="inlineStr">
        <is>
          <t>Ratings C / A / Acc / L / E / BI</t>
        </is>
      </c>
      <c r="D36" s="7" t="inlineStr">
        <is>
          <t>Calculation</t>
        </is>
      </c>
      <c r="E36" s="7" t="inlineStr">
        <is>
          <t>What happens</t>
        </is>
      </c>
    </row>
    <row r="37" ht="28" customHeight="1">
      <c r="A37" s="14" t="inlineStr">
        <is>
          <t>1 · The score decides</t>
        </is>
      </c>
      <c r="B37" s="9" t="inlineStr">
        <is>
          <t>Technology — Band B, individual contributor</t>
        </is>
      </c>
      <c r="C37" s="9" t="inlineStr">
        <is>
          <t>5 / 4 / 5 / 3 / 5 / 5</t>
        </is>
      </c>
      <c r="D37" s="9" t="inlineStr">
        <is>
          <t>5×56% + 4×17% + 5×5% + 3×5% + 5×10% + 5×7% = 4.73 → nearest level B2</t>
        </is>
      </c>
      <c r="E37" s="9" t="inlineStr">
        <is>
          <t>The score holds on Band B weights and no rule applies → B2.</t>
        </is>
      </c>
    </row>
    <row r="38" ht="41" customHeight="1">
      <c r="A38" s="14" t="inlineStr">
        <is>
          <t>2 · Role substance</t>
        </is>
      </c>
      <c r="B38" s="9" t="inlineStr">
        <is>
          <t>Service delivery — Band A</t>
        </is>
      </c>
      <c r="C38" s="9" t="inlineStr">
        <is>
          <t>2.5 / 4.5 / 2.5 / 1 / 9.5 / 4.5</t>
        </is>
      </c>
      <c r="D38" s="9" t="inlineStr">
        <is>
          <t>2.5×54% + 4.5×16% + 2.5×14% + 1×0% + 9.5×10% + 4.5×6% = 3.64 → nearest level B1</t>
        </is>
      </c>
      <c r="E38" s="9" t="inlineStr">
        <is>
          <t>High autonomy, business impact and long experience lift the score to B1, but the work itself · complexity and accountability average 2.5 supports at most A3 → A3.</t>
        </is>
      </c>
    </row>
    <row r="39" ht="41" customHeight="1">
      <c r="A39" s="14" t="inlineStr">
        <is>
          <t>3 · Structural gate</t>
        </is>
      </c>
      <c r="B39" s="9" t="inlineStr">
        <is>
          <t>Service delivery — Band B, people manager</t>
        </is>
      </c>
      <c r="C39" s="9" t="inlineStr">
        <is>
          <t>5 / 5 / 6 / 6 / 9 / 6</t>
        </is>
      </c>
      <c r="D39" s="9" t="inlineStr">
        <is>
          <t>5×32% + 5×18% + 6×16% + 6×15% + 9×10% + 6×9% = 5.80 → nearest level B3</t>
        </is>
      </c>
      <c r="E39" s="9" t="inlineStr">
        <is>
          <t>The score points to B3, but a B3 manager needs team leads reporting in or 10+ people; without that in the org chart → B2.</t>
        </is>
      </c>
    </row>
    <row r="40" ht="41" customHeight="1">
      <c r="A40" s="14" t="inlineStr">
        <is>
          <t>4 · Top of band</t>
        </is>
      </c>
      <c r="B40" s="9" t="inlineStr">
        <is>
          <t>Service delivery — Band A</t>
        </is>
      </c>
      <c r="C40" s="9" t="inlineStr">
        <is>
          <t>3.5 / 3.5 / 3.5 / 1 / 4 / 3.5</t>
        </is>
      </c>
      <c r="D40" s="9" t="inlineStr">
        <is>
          <t>3.5×54% + 3.5×16% + 3.5×14% + 1×0% + 4×10% + 3.5×6% = 3.55 → nearest level B1</t>
        </is>
      </c>
      <c r="E40" s="9" t="inlineStr">
        <is>
          <t>On Band A weights the score points to B1, but on Band B's own weights it is 3.43, below the 3.5 needed to enter Band B → A3, the top of Band A.</t>
        </is>
      </c>
    </row>
    <row r="41" ht="41" customHeight="1">
      <c r="A41" s="14" t="inlineStr">
        <is>
          <t>5 · Player-Coach</t>
        </is>
      </c>
      <c r="B41" s="9" t="inlineStr">
        <is>
          <t>Technology — B+ Player-Coach transition step</t>
        </is>
      </c>
      <c r="C41" s="9" t="inlineStr">
        <is>
          <t>6.5 / 6 / 6 / 5.5 / 8 / 6</t>
        </is>
      </c>
      <c r="D41" s="9" t="inlineStr">
        <is>
          <t>6.5×49% + 6×18% + 6×5% + 5.5×10% + 8×10% + 6×8% = 6.40 → nearest level B3</t>
        </is>
      </c>
      <c r="E41" s="9" t="inlineStr">
        <is>
          <r>
            <rPr>
              <rFont val="Calibri"/>
              <b val="1"/>
              <sz val="10"/>
            </rPr>
            <t>At B3, leading people and still hands-on:</t>
          </r>
          <r>
            <rPr>
              <rFont val="Calibri"/>
              <sz val="10"/>
            </rPr>
            <t xml:space="preserve"> the Player-Coach score reaches 6.25 and the complexity–accountability average reaches 5.5 → B+.</t>
          </r>
        </is>
      </c>
    </row>
  </sheetData>
  <mergeCells count="28">
    <mergeCell ref="A34:E34"/>
    <mergeCell ref="B9:E9"/>
    <mergeCell ref="B14:D14"/>
    <mergeCell ref="B23:D23"/>
    <mergeCell ref="B6:E6"/>
    <mergeCell ref="B17:D17"/>
    <mergeCell ref="A1:E1"/>
    <mergeCell ref="B19:D19"/>
    <mergeCell ref="B7:E7"/>
    <mergeCell ref="B15:D15"/>
    <mergeCell ref="B24:D24"/>
    <mergeCell ref="B20:D20"/>
    <mergeCell ref="A3:E3"/>
    <mergeCell ref="A2:E2"/>
    <mergeCell ref="B26:D26"/>
    <mergeCell ref="A5:E5"/>
    <mergeCell ref="B11:E11"/>
    <mergeCell ref="B25:D25"/>
    <mergeCell ref="B16:D16"/>
    <mergeCell ref="A29:E29"/>
    <mergeCell ref="A35:E35"/>
    <mergeCell ref="B8:E8"/>
    <mergeCell ref="B22:D22"/>
    <mergeCell ref="B18:D18"/>
    <mergeCell ref="B27:D27"/>
    <mergeCell ref="B21:D21"/>
    <mergeCell ref="A13:E13"/>
    <mergeCell ref="B10:E10"/>
  </mergeCells>
  <hyperlinks>
    <hyperlink xmlns:r="http://schemas.openxmlformats.org/officeDocument/2006/relationships" ref="F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worksheet>
</file>

<file path=xl/worksheets/sheet19.xml><?xml version="1.0" encoding="utf-8"?>
<worksheet xmlns="http://schemas.openxmlformats.org/spreadsheetml/2006/main">
  <sheetPr>
    <tabColor rgb="003A3838"/>
    <outlinePr summaryBelow="1" summaryRight="1"/>
    <pageSetUpPr fitToPage="1"/>
  </sheetPr>
  <dimension ref="A1:R52"/>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 customWidth="1" min="3" max="3"/>
    <col width="7" customWidth="1" min="4" max="4"/>
    <col width="7" customWidth="1" min="5" max="5"/>
    <col width="7" customWidth="1" min="6" max="6"/>
    <col width="7" customWidth="1" min="7" max="7"/>
    <col width="7" customWidth="1" min="8" max="8"/>
    <col width="7" customWidth="1" min="9" max="9"/>
    <col width="7" customWidth="1" min="10" max="10"/>
    <col width="7" customWidth="1" min="11" max="11"/>
    <col width="7" customWidth="1" min="12" max="12"/>
    <col width="7" customWidth="1" min="13" max="13"/>
    <col width="7" customWidth="1" min="14" max="14"/>
    <col width="7" customWidth="1" min="15" max="15"/>
    <col width="7" customWidth="1" min="16" max="16"/>
    <col width="30" customWidth="1" min="17" max="17"/>
    <col width="13" customWidth="1" min="18" max="18"/>
  </cols>
  <sheetData>
    <row r="1" ht="34" customHeight="1">
      <c r="A1" s="1" t="inlineStr">
        <is>
          <t>9 · Competencies — what capability each level needs</t>
        </is>
      </c>
      <c r="R1" s="99" t="inlineStr">
        <is>
          <t>◂ Contents</t>
        </is>
      </c>
    </row>
    <row r="2" ht="30" customHeight="1">
      <c r="A2" s="3" t="inlineStr">
        <is>
          <t>The level says how big a role is; competencies say what a person in it must be able to do. Four clusters, rated 1–5, with the required proficiency rising level by level.</t>
        </is>
      </c>
    </row>
    <row r="3">
      <c r="A3" s="4" t="inlineStr">
        <is>
          <t>IRIS · Job Architecture &amp; Job Design · Final v1.12 · October 2026 · Internal — Confidential</t>
        </is>
      </c>
    </row>
    <row r="4"/>
    <row r="5" ht="20" customHeight="1">
      <c r="A5" s="6" t="inlineStr">
        <is>
          <t>Clusters</t>
        </is>
      </c>
    </row>
    <row r="6" ht="15" customHeight="1">
      <c r="A6" s="7" t="inlineStr">
        <is>
          <t>Cluster</t>
        </is>
      </c>
      <c r="B6" s="7" t="inlineStr">
        <is>
          <t>What it covers</t>
        </is>
      </c>
      <c r="C6" s="7" t="inlineStr">
        <is>
          <t>Competencies</t>
        </is>
      </c>
      <c r="D6" s="64" t="n"/>
      <c r="E6" s="64" t="n"/>
      <c r="F6" s="64" t="n"/>
      <c r="G6" s="64" t="n"/>
      <c r="H6" s="64" t="n"/>
      <c r="I6" s="64" t="n"/>
      <c r="J6" s="64" t="n"/>
      <c r="K6" s="64" t="n"/>
      <c r="L6" s="64" t="n"/>
      <c r="M6" s="64" t="n"/>
      <c r="N6" s="64" t="n"/>
      <c r="O6" s="63" t="n"/>
      <c r="P6" s="7" t="inlineStr">
        <is>
          <t>Who</t>
        </is>
      </c>
      <c r="Q6" s="63" t="n"/>
    </row>
    <row r="7" ht="41" customHeight="1">
      <c r="A7" s="14" t="inlineStr">
        <is>
          <t>Core</t>
        </is>
      </c>
      <c r="B7" s="9" t="inlineStr">
        <is>
          <t>How everyone at IRIS works</t>
        </is>
      </c>
      <c r="C7" s="9" t="inlineStr">
        <is>
          <t>Ownership &amp; Accountability, Problem Solving &amp; Critical Thinking, Communication &amp; Collaboration, Client &amp; Quality Focus, Learning Agility &amp; Adaptability, Integrity, Compliance &amp; Information Security</t>
        </is>
      </c>
      <c r="D7" s="64" t="n"/>
      <c r="E7" s="64" t="n"/>
      <c r="F7" s="64" t="n"/>
      <c r="G7" s="64" t="n"/>
      <c r="H7" s="64" t="n"/>
      <c r="I7" s="64" t="n"/>
      <c r="J7" s="64" t="n"/>
      <c r="K7" s="64" t="n"/>
      <c r="L7" s="64" t="n"/>
      <c r="M7" s="64" t="n"/>
      <c r="N7" s="64" t="n"/>
      <c r="O7" s="63" t="n"/>
      <c r="P7" s="9" t="inlineStr">
        <is>
          <t>All levels A1–E2</t>
        </is>
      </c>
      <c r="Q7" s="63" t="n"/>
    </row>
    <row r="8" ht="41" customHeight="1">
      <c r="A8" s="14" t="inlineStr">
        <is>
          <t>Future-ready</t>
        </is>
      </c>
      <c r="B8" s="9" t="inlineStr">
        <is>
          <t>Skills that keep roles relevant as AI and data change the work</t>
        </is>
      </c>
      <c r="C8" s="9" t="inlineStr">
        <is>
          <t>AI Literacy &amp; Augmentation, Data Literacy &amp; Analytics, Digital Fluency &amp; Automation, Innovation &amp; Continuous Improvement</t>
        </is>
      </c>
      <c r="D8" s="64" t="n"/>
      <c r="E8" s="64" t="n"/>
      <c r="F8" s="64" t="n"/>
      <c r="G8" s="64" t="n"/>
      <c r="H8" s="64" t="n"/>
      <c r="I8" s="64" t="n"/>
      <c r="J8" s="64" t="n"/>
      <c r="K8" s="64" t="n"/>
      <c r="L8" s="64" t="n"/>
      <c r="M8" s="64" t="n"/>
      <c r="N8" s="64" t="n"/>
      <c r="O8" s="63" t="n"/>
      <c r="P8" s="9" t="inlineStr">
        <is>
          <t>All levels A1–E2</t>
        </is>
      </c>
      <c r="Q8" s="63" t="n"/>
    </row>
    <row r="9" ht="41" customHeight="1">
      <c r="A9" s="14" t="inlineStr">
        <is>
          <t>Functional / technical · 6 per family</t>
        </is>
      </c>
      <c r="B9" s="9" t="inlineStr">
        <is>
          <t>The technical and professional skills of the job family</t>
        </is>
      </c>
      <c r="C9" s="9" t="inlineStr">
        <is>
          <t>24 competencies; each family uses the 6 most relevant</t>
        </is>
      </c>
      <c r="D9" s="64" t="n"/>
      <c r="E9" s="64" t="n"/>
      <c r="F9" s="64" t="n"/>
      <c r="G9" s="64" t="n"/>
      <c r="H9" s="64" t="n"/>
      <c r="I9" s="64" t="n"/>
      <c r="J9" s="64" t="n"/>
      <c r="K9" s="64" t="n"/>
      <c r="L9" s="64" t="n"/>
      <c r="M9" s="64" t="n"/>
      <c r="N9" s="64" t="n"/>
      <c r="O9" s="63" t="n"/>
      <c r="P9" s="9" t="inlineStr">
        <is>
          <t>All levels; must-haves = first two of the family</t>
        </is>
      </c>
      <c r="Q9" s="63" t="n"/>
    </row>
    <row r="10" ht="28" customHeight="1">
      <c r="A10" s="14" t="inlineStr">
        <is>
          <t>Leadership</t>
        </is>
      </c>
      <c r="B10" s="9" t="inlineStr">
        <is>
          <t>Leading people, decisions, strategy and change</t>
        </is>
      </c>
      <c r="C10" s="9" t="inlineStr">
        <is>
          <t>Leading &amp; Developing People, Decision Making &amp; Delegation, Strategic &amp; Business Acumen, Influence &amp; Change Leadership</t>
        </is>
      </c>
      <c r="D10" s="64" t="n"/>
      <c r="E10" s="64" t="n"/>
      <c r="F10" s="64" t="n"/>
      <c r="G10" s="64" t="n"/>
      <c r="H10" s="64" t="n"/>
      <c r="I10" s="64" t="n"/>
      <c r="J10" s="64" t="n"/>
      <c r="K10" s="64" t="n"/>
      <c r="L10" s="64" t="n"/>
      <c r="M10" s="64" t="n"/>
      <c r="N10" s="64" t="n"/>
      <c r="O10" s="63" t="n"/>
      <c r="P10" s="9" t="inlineStr">
        <is>
          <t>From B1 · IC influence, POD Leads and People Managers</t>
        </is>
      </c>
      <c r="Q10" s="63" t="n"/>
    </row>
    <row r="11" ht="28" customHeight="1">
      <c r="A11" s="14" t="inlineStr">
        <is>
          <t>Additional requirements</t>
        </is>
      </c>
      <c r="B11" s="9" t="inlineStr">
        <is>
          <t>Gate conditions, not scored</t>
        </is>
      </c>
      <c r="C11" s="9" t="inlineStr">
        <is>
          <t>Education / credentials, mandatory learning · POSH, Code of Conduct, InfoSec, statutory qualifications, experience</t>
        </is>
      </c>
      <c r="D11" s="64" t="n"/>
      <c r="E11" s="64" t="n"/>
      <c r="F11" s="64" t="n"/>
      <c r="G11" s="64" t="n"/>
      <c r="H11" s="64" t="n"/>
      <c r="I11" s="64" t="n"/>
      <c r="J11" s="64" t="n"/>
      <c r="K11" s="64" t="n"/>
      <c r="L11" s="64" t="n"/>
      <c r="M11" s="64" t="n"/>
      <c r="N11" s="64" t="n"/>
      <c r="O11" s="63" t="n"/>
      <c r="P11" s="9" t="inlineStr">
        <is>
          <t>Checked at placement and hiring</t>
        </is>
      </c>
      <c r="Q11" s="63" t="n"/>
    </row>
    <row r="12" ht="15" customHeight="1"/>
    <row r="13" ht="20" customHeight="1">
      <c r="A13" s="6" t="inlineStr">
        <is>
          <t>Proficiency scale</t>
        </is>
      </c>
    </row>
    <row r="14" ht="15" customHeight="1">
      <c r="A14" s="7" t="inlineStr">
        <is>
          <t>Level</t>
        </is>
      </c>
      <c r="B14" s="7" t="inlineStr">
        <is>
          <t>Name</t>
        </is>
      </c>
      <c r="C14" s="7" t="inlineStr">
        <is>
          <t>SFIA</t>
        </is>
      </c>
      <c r="D14" s="64" t="n"/>
      <c r="E14" s="64" t="n"/>
      <c r="F14" s="63" t="n"/>
      <c r="G14" s="7" t="inlineStr">
        <is>
          <t>What it looks like</t>
        </is>
      </c>
      <c r="H14" s="64" t="n"/>
      <c r="I14" s="64" t="n"/>
      <c r="J14" s="64" t="n"/>
      <c r="K14" s="64" t="n"/>
      <c r="L14" s="64" t="n"/>
      <c r="M14" s="64" t="n"/>
      <c r="N14" s="64" t="n"/>
      <c r="O14" s="64" t="n"/>
      <c r="P14" s="64" t="n"/>
      <c r="Q14" s="63" t="n"/>
    </row>
    <row r="15" ht="15" customHeight="1">
      <c r="A15" s="17" t="n">
        <v>1</v>
      </c>
      <c r="B15" s="9" t="inlineStr">
        <is>
          <t>Awareness</t>
        </is>
      </c>
      <c r="C15" s="9" t="inlineStr">
        <is>
          <t>SFIA 1–2 · Follow / Assist</t>
        </is>
      </c>
      <c r="D15" s="64" t="n"/>
      <c r="E15" s="64" t="n"/>
      <c r="F15" s="63" t="n"/>
      <c r="G15" s="9" t="inlineStr">
        <is>
          <t>Knows the concepts; does defined tasks with close guidance; all work reviewed.</t>
        </is>
      </c>
      <c r="H15" s="64" t="n"/>
      <c r="I15" s="64" t="n"/>
      <c r="J15" s="64" t="n"/>
      <c r="K15" s="64" t="n"/>
      <c r="L15" s="64" t="n"/>
      <c r="M15" s="64" t="n"/>
      <c r="N15" s="64" t="n"/>
      <c r="O15" s="64" t="n"/>
      <c r="P15" s="64" t="n"/>
      <c r="Q15" s="63" t="n"/>
    </row>
    <row r="16" ht="15" customHeight="1">
      <c r="A16" s="17" t="n">
        <v>2</v>
      </c>
      <c r="B16" s="9" t="inlineStr">
        <is>
          <t>Working</t>
        </is>
      </c>
      <c r="C16" s="9" t="inlineStr">
        <is>
          <t>SFIA 2–3 · Assist / Apply</t>
        </is>
      </c>
      <c r="D16" s="64" t="n"/>
      <c r="E16" s="64" t="n"/>
      <c r="F16" s="63" t="n"/>
      <c r="G16" s="9" t="inlineStr">
        <is>
          <t>Applies the skill to standard work with routine guidance; work spot-checked.</t>
        </is>
      </c>
      <c r="H16" s="64" t="n"/>
      <c r="I16" s="64" t="n"/>
      <c r="J16" s="64" t="n"/>
      <c r="K16" s="64" t="n"/>
      <c r="L16" s="64" t="n"/>
      <c r="M16" s="64" t="n"/>
      <c r="N16" s="64" t="n"/>
      <c r="O16" s="64" t="n"/>
      <c r="P16" s="64" t="n"/>
      <c r="Q16" s="63" t="n"/>
    </row>
    <row r="17" ht="15" customHeight="1">
      <c r="A17" s="17" t="n">
        <v>3</v>
      </c>
      <c r="B17" s="9" t="inlineStr">
        <is>
          <t>Practitioner</t>
        </is>
      </c>
      <c r="C17" s="9" t="inlineStr">
        <is>
          <t>SFIA 3–4 · Apply / Enable</t>
        </is>
      </c>
      <c r="D17" s="64" t="n"/>
      <c r="E17" s="64" t="n"/>
      <c r="F17" s="63" t="n"/>
      <c r="G17" s="9" t="inlineStr">
        <is>
          <t>Applies independently to varied, non-routine work; reviews and helps others.</t>
        </is>
      </c>
      <c r="H17" s="64" t="n"/>
      <c r="I17" s="64" t="n"/>
      <c r="J17" s="64" t="n"/>
      <c r="K17" s="64" t="n"/>
      <c r="L17" s="64" t="n"/>
      <c r="M17" s="64" t="n"/>
      <c r="N17" s="64" t="n"/>
      <c r="O17" s="64" t="n"/>
      <c r="P17" s="64" t="n"/>
      <c r="Q17" s="63" t="n"/>
    </row>
    <row r="18" ht="15" customHeight="1">
      <c r="A18" s="17" t="n">
        <v>4</v>
      </c>
      <c r="B18" s="9" t="inlineStr">
        <is>
          <t>Advanced</t>
        </is>
      </c>
      <c r="C18" s="9" t="inlineStr">
        <is>
          <t>SFIA 4–5 · Enable / Ensure</t>
        </is>
      </c>
      <c r="D18" s="64" t="n"/>
      <c r="E18" s="64" t="n"/>
      <c r="F18" s="63" t="n"/>
      <c r="G18" s="9" t="inlineStr">
        <is>
          <t>Solves the hardest problems; sets standards; coaches others; the recognised go-to.</t>
        </is>
      </c>
      <c r="H18" s="64" t="n"/>
      <c r="I18" s="64" t="n"/>
      <c r="J18" s="64" t="n"/>
      <c r="K18" s="64" t="n"/>
      <c r="L18" s="64" t="n"/>
      <c r="M18" s="64" t="n"/>
      <c r="N18" s="64" t="n"/>
      <c r="O18" s="64" t="n"/>
      <c r="P18" s="64" t="n"/>
      <c r="Q18" s="63" t="n"/>
    </row>
    <row r="19" ht="28" customHeight="1">
      <c r="A19" s="17" t="n">
        <v>5</v>
      </c>
      <c r="B19" s="9" t="inlineStr">
        <is>
          <t>Expert / Strategic</t>
        </is>
      </c>
      <c r="C19" s="9" t="inlineStr">
        <is>
          <t>SFIA 6–7 · Initiate / Set strategy</t>
        </is>
      </c>
      <c r="D19" s="64" t="n"/>
      <c r="E19" s="64" t="n"/>
      <c r="F19" s="63" t="n"/>
      <c r="G19" s="9" t="inlineStr">
        <is>
          <t>Shapes direction across IRIS or the industry; creates new methods; external authority.</t>
        </is>
      </c>
      <c r="H19" s="64" t="n"/>
      <c r="I19" s="64" t="n"/>
      <c r="J19" s="64" t="n"/>
      <c r="K19" s="64" t="n"/>
      <c r="L19" s="64" t="n"/>
      <c r="M19" s="64" t="n"/>
      <c r="N19" s="64" t="n"/>
      <c r="O19" s="64" t="n"/>
      <c r="P19" s="64" t="n"/>
      <c r="Q19" s="63" t="n"/>
    </row>
    <row r="20" ht="15" customHeight="1"/>
    <row r="21" ht="20" customHeight="1">
      <c r="A21" s="6" t="inlineStr">
        <is>
          <t>Required proficiency by level · bottom to top</t>
        </is>
      </c>
    </row>
    <row r="22" ht="15" customHeight="1">
      <c r="A22" s="7" t="inlineStr">
        <is>
          <t>Cluster</t>
        </is>
      </c>
      <c r="B22" s="59" t="inlineStr"/>
      <c r="C22" s="50" t="inlineStr">
        <is>
          <t>A1</t>
        </is>
      </c>
      <c r="D22" s="50" t="inlineStr">
        <is>
          <t>A2</t>
        </is>
      </c>
      <c r="E22" s="50" t="inlineStr">
        <is>
          <t>A3</t>
        </is>
      </c>
      <c r="F22" s="51" t="inlineStr">
        <is>
          <t>B1</t>
        </is>
      </c>
      <c r="G22" s="51" t="inlineStr">
        <is>
          <t>B2</t>
        </is>
      </c>
      <c r="H22" s="51" t="inlineStr">
        <is>
          <t>B3</t>
        </is>
      </c>
      <c r="I22" s="52" t="inlineStr">
        <is>
          <t>B+</t>
        </is>
      </c>
      <c r="J22" s="53" t="inlineStr">
        <is>
          <t>C1</t>
        </is>
      </c>
      <c r="K22" s="53" t="inlineStr">
        <is>
          <t>C2</t>
        </is>
      </c>
      <c r="L22" s="60" t="inlineStr">
        <is>
          <t>C+</t>
        </is>
      </c>
      <c r="M22" s="54" t="inlineStr">
        <is>
          <t>D1</t>
        </is>
      </c>
      <c r="N22" s="54" t="inlineStr">
        <is>
          <t>D2</t>
        </is>
      </c>
      <c r="O22" s="55" t="inlineStr">
        <is>
          <t>E1</t>
        </is>
      </c>
      <c r="P22" s="55" t="inlineStr">
        <is>
          <t>E2</t>
        </is>
      </c>
      <c r="Q22" s="59" t="inlineStr"/>
    </row>
    <row r="23" ht="15" customHeight="1">
      <c r="A23" s="14" t="inlineStr">
        <is>
          <t>Core</t>
        </is>
      </c>
      <c r="B23" s="9" t="inlineStr"/>
      <c r="C23" s="8" t="n">
        <v>1</v>
      </c>
      <c r="D23" s="8" t="n">
        <v>2</v>
      </c>
      <c r="E23" s="8" t="n">
        <v>2</v>
      </c>
      <c r="F23" s="8" t="n">
        <v>3</v>
      </c>
      <c r="G23" s="8" t="n">
        <v>3</v>
      </c>
      <c r="H23" s="8" t="n">
        <v>4</v>
      </c>
      <c r="I23" s="8" t="n">
        <v>4</v>
      </c>
      <c r="J23" s="8" t="n">
        <v>4</v>
      </c>
      <c r="K23" s="8" t="n">
        <v>4</v>
      </c>
      <c r="L23" s="8" t="n">
        <v>5</v>
      </c>
      <c r="M23" s="8" t="n">
        <v>5</v>
      </c>
      <c r="N23" s="8" t="n">
        <v>5</v>
      </c>
      <c r="O23" s="8" t="n">
        <v>5</v>
      </c>
      <c r="P23" s="8" t="n">
        <v>5</v>
      </c>
      <c r="Q23" s="8" t="inlineStr"/>
    </row>
    <row r="24" ht="15" customHeight="1">
      <c r="A24" s="14" t="inlineStr">
        <is>
          <t>Future-ready</t>
        </is>
      </c>
      <c r="B24" s="9" t="inlineStr"/>
      <c r="C24" s="8" t="n">
        <v>1</v>
      </c>
      <c r="D24" s="8" t="n">
        <v>2</v>
      </c>
      <c r="E24" s="8" t="n">
        <v>2</v>
      </c>
      <c r="F24" s="8" t="n">
        <v>3</v>
      </c>
      <c r="G24" s="8" t="n">
        <v>3</v>
      </c>
      <c r="H24" s="8" t="n">
        <v>3</v>
      </c>
      <c r="I24" s="8" t="n">
        <v>4</v>
      </c>
      <c r="J24" s="8" t="n">
        <v>4</v>
      </c>
      <c r="K24" s="8" t="n">
        <v>4</v>
      </c>
      <c r="L24" s="8" t="n">
        <v>4</v>
      </c>
      <c r="M24" s="8" t="n">
        <v>4</v>
      </c>
      <c r="N24" s="8" t="n">
        <v>4</v>
      </c>
      <c r="O24" s="8" t="n">
        <v>5</v>
      </c>
      <c r="P24" s="8" t="n">
        <v>5</v>
      </c>
      <c r="Q24" s="8" t="inlineStr"/>
    </row>
    <row r="25" ht="15" customHeight="1">
      <c r="A25" s="14" t="inlineStr">
        <is>
          <t>Functional</t>
        </is>
      </c>
      <c r="B25" s="9" t="inlineStr"/>
      <c r="C25" s="8" t="n">
        <v>1</v>
      </c>
      <c r="D25" s="8" t="n">
        <v>2</v>
      </c>
      <c r="E25" s="8" t="n">
        <v>3</v>
      </c>
      <c r="F25" s="8" t="n">
        <v>3</v>
      </c>
      <c r="G25" s="8" t="n">
        <v>4</v>
      </c>
      <c r="H25" s="8" t="n">
        <v>4</v>
      </c>
      <c r="I25" s="8" t="n">
        <v>4</v>
      </c>
      <c r="J25" s="8" t="n">
        <v>4</v>
      </c>
      <c r="K25" s="8" t="n">
        <v>5</v>
      </c>
      <c r="L25" s="8" t="n">
        <v>5</v>
      </c>
      <c r="M25" s="8" t="n">
        <v>4</v>
      </c>
      <c r="N25" s="8" t="n">
        <v>4</v>
      </c>
      <c r="O25" s="8" t="n">
        <v>4</v>
      </c>
      <c r="P25" s="8" t="n">
        <v>4</v>
      </c>
      <c r="Q25" s="8" t="inlineStr"/>
    </row>
    <row r="26" ht="15" customHeight="1">
      <c r="A26" s="14" t="inlineStr">
        <is>
          <t>Leadership — IC</t>
        </is>
      </c>
      <c r="B26" s="9" t="inlineStr"/>
      <c r="C26" s="8" t="inlineStr">
        <is>
          <t>—</t>
        </is>
      </c>
      <c r="D26" s="8" t="inlineStr">
        <is>
          <t>—</t>
        </is>
      </c>
      <c r="E26" s="8" t="inlineStr">
        <is>
          <t>—</t>
        </is>
      </c>
      <c r="F26" s="8" t="n">
        <v>1</v>
      </c>
      <c r="G26" s="8" t="n">
        <v>2</v>
      </c>
      <c r="H26" s="8" t="n">
        <v>3</v>
      </c>
      <c r="I26" s="8" t="n">
        <v>4</v>
      </c>
      <c r="J26" s="8" t="n">
        <v>4</v>
      </c>
      <c r="K26" s="8" t="n">
        <v>4</v>
      </c>
      <c r="L26" s="8" t="n">
        <v>5</v>
      </c>
      <c r="M26" s="8" t="n">
        <v>5</v>
      </c>
      <c r="N26" s="8" t="n">
        <v>5</v>
      </c>
      <c r="O26" s="8" t="n">
        <v>5</v>
      </c>
      <c r="P26" s="8" t="n">
        <v>5</v>
      </c>
      <c r="Q26" s="8" t="inlineStr"/>
    </row>
    <row r="27" ht="28" customHeight="1">
      <c r="A27" s="14" t="inlineStr">
        <is>
          <t>Leadership — lead / manager</t>
        </is>
      </c>
      <c r="B27" s="9" t="inlineStr"/>
      <c r="C27" s="8" t="inlineStr">
        <is>
          <t>—</t>
        </is>
      </c>
      <c r="D27" s="8" t="inlineStr">
        <is>
          <t>—</t>
        </is>
      </c>
      <c r="E27" s="8" t="inlineStr">
        <is>
          <t>—</t>
        </is>
      </c>
      <c r="F27" s="8" t="n">
        <v>2</v>
      </c>
      <c r="G27" s="8" t="n">
        <v>3</v>
      </c>
      <c r="H27" s="8" t="n">
        <v>4</v>
      </c>
      <c r="I27" s="8" t="n">
        <v>4</v>
      </c>
      <c r="J27" s="8" t="n">
        <v>4</v>
      </c>
      <c r="K27" s="8" t="n">
        <v>4</v>
      </c>
      <c r="L27" s="8" t="n">
        <v>5</v>
      </c>
      <c r="M27" s="8" t="n">
        <v>5</v>
      </c>
      <c r="N27" s="8" t="n">
        <v>5</v>
      </c>
      <c r="O27" s="8" t="n">
        <v>5</v>
      </c>
      <c r="P27" s="8" t="n">
        <v>5</v>
      </c>
      <c r="Q27" s="8" t="inlineStr"/>
    </row>
    <row r="28" ht="15" customHeight="1"/>
    <row r="29" ht="20" customHeight="1">
      <c r="A29" s="6" t="inlineStr">
        <is>
          <t>How competencies are scored</t>
        </is>
      </c>
    </row>
    <row r="30" ht="15" customHeight="1">
      <c r="A30" s="7" t="inlineStr">
        <is>
          <t>Step</t>
        </is>
      </c>
      <c r="B30" s="63" t="n"/>
      <c r="C30" s="7" t="inlineStr">
        <is>
          <t>Rule</t>
        </is>
      </c>
      <c r="D30" s="64" t="n"/>
      <c r="E30" s="64" t="n"/>
      <c r="F30" s="64" t="n"/>
      <c r="G30" s="64" t="n"/>
      <c r="H30" s="64" t="n"/>
      <c r="I30" s="64" t="n"/>
      <c r="J30" s="64" t="n"/>
      <c r="K30" s="64" t="n"/>
      <c r="L30" s="64" t="n"/>
      <c r="M30" s="64" t="n"/>
      <c r="N30" s="64" t="n"/>
      <c r="O30" s="64" t="n"/>
      <c r="P30" s="64" t="n"/>
      <c r="Q30" s="63" t="n"/>
    </row>
    <row r="31" ht="28" customHeight="1">
      <c r="A31" s="14" t="inlineStr">
        <is>
          <t>1. Rate</t>
        </is>
      </c>
      <c r="B31" s="63" t="n"/>
      <c r="C31" s="9" t="inlineStr">
        <is>
          <t>Rate each competency 1–5 against the scale and the behavioural indicators, using evidence: work samples, outputs, manager observation, survey answers, assessments, credentials.</t>
        </is>
      </c>
      <c r="D31" s="64" t="n"/>
      <c r="E31" s="64" t="n"/>
      <c r="F31" s="64" t="n"/>
      <c r="G31" s="64" t="n"/>
      <c r="H31" s="64" t="n"/>
      <c r="I31" s="64" t="n"/>
      <c r="J31" s="64" t="n"/>
      <c r="K31" s="64" t="n"/>
      <c r="L31" s="64" t="n"/>
      <c r="M31" s="64" t="n"/>
      <c r="N31" s="64" t="n"/>
      <c r="O31" s="64" t="n"/>
      <c r="P31" s="64" t="n"/>
      <c r="Q31" s="63" t="n"/>
    </row>
    <row r="32" ht="15" customHeight="1">
      <c r="A32" s="14" t="inlineStr">
        <is>
          <t>2. Compare</t>
        </is>
      </c>
      <c r="B32" s="63" t="n"/>
      <c r="C32" s="9" t="inlineStr">
        <is>
          <t>Score per competency = rating ÷ required proficiency · capped at 120% so one strength cannot hide a gap.</t>
        </is>
      </c>
      <c r="D32" s="64" t="n"/>
      <c r="E32" s="64" t="n"/>
      <c r="F32" s="64" t="n"/>
      <c r="G32" s="64" t="n"/>
      <c r="H32" s="64" t="n"/>
      <c r="I32" s="64" t="n"/>
      <c r="J32" s="64" t="n"/>
      <c r="K32" s="64" t="n"/>
      <c r="L32" s="64" t="n"/>
      <c r="M32" s="64" t="n"/>
      <c r="N32" s="64" t="n"/>
      <c r="O32" s="64" t="n"/>
      <c r="P32" s="64" t="n"/>
      <c r="Q32" s="63" t="n"/>
    </row>
    <row r="33" ht="28" customHeight="1">
      <c r="A33" s="14" t="inlineStr">
        <is>
          <t>3. Cluster</t>
        </is>
      </c>
      <c r="B33" s="63" t="n"/>
      <c r="C33" s="9" t="inlineStr">
        <is>
          <t>Cluster score = average of its competencies. Competency index = weighted average of the cluster scores · weights in section B.</t>
        </is>
      </c>
      <c r="D33" s="64" t="n"/>
      <c r="E33" s="64" t="n"/>
      <c r="F33" s="64" t="n"/>
      <c r="G33" s="64" t="n"/>
      <c r="H33" s="64" t="n"/>
      <c r="I33" s="64" t="n"/>
      <c r="J33" s="64" t="n"/>
      <c r="K33" s="64" t="n"/>
      <c r="L33" s="64" t="n"/>
      <c r="M33" s="64" t="n"/>
      <c r="N33" s="64" t="n"/>
      <c r="O33" s="64" t="n"/>
      <c r="P33" s="64" t="n"/>
      <c r="Q33" s="63" t="n"/>
    </row>
    <row r="34" ht="15" customHeight="1">
      <c r="A34" s="14" t="inlineStr">
        <is>
          <t>4. Fit</t>
        </is>
      </c>
      <c r="B34" s="63" t="n"/>
      <c r="C34" s="9" t="inlineStr">
        <is>
          <t>≥ 105% Exceeds — ready for stretch · 90–104% Meets the level · 75–89% Developing · &lt; 75% Gap — development plan needed.</t>
        </is>
      </c>
      <c r="D34" s="64" t="n"/>
      <c r="E34" s="64" t="n"/>
      <c r="F34" s="64" t="n"/>
      <c r="G34" s="64" t="n"/>
      <c r="H34" s="64" t="n"/>
      <c r="I34" s="64" t="n"/>
      <c r="J34" s="64" t="n"/>
      <c r="K34" s="64" t="n"/>
      <c r="L34" s="64" t="n"/>
      <c r="M34" s="64" t="n"/>
      <c r="N34" s="64" t="n"/>
      <c r="O34" s="64" t="n"/>
      <c r="P34" s="64" t="n"/>
      <c r="Q34" s="63" t="n"/>
    </row>
    <row r="35" ht="28" customHeight="1">
      <c r="A35" s="14" t="inlineStr">
        <is>
          <t>5. Gate</t>
        </is>
      </c>
      <c r="B35" s="63" t="n"/>
      <c r="C35" s="9" t="inlineStr">
        <is>
          <t>Additional requirements must be met · statutory qualification, mandatory learning. Must-have functional competencies must be at required proficiency for hiring and lateral moves.</t>
        </is>
      </c>
      <c r="D35" s="64" t="n"/>
      <c r="E35" s="64" t="n"/>
      <c r="F35" s="64" t="n"/>
      <c r="G35" s="64" t="n"/>
      <c r="H35" s="64" t="n"/>
      <c r="I35" s="64" t="n"/>
      <c r="J35" s="64" t="n"/>
      <c r="K35" s="64" t="n"/>
      <c r="L35" s="64" t="n"/>
      <c r="M35" s="64" t="n"/>
      <c r="N35" s="64" t="n"/>
      <c r="O35" s="64" t="n"/>
      <c r="P35" s="64" t="n"/>
      <c r="Q35" s="63" t="n"/>
    </row>
    <row r="36" ht="54" customHeight="1">
      <c r="A36" s="14" t="inlineStr">
        <is>
          <t>Indicative ratings in this file</t>
        </is>
      </c>
      <c r="B36" s="63" t="n"/>
      <c r="C36" s="9" t="inlineStr">
        <is>
          <t>The sheet 8 of the HR Super Master / Product Masters ratings are derived from each person's own survey answers and KRAs · where both exist, one more piece of evidence is needed for a +1: competency evidenced in 2+ answers · 3+ for core / future-ready → required + 1; evidenced once → meets; not evidenced → required − 1. Ownership and Client &amp; Quality are adjusted by the latest manager rating. Integrity is assumed met until mandatory-training completion is checked. Manager validation replaces these indicative ratings.</t>
        </is>
      </c>
      <c r="D36" s="64" t="n"/>
      <c r="E36" s="64" t="n"/>
      <c r="F36" s="64" t="n"/>
      <c r="G36" s="64" t="n"/>
      <c r="H36" s="64" t="n"/>
      <c r="I36" s="64" t="n"/>
      <c r="J36" s="64" t="n"/>
      <c r="K36" s="64" t="n"/>
      <c r="L36" s="64" t="n"/>
      <c r="M36" s="64" t="n"/>
      <c r="N36" s="64" t="n"/>
      <c r="O36" s="64" t="n"/>
      <c r="P36" s="64" t="n"/>
      <c r="Q36" s="63" t="n"/>
    </row>
    <row r="37" ht="15" customHeight="1"/>
    <row r="38" ht="20" customHeight="1">
      <c r="A38" s="6" t="inlineStr">
        <is>
          <t>How they are used</t>
        </is>
      </c>
    </row>
    <row r="39" ht="15" customHeight="1">
      <c r="A39" s="7" t="inlineStr">
        <is>
          <t>Use</t>
        </is>
      </c>
      <c r="B39" s="7" t="inlineStr">
        <is>
          <t>How</t>
        </is>
      </c>
      <c r="C39" s="64" t="n"/>
      <c r="D39" s="64" t="n"/>
      <c r="E39" s="64" t="n"/>
      <c r="F39" s="63" t="n"/>
      <c r="G39" s="7" t="inlineStr">
        <is>
          <t>Decision rule</t>
        </is>
      </c>
      <c r="H39" s="64" t="n"/>
      <c r="I39" s="64" t="n"/>
      <c r="J39" s="64" t="n"/>
      <c r="K39" s="64" t="n"/>
      <c r="L39" s="64" t="n"/>
      <c r="M39" s="64" t="n"/>
      <c r="N39" s="64" t="n"/>
      <c r="O39" s="64" t="n"/>
      <c r="P39" s="64" t="n"/>
      <c r="Q39" s="63" t="n"/>
    </row>
    <row r="40" ht="28" customHeight="1">
      <c r="A40" s="14" t="inlineStr">
        <is>
          <t>Internal placement</t>
        </is>
      </c>
      <c r="B40" s="9" t="inlineStr">
        <is>
          <t>Rate the person against the required profile of the role's level.</t>
        </is>
      </c>
      <c r="C40" s="64" t="n"/>
      <c r="D40" s="64" t="n"/>
      <c r="E40" s="64" t="n"/>
      <c r="F40" s="63" t="n"/>
      <c r="G40" s="9" t="inlineStr">
        <is>
          <t>Competency index ≥ 90% = meets the level; 75–89% = developing · placement confirmed with a plan; &lt; 75% = gap · placement reviewed.</t>
        </is>
      </c>
      <c r="H40" s="64" t="n"/>
      <c r="I40" s="64" t="n"/>
      <c r="J40" s="64" t="n"/>
      <c r="K40" s="64" t="n"/>
      <c r="L40" s="64" t="n"/>
      <c r="M40" s="64" t="n"/>
      <c r="N40" s="64" t="n"/>
      <c r="O40" s="64" t="n"/>
      <c r="P40" s="64" t="n"/>
      <c r="Q40" s="63" t="n"/>
    </row>
    <row r="41" ht="28" customHeight="1">
      <c r="A41" s="14" t="inlineStr">
        <is>
          <t>Promotion</t>
        </is>
      </c>
      <c r="B41" s="9" t="inlineStr">
        <is>
          <t>Rate against the NEXT level's profile; combine with the level framework rules and performance.</t>
        </is>
      </c>
      <c r="C41" s="64" t="n"/>
      <c r="D41" s="64" t="n"/>
      <c r="E41" s="64" t="n"/>
      <c r="F41" s="63" t="n"/>
      <c r="G41" s="9" t="inlineStr">
        <is>
          <t>Next-level index ≥ 90% + rating ≥ 4 in the last 2 cycles + a role of that scope exists.</t>
        </is>
      </c>
      <c r="H41" s="64" t="n"/>
      <c r="I41" s="64" t="n"/>
      <c r="J41" s="64" t="n"/>
      <c r="K41" s="64" t="n"/>
      <c r="L41" s="64" t="n"/>
      <c r="M41" s="64" t="n"/>
      <c r="N41" s="64" t="n"/>
      <c r="O41" s="64" t="n"/>
      <c r="P41" s="64" t="n"/>
      <c r="Q41" s="63" t="n"/>
    </row>
    <row r="42" ht="28" customHeight="1">
      <c r="A42" s="14" t="inlineStr">
        <is>
          <t>Lateral move</t>
        </is>
      </c>
      <c r="B42" s="9" t="inlineStr">
        <is>
          <t>Rate against the target family's functional competencies at the current level.</t>
        </is>
      </c>
      <c r="C42" s="64" t="n"/>
      <c r="D42" s="64" t="n"/>
      <c r="E42" s="64" t="n"/>
      <c r="F42" s="63" t="n"/>
      <c r="G42" s="9" t="inlineStr">
        <is>
          <t>Both must-have competencies of the target family evidenced, ≥ 67% of its functional set, index ≥ 75% — move with a 3–6 month plan.</t>
        </is>
      </c>
      <c r="H42" s="64" t="n"/>
      <c r="I42" s="64" t="n"/>
      <c r="J42" s="64" t="n"/>
      <c r="K42" s="64" t="n"/>
      <c r="L42" s="64" t="n"/>
      <c r="M42" s="64" t="n"/>
      <c r="N42" s="64" t="n"/>
      <c r="O42" s="64" t="n"/>
      <c r="P42" s="64" t="n"/>
      <c r="Q42" s="63" t="n"/>
    </row>
    <row r="43" ht="41" customHeight="1">
      <c r="A43" s="14" t="inlineStr">
        <is>
          <t>Hiring · campus / lateral</t>
        </is>
      </c>
      <c r="B43" s="9" t="inlineStr">
        <is>
          <r>
            <rPr>
              <rFont val="Calibri"/>
              <b val="1"/>
              <sz val="10"/>
            </rPr>
            <t>Interview scorecard:</t>
          </r>
          <r>
            <rPr>
              <rFont val="Calibri"/>
              <sz val="10"/>
            </rPr>
            <t xml:space="preserve"> assess each must-have and the cluster profile for the hiring level.</t>
          </r>
        </is>
      </c>
      <c r="C43" s="64" t="n"/>
      <c r="D43" s="64" t="n"/>
      <c r="E43" s="64" t="n"/>
      <c r="F43" s="63" t="n"/>
      <c r="G43" s="9" t="inlineStr">
        <is>
          <t>All must-haves at required proficiency, no cluster below 75%, overall index ≥ 90%; else hire one level lower.</t>
        </is>
      </c>
      <c r="H43" s="64" t="n"/>
      <c r="I43" s="64" t="n"/>
      <c r="J43" s="64" t="n"/>
      <c r="K43" s="64" t="n"/>
      <c r="L43" s="64" t="n"/>
      <c r="M43" s="64" t="n"/>
      <c r="N43" s="64" t="n"/>
      <c r="O43" s="64" t="n"/>
      <c r="P43" s="64" t="n"/>
      <c r="Q43" s="63" t="n"/>
    </row>
    <row r="44" ht="28" customHeight="1">
      <c r="A44" s="14" t="inlineStr">
        <is>
          <t>Development</t>
        </is>
      </c>
      <c r="B44" s="9" t="inlineStr">
        <is>
          <t>Gaps · rating below required become the individual development plan; link to learning paths.</t>
        </is>
      </c>
      <c r="C44" s="64" t="n"/>
      <c r="D44" s="64" t="n"/>
      <c r="E44" s="64" t="n"/>
      <c r="F44" s="63" t="n"/>
      <c r="G44" s="9" t="inlineStr">
        <is>
          <t>Top 3 gaps per person shown on sheet 8 of the HR Super Master / Product Masters; reviewed twice a year.</t>
        </is>
      </c>
      <c r="H44" s="64" t="n"/>
      <c r="I44" s="64" t="n"/>
      <c r="J44" s="64" t="n"/>
      <c r="K44" s="64" t="n"/>
      <c r="L44" s="64" t="n"/>
      <c r="M44" s="64" t="n"/>
      <c r="N44" s="64" t="n"/>
      <c r="O44" s="64" t="n"/>
      <c r="P44" s="64" t="n"/>
      <c r="Q44" s="63" t="n"/>
    </row>
    <row r="45" ht="15" customHeight="1"/>
    <row r="46" ht="20" customHeight="1">
      <c r="A46" s="6" t="inlineStr">
        <is>
          <t>Competency rules</t>
        </is>
      </c>
    </row>
    <row r="47" ht="15" customHeight="1">
      <c r="A47" s="7" t="inlineStr">
        <is>
          <t>ID</t>
        </is>
      </c>
      <c r="B47" s="7" t="inlineStr">
        <is>
          <t>Rule</t>
        </is>
      </c>
      <c r="C47" s="64" t="n"/>
      <c r="D47" s="64" t="n"/>
      <c r="E47" s="64" t="n"/>
      <c r="F47" s="64" t="n"/>
      <c r="G47" s="64" t="n"/>
      <c r="H47" s="64" t="n"/>
      <c r="I47" s="64" t="n"/>
      <c r="J47" s="64" t="n"/>
      <c r="K47" s="64" t="n"/>
      <c r="L47" s="64" t="n"/>
      <c r="M47" s="64" t="n"/>
      <c r="N47" s="64" t="n"/>
      <c r="O47" s="63" t="n"/>
      <c r="P47" s="7" t="inlineStr">
        <is>
          <t>Sources</t>
        </is>
      </c>
      <c r="Q47" s="63" t="n"/>
    </row>
    <row r="48" ht="28" customHeight="1">
      <c r="A48" s="17" t="inlineStr">
        <is>
          <t>C1</t>
        </is>
      </c>
      <c r="B48" s="9" t="inlineStr">
        <is>
          <r>
            <rPr>
              <rFont val="Calibri"/>
              <b val="1"/>
              <sz val="10"/>
            </rPr>
            <t>Four clusters:</t>
          </r>
          <r>
            <rPr>
              <rFont val="Calibri"/>
              <sz val="10"/>
            </rPr>
            <t xml:space="preserve"> Core, Future-ready, Functional · 6 per family plus department technical competencies, Leadership. Additional requirements are gates, not scores.</t>
          </r>
        </is>
      </c>
      <c r="C48" s="64" t="n"/>
      <c r="D48" s="64" t="n"/>
      <c r="E48" s="64" t="n"/>
      <c r="F48" s="64" t="n"/>
      <c r="G48" s="64" t="n"/>
      <c r="H48" s="64" t="n"/>
      <c r="I48" s="64" t="n"/>
      <c r="J48" s="64" t="n"/>
      <c r="K48" s="64" t="n"/>
      <c r="L48" s="64" t="n"/>
      <c r="M48" s="64" t="n"/>
      <c r="N48" s="64" t="n"/>
      <c r="O48" s="63" t="n"/>
      <c r="P48" s="9" t="inlineStr">
        <is>
          <t>S14, S15, S12, S08</t>
        </is>
      </c>
      <c r="Q48" s="63" t="n"/>
    </row>
    <row r="49" ht="15" customHeight="1">
      <c r="A49" s="17" t="inlineStr">
        <is>
          <t>C2</t>
        </is>
      </c>
      <c r="B49" s="9" t="inlineStr">
        <is>
          <t>Proficiency is rated 1–5 on a scale aligned to SFIA levels; the required proficiency is set by level.</t>
        </is>
      </c>
      <c r="C49" s="64" t="n"/>
      <c r="D49" s="64" t="n"/>
      <c r="E49" s="64" t="n"/>
      <c r="F49" s="64" t="n"/>
      <c r="G49" s="64" t="n"/>
      <c r="H49" s="64" t="n"/>
      <c r="I49" s="64" t="n"/>
      <c r="J49" s="64" t="n"/>
      <c r="K49" s="64" t="n"/>
      <c r="L49" s="64" t="n"/>
      <c r="M49" s="64" t="n"/>
      <c r="N49" s="64" t="n"/>
      <c r="O49" s="63" t="n"/>
      <c r="P49" s="9" t="inlineStr">
        <is>
          <t>S08</t>
        </is>
      </c>
      <c r="Q49" s="63" t="n"/>
    </row>
    <row r="50" ht="28" customHeight="1">
      <c r="A50" s="17" t="inlineStr">
        <is>
          <t>C+</t>
        </is>
      </c>
      <c r="B50" s="9" t="inlineStr">
        <is>
          <t>Score per competency = rating ÷ required · capped at 120%. Cluster weights by level and track build the competency index.</t>
        </is>
      </c>
      <c r="C50" s="64" t="n"/>
      <c r="D50" s="64" t="n"/>
      <c r="E50" s="64" t="n"/>
      <c r="F50" s="64" t="n"/>
      <c r="G50" s="64" t="n"/>
      <c r="H50" s="64" t="n"/>
      <c r="I50" s="64" t="n"/>
      <c r="J50" s="64" t="n"/>
      <c r="K50" s="64" t="n"/>
      <c r="L50" s="64" t="n"/>
      <c r="M50" s="64" t="n"/>
      <c r="N50" s="64" t="n"/>
      <c r="O50" s="63" t="n"/>
      <c r="P50" s="9" t="inlineStr">
        <is>
          <t>—</t>
        </is>
      </c>
      <c r="Q50" s="63" t="n"/>
    </row>
    <row r="51" ht="15" customHeight="1">
      <c r="A51" s="17" t="inlineStr">
        <is>
          <t>C4</t>
        </is>
      </c>
      <c r="B51" s="9" t="inlineStr">
        <is>
          <r>
            <rPr>
              <rFont val="Calibri"/>
              <b val="1"/>
              <sz val="10"/>
            </rPr>
            <t>Fit:</t>
          </r>
          <r>
            <rPr>
              <rFont val="Calibri"/>
              <sz val="10"/>
            </rPr>
            <t xml:space="preserve"> ≥ 105% exceeds · 90–104% meets · 75–89% developing · &lt; 75% gap.</t>
          </r>
        </is>
      </c>
      <c r="C51" s="64" t="n"/>
      <c r="D51" s="64" t="n"/>
      <c r="E51" s="64" t="n"/>
      <c r="F51" s="64" t="n"/>
      <c r="G51" s="64" t="n"/>
      <c r="H51" s="64" t="n"/>
      <c r="I51" s="64" t="n"/>
      <c r="J51" s="64" t="n"/>
      <c r="K51" s="64" t="n"/>
      <c r="L51" s="64" t="n"/>
      <c r="M51" s="64" t="n"/>
      <c r="N51" s="64" t="n"/>
      <c r="O51" s="63" t="n"/>
      <c r="P51" s="9" t="inlineStr">
        <is>
          <t>—</t>
        </is>
      </c>
      <c r="Q51" s="63" t="n"/>
    </row>
    <row r="52" ht="15" customHeight="1">
      <c r="A52" s="17" t="inlineStr">
        <is>
          <t>C5</t>
        </is>
      </c>
      <c r="B52" s="9" t="inlineStr">
        <is>
          <t>Must-have · ★ competencies must be at the required proficiency for hiring and lateral moves.</t>
        </is>
      </c>
      <c r="C52" s="64" t="n"/>
      <c r="D52" s="64" t="n"/>
      <c r="E52" s="64" t="n"/>
      <c r="F52" s="64" t="n"/>
      <c r="G52" s="64" t="n"/>
      <c r="H52" s="64" t="n"/>
      <c r="I52" s="64" t="n"/>
      <c r="J52" s="64" t="n"/>
      <c r="K52" s="64" t="n"/>
      <c r="L52" s="64" t="n"/>
      <c r="M52" s="64" t="n"/>
      <c r="N52" s="64" t="n"/>
      <c r="O52" s="63" t="n"/>
      <c r="P52" s="9" t="inlineStr">
        <is>
          <t>S38</t>
        </is>
      </c>
      <c r="Q52" s="63" t="n"/>
    </row>
  </sheetData>
  <mergeCells count="71">
    <mergeCell ref="A30:B30"/>
    <mergeCell ref="C17:F17"/>
    <mergeCell ref="G43:Q43"/>
    <mergeCell ref="P51:Q51"/>
    <mergeCell ref="B47:O47"/>
    <mergeCell ref="C8:O8"/>
    <mergeCell ref="P10:Q10"/>
    <mergeCell ref="A36:B36"/>
    <mergeCell ref="P50:Q50"/>
    <mergeCell ref="C31:Q31"/>
    <mergeCell ref="B50:O50"/>
    <mergeCell ref="C7:O7"/>
    <mergeCell ref="C19:F19"/>
    <mergeCell ref="G42:Q42"/>
    <mergeCell ref="A1:Q1"/>
    <mergeCell ref="P9:Q9"/>
    <mergeCell ref="G17:Q17"/>
    <mergeCell ref="C18:F18"/>
    <mergeCell ref="G39:Q39"/>
    <mergeCell ref="B39:F39"/>
    <mergeCell ref="B43:F43"/>
    <mergeCell ref="P52:Q52"/>
    <mergeCell ref="P6:Q6"/>
    <mergeCell ref="B52:O52"/>
    <mergeCell ref="C36:Q36"/>
    <mergeCell ref="B42:F42"/>
    <mergeCell ref="P8:Q8"/>
    <mergeCell ref="B48:O48"/>
    <mergeCell ref="P11:Q11"/>
    <mergeCell ref="C15:F15"/>
    <mergeCell ref="G19:Q19"/>
    <mergeCell ref="P49:Q49"/>
    <mergeCell ref="C6:O6"/>
    <mergeCell ref="C14:F14"/>
    <mergeCell ref="G18:Q18"/>
    <mergeCell ref="A46:Q46"/>
    <mergeCell ref="B44:F44"/>
    <mergeCell ref="P48:Q48"/>
    <mergeCell ref="C32:Q32"/>
    <mergeCell ref="A3:Q3"/>
    <mergeCell ref="P7:Q7"/>
    <mergeCell ref="A21:Q21"/>
    <mergeCell ref="A33:B33"/>
    <mergeCell ref="G15:Q15"/>
    <mergeCell ref="A2:Q2"/>
    <mergeCell ref="C16:F16"/>
    <mergeCell ref="A32:B32"/>
    <mergeCell ref="G44:Q44"/>
    <mergeCell ref="G14:Q14"/>
    <mergeCell ref="B40:F40"/>
    <mergeCell ref="A5:Q5"/>
    <mergeCell ref="C10:O10"/>
    <mergeCell ref="C34:Q34"/>
    <mergeCell ref="A35:B35"/>
    <mergeCell ref="P47:Q47"/>
    <mergeCell ref="C30:Q30"/>
    <mergeCell ref="B49:O49"/>
    <mergeCell ref="C33:Q33"/>
    <mergeCell ref="C9:O9"/>
    <mergeCell ref="A29:Q29"/>
    <mergeCell ref="G16:Q16"/>
    <mergeCell ref="A38:Q38"/>
    <mergeCell ref="G41:Q41"/>
    <mergeCell ref="B51:O51"/>
    <mergeCell ref="C35:Q35"/>
    <mergeCell ref="A31:B31"/>
    <mergeCell ref="C11:O11"/>
    <mergeCell ref="B41:F41"/>
    <mergeCell ref="G40:Q40"/>
    <mergeCell ref="A34:B34"/>
    <mergeCell ref="A13:Q13"/>
  </mergeCells>
  <hyperlinks>
    <hyperlink xmlns:r="http://schemas.openxmlformats.org/officeDocument/2006/relationships" ref="R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worksheet>
</file>

<file path=xl/worksheets/sheet20.xml><?xml version="1.0" encoding="utf-8"?>
<worksheet xmlns="http://schemas.openxmlformats.org/spreadsheetml/2006/main">
  <sheetPr>
    <tabColor rgb="001F3864"/>
    <outlinePr summaryBelow="1" summaryRight="1"/>
    <pageSetUpPr fitToPage="1"/>
  </sheetPr>
  <dimension ref="A1:G345"/>
  <sheetViews>
    <sheetView showGridLines="0" workbookViewId="0">
      <pane ySplit="4" topLeftCell="A5" activePane="bottomLeft" state="frozen"/>
      <selection pane="bottomLeft" activeCell="A1" sqref="A1"/>
    </sheetView>
  </sheetViews>
  <sheetFormatPr baseColWidth="8" defaultRowHeight="15"/>
  <cols>
    <col width="10" customWidth="1" min="1" max="1"/>
    <col width="8" customWidth="1" min="2" max="2"/>
    <col width="46" customWidth="1" min="3" max="3"/>
    <col width="42" customWidth="1" min="4" max="4"/>
    <col width="26" customWidth="1" min="5" max="5"/>
    <col width="9" customWidth="1" min="6" max="6"/>
    <col width="13" customWidth="1" min="7" max="7"/>
  </cols>
  <sheetData>
    <row r="1" ht="34" customHeight="1">
      <c r="A1" s="1" t="inlineStr">
        <is>
          <t>10 · Department structures — every department, bottom to top</t>
        </is>
      </c>
      <c r="G1" s="99" t="inlineStr">
        <is>
          <t>◂ Contents</t>
        </is>
      </c>
    </row>
    <row r="2" ht="32" customHeight="1">
      <c r="A2" s="3" t="inlineStr">
        <is>
          <r>
            <rPr>
              <rFont val="Calibri"/>
              <b val="1"/>
              <i val="1"/>
              <color rgb="00404040"/>
              <sz val="10"/>
            </rPr>
            <t>For each business line and department:</t>
          </r>
          <r>
            <rPr>
              <rFont val="Calibri"/>
              <i val="1"/>
              <color rgb="00404040"/>
              <sz val="10"/>
            </rPr>
            <t xml:space="preserve"> the type of work and its weight tilt, then every level in use with its designations, families and tracks. Counts are people; no individual data.</t>
          </r>
        </is>
      </c>
    </row>
    <row r="3">
      <c r="A3" s="4" t="inlineStr">
        <is>
          <t>IRIS · Job Architecture &amp; Job Design · Final v1.12 · October 2026 · Internal — Confidential</t>
        </is>
      </c>
    </row>
    <row r="4"/>
    <row r="5" ht="20" customHeight="1">
      <c r="A5" s="6" t="inlineStr">
        <is>
          <t>All departments at a glance</t>
        </is>
      </c>
    </row>
    <row r="6" ht="28" customHeight="1">
      <c r="A6" s="7" t="inlineStr">
        <is>
          <t>Business line · department</t>
        </is>
      </c>
      <c r="B6" s="63" t="n"/>
      <c r="C6" s="7" t="inlineStr">
        <is>
          <t>People</t>
        </is>
      </c>
      <c r="D6" s="7" t="inlineStr">
        <is>
          <t>Type of work</t>
        </is>
      </c>
      <c r="E6" s="7" t="inlineStr">
        <is>
          <t>Families · sub-families · roles</t>
        </is>
      </c>
      <c r="F6" s="7" t="inlineStr">
        <is>
          <t>Levels</t>
        </is>
      </c>
    </row>
    <row r="7" ht="15" customHeight="1">
      <c r="A7" s="14" t="inlineStr">
        <is>
          <t>CARBON · Services</t>
        </is>
      </c>
      <c r="B7" s="63" t="n"/>
      <c r="C7" s="8" t="n">
        <v>60</v>
      </c>
      <c r="D7" s="9" t="inlineStr">
        <is>
          <t>Service delivery &amp; data operations</t>
        </is>
      </c>
      <c r="E7" s="8" t="inlineStr">
        <is>
          <t>3 · 5 · 16</t>
        </is>
      </c>
      <c r="F7" s="8" t="inlineStr">
        <is>
          <t>A2–C1</t>
        </is>
      </c>
    </row>
    <row r="8" ht="28" customHeight="1">
      <c r="A8" s="14" t="inlineStr">
        <is>
          <t>CARBON · Technology</t>
        </is>
      </c>
      <c r="B8" s="63" t="n"/>
      <c r="C8" s="8" t="n">
        <v>47</v>
      </c>
      <c r="D8" s="9" t="inlineStr">
        <is>
          <t>Technology &amp; engineering</t>
        </is>
      </c>
      <c r="E8" s="8" t="inlineStr">
        <is>
          <t>4 · 8 · 19</t>
        </is>
      </c>
      <c r="F8" s="8" t="inlineStr">
        <is>
          <t>A1–C2</t>
        </is>
      </c>
    </row>
    <row r="9" ht="28" customHeight="1">
      <c r="A9" s="14" t="inlineStr">
        <is>
          <t>CARBON · Marketing</t>
        </is>
      </c>
      <c r="B9" s="63" t="n"/>
      <c r="C9" s="8" t="n">
        <v>31</v>
      </c>
      <c r="D9" s="9" t="inlineStr">
        <is>
          <t>Sales &amp; marketing</t>
        </is>
      </c>
      <c r="E9" s="8" t="inlineStr">
        <is>
          <t>3 · 7 · 17</t>
        </is>
      </c>
      <c r="F9" s="8" t="inlineStr">
        <is>
          <t>A1–B3</t>
        </is>
      </c>
    </row>
    <row r="10" ht="28" customHeight="1">
      <c r="A10" s="14" t="inlineStr">
        <is>
          <t>CARBON · Digitizing</t>
        </is>
      </c>
      <c r="B10" s="63" t="n"/>
      <c r="C10" s="8" t="n">
        <v>24</v>
      </c>
      <c r="D10" s="9" t="inlineStr">
        <is>
          <t>Service delivery &amp; data operations</t>
        </is>
      </c>
      <c r="E10" s="8" t="inlineStr">
        <is>
          <t>2 · 3 · 7</t>
        </is>
      </c>
      <c r="F10" s="8" t="inlineStr">
        <is>
          <t>A2–C1</t>
        </is>
      </c>
    </row>
    <row r="11" ht="28" customHeight="1">
      <c r="A11" s="14" t="inlineStr">
        <is>
          <t>CARBON · Support</t>
        </is>
      </c>
      <c r="B11" s="63" t="n"/>
      <c r="C11" s="8" t="n">
        <v>22</v>
      </c>
      <c r="D11" s="9" t="inlineStr">
        <is>
          <t>Customer support &amp; success</t>
        </is>
      </c>
      <c r="E11" s="8" t="inlineStr">
        <is>
          <t>3 · 6 · 12</t>
        </is>
      </c>
      <c r="F11" s="8" t="inlineStr">
        <is>
          <t>A3–C1 + X1</t>
        </is>
      </c>
    </row>
    <row r="12" ht="28" customHeight="1">
      <c r="A12" s="14" t="inlineStr">
        <is>
          <t>CARBON · Functional</t>
        </is>
      </c>
      <c r="B12" s="63" t="n"/>
      <c r="C12" s="8" t="n">
        <v>14</v>
      </c>
      <c r="D12" s="9" t="inlineStr">
        <is>
          <t>Regulatory &amp; domain consulting</t>
        </is>
      </c>
      <c r="E12" s="8" t="inlineStr">
        <is>
          <t>3 · 4 · 8</t>
        </is>
      </c>
      <c r="F12" s="8" t="inlineStr">
        <is>
          <t>A3–B2</t>
        </is>
      </c>
    </row>
    <row r="13" ht="28" customHeight="1">
      <c r="A13" s="14" t="inlineStr">
        <is>
          <t>CARBON · Quality Assurance</t>
        </is>
      </c>
      <c r="B13" s="63" t="n"/>
      <c r="C13" s="8" t="n">
        <v>8</v>
      </c>
      <c r="D13" s="9" t="inlineStr">
        <is>
          <t>Technology &amp; engineering</t>
        </is>
      </c>
      <c r="E13" s="8" t="inlineStr">
        <is>
          <t>1 · 3 · 3</t>
        </is>
      </c>
      <c r="F13" s="8" t="inlineStr">
        <is>
          <t>A3–B2</t>
        </is>
      </c>
    </row>
    <row r="14" ht="28" customHeight="1">
      <c r="A14" s="14" t="inlineStr">
        <is>
          <t>CARBON · Sales</t>
        </is>
      </c>
      <c r="B14" s="63" t="n"/>
      <c r="C14" s="8" t="n">
        <v>6</v>
      </c>
      <c r="D14" s="9" t="inlineStr">
        <is>
          <t>Sales &amp; marketing</t>
        </is>
      </c>
      <c r="E14" s="8" t="inlineStr">
        <is>
          <t>1 · 3 · 6</t>
        </is>
      </c>
      <c r="F14" s="8" t="inlineStr">
        <is>
          <t>A3–C1 + X3</t>
        </is>
      </c>
    </row>
    <row r="15" ht="28" customHeight="1">
      <c r="A15" s="14" t="inlineStr">
        <is>
          <t>CARBON · CRO - Carbon</t>
        </is>
      </c>
      <c r="B15" s="63" t="n"/>
      <c r="C15" s="8" t="n">
        <v>1</v>
      </c>
      <c r="D15" s="9" t="inlineStr">
        <is>
          <t>Sales &amp; marketing</t>
        </is>
      </c>
      <c r="E15" s="8" t="inlineStr">
        <is>
          <t>1 · 1 · 1</t>
        </is>
      </c>
      <c r="F15" s="8" t="inlineStr">
        <is>
          <t>E1</t>
        </is>
      </c>
    </row>
    <row r="16" ht="28" customHeight="1">
      <c r="A16" s="14" t="inlineStr">
        <is>
          <t>CARBON · CARBON Business Head</t>
        </is>
      </c>
      <c r="B16" s="63" t="n"/>
      <c r="C16" s="8" t="n">
        <v>1</v>
      </c>
      <c r="D16" s="9" t="inlineStr">
        <is>
          <t>General management</t>
        </is>
      </c>
      <c r="E16" s="8" t="inlineStr">
        <is>
          <t>1 · 1 · 1</t>
        </is>
      </c>
      <c r="F16" s="8" t="inlineStr">
        <is>
          <t>D2</t>
        </is>
      </c>
    </row>
    <row r="17" ht="28" customHeight="1">
      <c r="A17" s="14" t="inlineStr">
        <is>
          <t>CARBON · Customer Experience</t>
        </is>
      </c>
      <c r="B17" s="63" t="n"/>
      <c r="C17" s="8" t="n">
        <v>1</v>
      </c>
      <c r="D17" s="9" t="inlineStr">
        <is>
          <t>Customer support &amp; success</t>
        </is>
      </c>
      <c r="E17" s="8" t="inlineStr">
        <is>
          <t>1 · 1 · 1</t>
        </is>
      </c>
      <c r="F17" s="8" t="inlineStr">
        <is>
          <t>D1</t>
        </is>
      </c>
    </row>
    <row r="18" ht="28" customHeight="1">
      <c r="A18" s="14" t="inlineStr">
        <is>
          <t>iFile · Technology</t>
        </is>
      </c>
      <c r="B18" s="63" t="n"/>
      <c r="C18" s="8" t="n">
        <v>139</v>
      </c>
      <c r="D18" s="9" t="inlineStr">
        <is>
          <t>Technology &amp; engineering</t>
        </is>
      </c>
      <c r="E18" s="8" t="inlineStr">
        <is>
          <t>4 · 10 · 44</t>
        </is>
      </c>
      <c r="F18" s="8" t="inlineStr">
        <is>
          <t>A1–C2 + X1</t>
        </is>
      </c>
    </row>
    <row r="19" ht="28" customHeight="1">
      <c r="A19" s="14" t="inlineStr">
        <is>
          <t>iFile · XBRL Consulting</t>
        </is>
      </c>
      <c r="B19" s="63" t="n"/>
      <c r="C19" s="8" t="n">
        <v>32</v>
      </c>
      <c r="D19" s="9" t="inlineStr">
        <is>
          <t>Regulatory &amp; domain consulting</t>
        </is>
      </c>
      <c r="E19" s="8" t="inlineStr">
        <is>
          <t>1 · 3 · 12</t>
        </is>
      </c>
      <c r="F19" s="8" t="inlineStr">
        <is>
          <t>A2–C2 + X1</t>
        </is>
      </c>
    </row>
    <row r="20" ht="28" customHeight="1">
      <c r="A20" s="14" t="inlineStr">
        <is>
          <t>iFile · Quality Assurance</t>
        </is>
      </c>
      <c r="B20" s="63" t="n"/>
      <c r="C20" s="8" t="n">
        <v>21</v>
      </c>
      <c r="D20" s="9" t="inlineStr">
        <is>
          <t>Technology &amp; engineering</t>
        </is>
      </c>
      <c r="E20" s="8" t="inlineStr">
        <is>
          <t>1 · 3 · 9</t>
        </is>
      </c>
      <c r="F20" s="8" t="inlineStr">
        <is>
          <t>A1–B2</t>
        </is>
      </c>
    </row>
    <row r="21" ht="15" customHeight="1">
      <c r="A21" s="14" t="inlineStr">
        <is>
          <t>iFile · Support</t>
        </is>
      </c>
      <c r="B21" s="63" t="n"/>
      <c r="C21" s="8" t="n">
        <v>11</v>
      </c>
      <c r="D21" s="9" t="inlineStr">
        <is>
          <t>Customer support &amp; success</t>
        </is>
      </c>
      <c r="E21" s="8" t="inlineStr">
        <is>
          <t>1 · 1 · 3</t>
        </is>
      </c>
      <c r="F21" s="8" t="inlineStr">
        <is>
          <t>A2–B1</t>
        </is>
      </c>
    </row>
    <row r="22" ht="28" customHeight="1">
      <c r="A22" s="14" t="inlineStr">
        <is>
          <t>iFile · Sales</t>
        </is>
      </c>
      <c r="B22" s="63" t="n"/>
      <c r="C22" s="8" t="n">
        <v>10</v>
      </c>
      <c r="D22" s="9" t="inlineStr">
        <is>
          <t>Sales &amp; marketing</t>
        </is>
      </c>
      <c r="E22" s="8" t="inlineStr">
        <is>
          <t>3 · 7 · 10</t>
        </is>
      </c>
      <c r="F22" s="8" t="inlineStr">
        <is>
          <t>A1–D2 + X2 · X3</t>
        </is>
      </c>
    </row>
    <row r="23" ht="15" customHeight="1">
      <c r="A23" s="14" t="inlineStr">
        <is>
          <t>iFile · Marketing</t>
        </is>
      </c>
      <c r="B23" s="63" t="n"/>
      <c r="C23" s="8" t="n">
        <v>2</v>
      </c>
      <c r="D23" s="9" t="inlineStr">
        <is>
          <t>Sales &amp; marketing</t>
        </is>
      </c>
      <c r="E23" s="8" t="inlineStr">
        <is>
          <t>1 · 2 · 2</t>
        </is>
      </c>
      <c r="F23" s="8" t="inlineStr">
        <is>
          <t>A3–B1</t>
        </is>
      </c>
    </row>
    <row r="24" ht="15" customHeight="1">
      <c r="A24" s="14" t="inlineStr">
        <is>
          <t>iFile · Design</t>
        </is>
      </c>
      <c r="B24" s="63" t="n"/>
      <c r="C24" s="8" t="n">
        <v>2</v>
      </c>
      <c r="D24" s="9" t="inlineStr">
        <is>
          <t>Technology &amp; engineering</t>
        </is>
      </c>
      <c r="E24" s="8" t="inlineStr">
        <is>
          <t>1 · 1 · 2</t>
        </is>
      </c>
      <c r="F24" s="8" t="inlineStr">
        <is>
          <t>A3–B1</t>
        </is>
      </c>
    </row>
    <row r="25" ht="28" customHeight="1">
      <c r="A25" s="14" t="inlineStr">
        <is>
          <t>iFile · Product Management</t>
        </is>
      </c>
      <c r="B25" s="63" t="n"/>
      <c r="C25" s="8" t="n">
        <v>1</v>
      </c>
      <c r="D25" s="9" t="inlineStr">
        <is>
          <t>Product &amp; programme</t>
        </is>
      </c>
      <c r="E25" s="8" t="inlineStr">
        <is>
          <t>1 · 1 · 1</t>
        </is>
      </c>
      <c r="F25" s="8" t="inlineStr">
        <is>
          <t>B3</t>
        </is>
      </c>
    </row>
    <row r="26" ht="28" customHeight="1">
      <c r="A26" s="14" t="inlineStr">
        <is>
          <t>iDEAL · Technology</t>
        </is>
      </c>
      <c r="B26" s="63" t="n"/>
      <c r="C26" s="8" t="n">
        <v>33</v>
      </c>
      <c r="D26" s="9" t="inlineStr">
        <is>
          <t>Technology &amp; engineering</t>
        </is>
      </c>
      <c r="E26" s="8" t="inlineStr">
        <is>
          <t>5 · 7 · 17</t>
        </is>
      </c>
      <c r="F26" s="8" t="inlineStr">
        <is>
          <t>A1–B+</t>
        </is>
      </c>
    </row>
    <row r="27" ht="28" customHeight="1">
      <c r="A27" s="14" t="inlineStr">
        <is>
          <t>iDEAL · Quality Assurance</t>
        </is>
      </c>
      <c r="B27" s="63" t="n"/>
      <c r="C27" s="8" t="n">
        <v>5</v>
      </c>
      <c r="D27" s="9" t="inlineStr">
        <is>
          <t>Technology &amp; engineering</t>
        </is>
      </c>
      <c r="E27" s="8" t="inlineStr">
        <is>
          <t>1 · 2 · 3</t>
        </is>
      </c>
      <c r="F27" s="8" t="inlineStr">
        <is>
          <t>A3–B1</t>
        </is>
      </c>
    </row>
    <row r="28" ht="15" customHeight="1">
      <c r="A28" s="14" t="inlineStr">
        <is>
          <t>iDEAL · Sales</t>
        </is>
      </c>
      <c r="B28" s="63" t="n"/>
      <c r="C28" s="8" t="n">
        <v>4</v>
      </c>
      <c r="D28" s="9" t="inlineStr">
        <is>
          <t>Sales &amp; marketing</t>
        </is>
      </c>
      <c r="E28" s="8" t="inlineStr">
        <is>
          <t>2 · 3 · 4</t>
        </is>
      </c>
      <c r="F28" s="8" t="inlineStr">
        <is>
          <t>A1–B2</t>
        </is>
      </c>
    </row>
    <row r="29" ht="28" customHeight="1">
      <c r="A29" s="14" t="inlineStr">
        <is>
          <t>iDEAL · Product Management</t>
        </is>
      </c>
      <c r="B29" s="63" t="n"/>
      <c r="C29" s="8" t="n">
        <v>3</v>
      </c>
      <c r="D29" s="9" t="inlineStr">
        <is>
          <t>Product &amp; programme</t>
        </is>
      </c>
      <c r="E29" s="8" t="inlineStr">
        <is>
          <t>1 · 2 · 2</t>
        </is>
      </c>
      <c r="F29" s="8" t="inlineStr">
        <is>
          <t>A3–B2</t>
        </is>
      </c>
    </row>
    <row r="30" ht="15" customHeight="1">
      <c r="A30" s="14" t="inlineStr">
        <is>
          <t>iDEAL · Marketing</t>
        </is>
      </c>
      <c r="B30" s="63" t="n"/>
      <c r="C30" s="8" t="n">
        <v>1</v>
      </c>
      <c r="D30" s="9" t="inlineStr">
        <is>
          <t>Sales &amp; marketing</t>
        </is>
      </c>
      <c r="E30" s="8" t="inlineStr">
        <is>
          <t>1 · 1 · 1</t>
        </is>
      </c>
      <c r="F30" s="8" t="inlineStr">
        <is>
          <t>A2</t>
        </is>
      </c>
    </row>
    <row r="31" ht="28" customHeight="1">
      <c r="A31" s="14" t="inlineStr">
        <is>
          <t>iDEAL · iDEAL Business Head</t>
        </is>
      </c>
      <c r="B31" s="63" t="n"/>
      <c r="C31" s="8" t="n">
        <v>1</v>
      </c>
      <c r="D31" s="9" t="inlineStr">
        <is>
          <t>General management</t>
        </is>
      </c>
      <c r="E31" s="8" t="inlineStr">
        <is>
          <t>1 · 1 · 1</t>
        </is>
      </c>
      <c r="F31" s="8" t="inlineStr">
        <is>
          <t>D1</t>
        </is>
      </c>
    </row>
    <row r="32" ht="28" customHeight="1">
      <c r="A32" s="14" t="inlineStr">
        <is>
          <t>Datatech · Technology</t>
        </is>
      </c>
      <c r="B32" s="63" t="n"/>
      <c r="C32" s="8" t="n">
        <v>10</v>
      </c>
      <c r="D32" s="9" t="inlineStr">
        <is>
          <t>Technology &amp; engineering</t>
        </is>
      </c>
      <c r="E32" s="8" t="inlineStr">
        <is>
          <t>4 · 4 · 7</t>
        </is>
      </c>
      <c r="F32" s="8" t="inlineStr">
        <is>
          <t>A1–C1 + X1</t>
        </is>
      </c>
    </row>
    <row r="33" ht="28" customHeight="1">
      <c r="A33" s="14" t="inlineStr">
        <is>
          <t>Datatech · Datatech - Outreach</t>
        </is>
      </c>
      <c r="B33" s="63" t="n"/>
      <c r="C33" s="8" t="n">
        <v>8</v>
      </c>
      <c r="D33" s="9" t="inlineStr">
        <is>
          <t>Sales &amp; marketing</t>
        </is>
      </c>
      <c r="E33" s="8" t="inlineStr">
        <is>
          <t>2 · 2 · 5</t>
        </is>
      </c>
      <c r="F33" s="8" t="inlineStr">
        <is>
          <t>A2–B2</t>
        </is>
      </c>
    </row>
    <row r="34" ht="28" customHeight="1">
      <c r="A34" s="14" t="inlineStr">
        <is>
          <t>Datatech · Product Management</t>
        </is>
      </c>
      <c r="B34" s="63" t="n"/>
      <c r="C34" s="8" t="n">
        <v>5</v>
      </c>
      <c r="D34" s="9" t="inlineStr">
        <is>
          <t>Product &amp; programme</t>
        </is>
      </c>
      <c r="E34" s="8" t="inlineStr">
        <is>
          <t>1 · 1 · 2</t>
        </is>
      </c>
      <c r="F34" s="8" t="inlineStr">
        <is>
          <t>B1–B2</t>
        </is>
      </c>
    </row>
    <row r="35" ht="28" customHeight="1">
      <c r="A35" s="14" t="inlineStr">
        <is>
          <t>Datatech · Marketing</t>
        </is>
      </c>
      <c r="B35" s="63" t="n"/>
      <c r="C35" s="8" t="n">
        <v>5</v>
      </c>
      <c r="D35" s="9" t="inlineStr">
        <is>
          <t>Sales &amp; marketing</t>
        </is>
      </c>
      <c r="E35" s="8" t="inlineStr">
        <is>
          <t>2 · 5 · 5</t>
        </is>
      </c>
      <c r="F35" s="8" t="inlineStr">
        <is>
          <t>A2–B2 + X1</t>
        </is>
      </c>
    </row>
    <row r="36" ht="28" customHeight="1">
      <c r="A36" s="14" t="inlineStr">
        <is>
          <t>Datatech · Not provided · HRIS</t>
        </is>
      </c>
      <c r="B36" s="63" t="n"/>
      <c r="C36" s="8" t="n">
        <v>2</v>
      </c>
      <c r="D36" s="9" t="inlineStr">
        <is>
          <t>Consultants · outside the ladder</t>
        </is>
      </c>
      <c r="E36" s="8" t="inlineStr">
        <is>
          <t>1 · 1 · 1</t>
        </is>
      </c>
      <c r="F36" s="8" t="inlineStr">
        <is>
          <t>X1</t>
        </is>
      </c>
    </row>
    <row r="37" ht="28" customHeight="1">
      <c r="A37" s="14" t="inlineStr">
        <is>
          <t>Datatech · Quality Assurance</t>
        </is>
      </c>
      <c r="B37" s="63" t="n"/>
      <c r="C37" s="8" t="n">
        <v>2</v>
      </c>
      <c r="D37" s="9" t="inlineStr">
        <is>
          <t>Technology &amp; engineering</t>
        </is>
      </c>
      <c r="E37" s="8" t="inlineStr">
        <is>
          <t>1 · 2 · 2</t>
        </is>
      </c>
      <c r="F37" s="8" t="inlineStr">
        <is>
          <t>A3</t>
        </is>
      </c>
    </row>
    <row r="38" ht="15" customHeight="1">
      <c r="A38" s="14" t="inlineStr">
        <is>
          <t>Datatech · Sales</t>
        </is>
      </c>
      <c r="B38" s="63" t="n"/>
      <c r="C38" s="8" t="n">
        <v>1</v>
      </c>
      <c r="D38" s="9" t="inlineStr">
        <is>
          <t>Sales &amp; marketing</t>
        </is>
      </c>
      <c r="E38" s="8" t="inlineStr">
        <is>
          <t>1 · 1 · 1</t>
        </is>
      </c>
      <c r="F38" s="8" t="inlineStr">
        <is>
          <t>C1</t>
        </is>
      </c>
    </row>
    <row r="39" ht="28" customHeight="1">
      <c r="A39" s="14" t="inlineStr">
        <is>
          <t>Datatech · Datatech Business Head</t>
        </is>
      </c>
      <c r="B39" s="63" t="n"/>
      <c r="C39" s="8" t="n">
        <v>1</v>
      </c>
      <c r="D39" s="9" t="inlineStr">
        <is>
          <t>General management</t>
        </is>
      </c>
      <c r="E39" s="8" t="inlineStr">
        <is>
          <t>1 · 1 · 1</t>
        </is>
      </c>
      <c r="F39" s="8" t="inlineStr">
        <is>
          <t>D2</t>
        </is>
      </c>
    </row>
    <row r="40" ht="28" customHeight="1">
      <c r="A40" s="14" t="inlineStr">
        <is>
          <t>Consume · Digitizing</t>
        </is>
      </c>
      <c r="B40" s="63" t="n"/>
      <c r="C40" s="8" t="n">
        <v>9</v>
      </c>
      <c r="D40" s="9" t="inlineStr">
        <is>
          <t>Service delivery &amp; data operations</t>
        </is>
      </c>
      <c r="E40" s="8" t="inlineStr">
        <is>
          <t>1 · 1 · 4</t>
        </is>
      </c>
      <c r="F40" s="8" t="inlineStr">
        <is>
          <t>A2–B2</t>
        </is>
      </c>
    </row>
    <row r="41" ht="28" customHeight="1">
      <c r="A41" s="14" t="inlineStr">
        <is>
          <t>Consume · India Content</t>
        </is>
      </c>
      <c r="B41" s="63" t="n"/>
      <c r="C41" s="8" t="n">
        <v>9</v>
      </c>
      <c r="D41" s="9" t="inlineStr">
        <is>
          <t>Service delivery &amp; data operations</t>
        </is>
      </c>
      <c r="E41" s="8" t="inlineStr">
        <is>
          <t>1 · 1 · 3</t>
        </is>
      </c>
      <c r="F41" s="8" t="inlineStr">
        <is>
          <t>A3–B2</t>
        </is>
      </c>
    </row>
    <row r="42" ht="28" customHeight="1">
      <c r="A42" s="14" t="inlineStr">
        <is>
          <t>Consume · Technology</t>
        </is>
      </c>
      <c r="B42" s="63" t="n"/>
      <c r="C42" s="8" t="n">
        <v>5</v>
      </c>
      <c r="D42" s="9" t="inlineStr">
        <is>
          <t>Technology &amp; engineering</t>
        </is>
      </c>
      <c r="E42" s="8" t="inlineStr">
        <is>
          <t>2 · 2 · 5</t>
        </is>
      </c>
      <c r="F42" s="8" t="inlineStr">
        <is>
          <t>A3–B3</t>
        </is>
      </c>
    </row>
    <row r="43" ht="28" customHeight="1">
      <c r="A43" s="14" t="inlineStr">
        <is>
          <t>Corporate · IT &amp; Infrastructure</t>
        </is>
      </c>
      <c r="B43" s="63" t="n"/>
      <c r="C43" s="8" t="n">
        <v>14</v>
      </c>
      <c r="D43" s="9" t="inlineStr">
        <is>
          <t>Technology &amp; engineering</t>
        </is>
      </c>
      <c r="E43" s="8" t="inlineStr">
        <is>
          <t>2 · 4 · 8</t>
        </is>
      </c>
      <c r="F43" s="8" t="inlineStr">
        <is>
          <t>A3–B2</t>
        </is>
      </c>
    </row>
    <row r="44" ht="28" customHeight="1">
      <c r="A44" s="14" t="inlineStr">
        <is>
          <t>Corporate · Finance</t>
        </is>
      </c>
      <c r="B44" s="63" t="n"/>
      <c r="C44" s="8" t="n">
        <v>11</v>
      </c>
      <c r="D44" s="9" t="inlineStr">
        <is>
          <t>Corporate functions</t>
        </is>
      </c>
      <c r="E44" s="8" t="inlineStr">
        <is>
          <t>2 · 4 · 8</t>
        </is>
      </c>
      <c r="F44" s="8" t="inlineStr">
        <is>
          <t>A3–E1</t>
        </is>
      </c>
    </row>
    <row r="45" ht="15" customHeight="1">
      <c r="A45" s="14" t="inlineStr">
        <is>
          <t>Corporate · HR</t>
        </is>
      </c>
      <c r="B45" s="63" t="n"/>
      <c r="C45" s="8" t="n">
        <v>8</v>
      </c>
      <c r="D45" s="9" t="inlineStr">
        <is>
          <t>Corporate functions</t>
        </is>
      </c>
      <c r="E45" s="8" t="inlineStr">
        <is>
          <t>1 · 4 · 7</t>
        </is>
      </c>
      <c r="F45" s="8" t="inlineStr">
        <is>
          <t>A2–D2</t>
        </is>
      </c>
    </row>
    <row r="46" ht="28" customHeight="1">
      <c r="A46" s="14" t="inlineStr">
        <is>
          <t>Corporate · Administration</t>
        </is>
      </c>
      <c r="B46" s="63" t="n"/>
      <c r="C46" s="8" t="n">
        <v>6</v>
      </c>
      <c r="D46" s="9" t="inlineStr">
        <is>
          <t>Corporate functions</t>
        </is>
      </c>
      <c r="E46" s="8" t="inlineStr">
        <is>
          <t>1 · 1 · 3</t>
        </is>
      </c>
      <c r="F46" s="8" t="inlineStr">
        <is>
          <t>A3–B2 + X1</t>
        </is>
      </c>
    </row>
    <row r="47" ht="28" customHeight="1">
      <c r="A47" s="14" t="inlineStr">
        <is>
          <t>Corporate · Secretarial &amp; Legal</t>
        </is>
      </c>
      <c r="B47" s="63" t="n"/>
      <c r="C47" s="8" t="n">
        <v>3</v>
      </c>
      <c r="D47" s="9" t="inlineStr">
        <is>
          <t>Corporate functions</t>
        </is>
      </c>
      <c r="E47" s="8" t="inlineStr">
        <is>
          <t>1 · 1 · 3</t>
        </is>
      </c>
      <c r="F47" s="8" t="inlineStr">
        <is>
          <t>A1–C1</t>
        </is>
      </c>
    </row>
    <row r="48" ht="28" customHeight="1">
      <c r="A48" s="14" t="inlineStr">
        <is>
          <t>Corporate · Marketing</t>
        </is>
      </c>
      <c r="B48" s="63" t="n"/>
      <c r="C48" s="8" t="n">
        <v>3</v>
      </c>
      <c r="D48" s="9" t="inlineStr">
        <is>
          <t>Sales &amp; marketing</t>
        </is>
      </c>
      <c r="E48" s="8" t="inlineStr">
        <is>
          <t>2 · 3 · 3</t>
        </is>
      </c>
      <c r="F48" s="8" t="inlineStr">
        <is>
          <t>A3–B2</t>
        </is>
      </c>
    </row>
    <row r="49" ht="28" customHeight="1">
      <c r="A49" s="14" t="inlineStr">
        <is>
          <t>Corporate · Management</t>
        </is>
      </c>
      <c r="B49" s="63" t="n"/>
      <c r="C49" s="8" t="n">
        <v>2</v>
      </c>
      <c r="D49" s="9" t="inlineStr">
        <is>
          <t>General management</t>
        </is>
      </c>
      <c r="E49" s="8" t="inlineStr">
        <is>
          <t>1 · 1 · 2</t>
        </is>
      </c>
      <c r="F49" s="8" t="inlineStr">
        <is>
          <t>E1–E2</t>
        </is>
      </c>
    </row>
    <row r="50" ht="28" customHeight="1">
      <c r="A50" s="14" t="inlineStr">
        <is>
          <t>Corporate · Technology</t>
        </is>
      </c>
      <c r="B50" s="63" t="n"/>
      <c r="C50" s="8" t="n">
        <v>2</v>
      </c>
      <c r="D50" s="9" t="inlineStr">
        <is>
          <t>Technology &amp; engineering</t>
        </is>
      </c>
      <c r="E50" s="8" t="inlineStr">
        <is>
          <t>2 · 2 · 2</t>
        </is>
      </c>
      <c r="F50" s="8" t="inlineStr">
        <is>
          <t>B3–E1</t>
        </is>
      </c>
    </row>
    <row r="51" ht="15" customHeight="1"/>
    <row r="52" ht="20" customHeight="1">
      <c r="A52" s="6" t="inlineStr">
        <is>
          <t>CARBON</t>
        </is>
      </c>
    </row>
    <row r="53" ht="28" customHeight="1">
      <c r="A53" s="61" t="inlineStr">
        <is>
          <t>Services — 60 people · Service delivery &amp; data operations: delivery work is judged on accuracy and turnaround, so Accountability +5 and Complexity −5</t>
        </is>
      </c>
      <c r="B53" s="64" t="n"/>
      <c r="C53" s="64" t="n"/>
      <c r="D53" s="64" t="n"/>
      <c r="E53" s="64" t="n"/>
      <c r="F53" s="63" t="n"/>
    </row>
    <row r="54" ht="15" customHeight="1">
      <c r="A54" s="7" t="inlineStr">
        <is>
          <t>Level</t>
        </is>
      </c>
      <c r="B54" s="7" t="inlineStr">
        <is>
          <t>Band</t>
        </is>
      </c>
      <c r="C54" s="7" t="inlineStr">
        <is>
          <t>Designations in use · ×n = people</t>
        </is>
      </c>
      <c r="D54" s="7" t="inlineStr">
        <is>
          <t>Job family · sub-family</t>
        </is>
      </c>
      <c r="E54" s="7" t="inlineStr">
        <is>
          <t>Tracks</t>
        </is>
      </c>
      <c r="F54" s="7" t="inlineStr">
        <is>
          <t>People</t>
        </is>
      </c>
    </row>
    <row r="55" ht="28" customHeight="1">
      <c r="A55" s="18" t="inlineStr">
        <is>
          <t>A2</t>
        </is>
      </c>
      <c r="B55" s="42" t="inlineStr">
        <is>
          <t>A</t>
        </is>
      </c>
      <c r="C55" s="19" t="inlineStr">
        <is>
          <t>Financial Analyst</t>
        </is>
      </c>
      <c r="D55" s="19" t="inlineStr">
        <is>
          <t>Consulting &amp; Professional Services · XBRL Tagging, Conversion &amp; Filing</t>
        </is>
      </c>
      <c r="E55" s="19" t="inlineStr">
        <is>
          <t>IC 1</t>
        </is>
      </c>
      <c r="F55" s="42" t="n">
        <v>1</v>
      </c>
    </row>
    <row r="56" ht="67" customHeight="1">
      <c r="A56" s="18" t="inlineStr">
        <is>
          <t>A3</t>
        </is>
      </c>
      <c r="B56" s="42" t="inlineStr">
        <is>
          <t>A</t>
        </is>
      </c>
      <c r="C56" s="19" t="inlineStr">
        <is>
          <t>Senior Financial Analyst ×33; XBRL Specialist ×2; Senior Service Delivery Analyst; Senior QA Engineer</t>
        </is>
      </c>
      <c r="D56" s="19" t="inlineStr">
        <is>
          <t>Consulting &amp; Professional Services · XBRL Tagging, Conversion &amp; Filing ×35; Consulting &amp; Professional Services · Service Delivery Operations; Quality Assurance · Functional &amp; Domain Testing</t>
        </is>
      </c>
      <c r="E56" s="19" t="inlineStr">
        <is>
          <t>IC 37</t>
        </is>
      </c>
      <c r="F56" s="42" t="n">
        <v>37</v>
      </c>
    </row>
    <row r="57" ht="54" customHeight="1">
      <c r="A57" s="21" t="inlineStr">
        <is>
          <t>B1</t>
        </is>
      </c>
      <c r="B57" s="43" t="inlineStr">
        <is>
          <t>B</t>
        </is>
      </c>
      <c r="C57" s="22" t="inlineStr">
        <is>
          <t>XBRL Specialist ×8; Team Lead – Assisted Services ×2; XBRL Specialist – POD Lead ×2; Service Delivery Specialist</t>
        </is>
      </c>
      <c r="D57" s="22" t="inlineStr">
        <is>
          <t>Consulting &amp; Professional Services · XBRL Tagging, Conversion &amp; Filing ×12; Consulting &amp; Professional Services · Service Delivery Operations</t>
        </is>
      </c>
      <c r="E57" s="22" t="inlineStr">
        <is>
          <t>IC 9 · People Manager 2 · POD Lead 2</t>
        </is>
      </c>
      <c r="F57" s="43" t="n">
        <v>13</v>
      </c>
    </row>
    <row r="58" ht="67" customHeight="1">
      <c r="A58" s="21" t="inlineStr">
        <is>
          <t>B2</t>
        </is>
      </c>
      <c r="B58" s="43" t="inlineStr">
        <is>
          <t>B</t>
        </is>
      </c>
      <c r="C58" s="22" t="inlineStr">
        <is>
          <t>Manager – Assisted Services ×3; Senior Manager – Assisted Services; Senior QA Specialist – POD Lead; Senior Manager – Service Delivery; +1 more</t>
        </is>
      </c>
      <c r="D58" s="22" t="inlineStr">
        <is>
          <t>Consulting &amp; Professional Services · XBRL Tagging, Conversion &amp; Filing ×4; Quality Assurance · Functional &amp; Domain Testing; Consulting &amp; Professional Services · Service Delivery Operations; +1 more</t>
        </is>
      </c>
      <c r="E58" s="22" t="inlineStr">
        <is>
          <t>People Manager 6 · POD Lead 1</t>
        </is>
      </c>
      <c r="F58" s="43" t="n">
        <v>7</v>
      </c>
    </row>
    <row r="59" ht="28" customHeight="1">
      <c r="A59" s="27" t="inlineStr">
        <is>
          <t>C1</t>
        </is>
      </c>
      <c r="B59" s="45" t="inlineStr">
        <is>
          <t>C</t>
        </is>
      </c>
      <c r="C59" s="28" t="inlineStr">
        <is>
          <t>Associate Head – XBRL Assisted Services; Associate Head – Assisted Services</t>
        </is>
      </c>
      <c r="D59" s="28" t="inlineStr">
        <is>
          <t>Consulting &amp; Professional Services · Professional Services Leadership ×2</t>
        </is>
      </c>
      <c r="E59" s="28" t="inlineStr">
        <is>
          <t>People Manager 2</t>
        </is>
      </c>
      <c r="F59" s="45" t="n">
        <v>2</v>
      </c>
    </row>
    <row r="60" ht="15" customHeight="1"/>
    <row r="61" ht="15" customHeight="1">
      <c r="A61" s="61" t="inlineStr">
        <is>
          <t>Technology — 47 people · Technology &amp; engineering: technology work is valued for technical depth, so Complexity +5 and Accountability −5</t>
        </is>
      </c>
      <c r="B61" s="64" t="n"/>
      <c r="C61" s="64" t="n"/>
      <c r="D61" s="64" t="n"/>
      <c r="E61" s="64" t="n"/>
      <c r="F61" s="63" t="n"/>
    </row>
    <row r="62" ht="15" customHeight="1">
      <c r="A62" s="7" t="inlineStr">
        <is>
          <t>Level</t>
        </is>
      </c>
      <c r="B62" s="7" t="inlineStr">
        <is>
          <t>Band</t>
        </is>
      </c>
      <c r="C62" s="7" t="inlineStr">
        <is>
          <t>Designations in use · ×n = people</t>
        </is>
      </c>
      <c r="D62" s="7" t="inlineStr">
        <is>
          <t>Job family · sub-family</t>
        </is>
      </c>
      <c r="E62" s="7" t="inlineStr">
        <is>
          <t>Tracks</t>
        </is>
      </c>
      <c r="F62" s="7" t="inlineStr">
        <is>
          <t>People</t>
        </is>
      </c>
    </row>
    <row r="63" ht="41" customHeight="1">
      <c r="A63" s="18" t="inlineStr">
        <is>
          <t>A1</t>
        </is>
      </c>
      <c r="B63" s="42" t="inlineStr">
        <is>
          <t>A</t>
        </is>
      </c>
      <c r="C63" s="19" t="inlineStr">
        <is>
          <t>Trainee Software Engineer ×2</t>
        </is>
      </c>
      <c r="D63" s="19" t="inlineStr">
        <is>
          <t>Engineering &amp; Development · Backend Development; Engineering &amp; Development · Full-Stack Development</t>
        </is>
      </c>
      <c r="E63" s="19" t="inlineStr">
        <is>
          <t>IC 2</t>
        </is>
      </c>
      <c r="F63" s="42" t="n">
        <v>2</v>
      </c>
    </row>
    <row r="64" ht="67" customHeight="1">
      <c r="A64" s="18" t="inlineStr">
        <is>
          <t>A2</t>
        </is>
      </c>
      <c r="B64" s="42" t="inlineStr">
        <is>
          <t>A</t>
        </is>
      </c>
      <c r="C64" s="19" t="inlineStr">
        <is>
          <t>AI/ML Engineer ×2; UI Developer; Software Engineer; Business Analyst</t>
        </is>
      </c>
      <c r="D64" s="19" t="inlineStr">
        <is>
          <t>Engineering &amp; Development · AI / ML &amp; GenAI Engineering ×2; Engineering &amp; Development · Front-End / UI Development; Engineering &amp; Development · Backend Development; +1 more</t>
        </is>
      </c>
      <c r="E64" s="19" t="inlineStr">
        <is>
          <t>IC 5</t>
        </is>
      </c>
      <c r="F64" s="42" t="n">
        <v>5</v>
      </c>
    </row>
    <row r="65" ht="67" customHeight="1">
      <c r="A65" s="18" t="inlineStr">
        <is>
          <t>A3</t>
        </is>
      </c>
      <c r="B65" s="42" t="inlineStr">
        <is>
          <t>A</t>
        </is>
      </c>
      <c r="C65" s="19" t="inlineStr">
        <is>
          <t>Senior Software Engineer ×19; Senior UI Developer ×5; Senior AI/ML Engineer ×4; Senior Product Designer</t>
        </is>
      </c>
      <c r="D65" s="19" t="inlineStr">
        <is>
          <t>Engineering &amp; Development · Full-Stack Development ×10; Engineering &amp; Development · Backend Development ×9; Engineering &amp; Development · Front-End / UI Development ×5; +2 more</t>
        </is>
      </c>
      <c r="E65" s="19" t="inlineStr">
        <is>
          <t>IC 29</t>
        </is>
      </c>
      <c r="F65" s="42" t="n">
        <v>29</v>
      </c>
    </row>
    <row r="66" ht="54" customHeight="1">
      <c r="A66" s="21" t="inlineStr">
        <is>
          <t>B1</t>
        </is>
      </c>
      <c r="B66" s="43" t="inlineStr">
        <is>
          <t>B</t>
        </is>
      </c>
      <c r="C66" s="22" t="inlineStr">
        <is>
          <t>Technical Specialist; Technical Specialist – POD Lead; Business Analysis Specialist; AI/ML Specialist – POD Lead</t>
        </is>
      </c>
      <c r="D66" s="22" t="inlineStr">
        <is>
          <t>Engineering &amp; Development · Backend Development ×2; Business Analysis · Business Analysis; Engineering &amp; Development · AI / ML &amp; GenAI Engineering</t>
        </is>
      </c>
      <c r="E66" s="22" t="inlineStr">
        <is>
          <t>IC 2 · POD Lead 2</t>
        </is>
      </c>
      <c r="F66" s="43" t="n">
        <v>4</v>
      </c>
    </row>
    <row r="67" ht="54" customHeight="1">
      <c r="A67" s="21" t="inlineStr">
        <is>
          <t>B2</t>
        </is>
      </c>
      <c r="B67" s="43" t="inlineStr">
        <is>
          <t>B</t>
        </is>
      </c>
      <c r="C67" s="22" t="inlineStr">
        <is>
          <t>Lead Software Engineer – POD Lead ×2; Senior Business Analysis Specialist – POD Lead; Senior Technical Specialist – POD Lead; Project Manager</t>
        </is>
      </c>
      <c r="D67" s="22" t="inlineStr">
        <is>
          <t>Engineering &amp; Development · Backend Development ×2; Engineering &amp; Development · Full-Stack Development; Business Analysis · Business Analysis; +1 more</t>
        </is>
      </c>
      <c r="E67" s="22" t="inlineStr">
        <is>
          <t>POD Lead 4 · IC 1</t>
        </is>
      </c>
      <c r="F67" s="43" t="n">
        <v>5</v>
      </c>
    </row>
    <row r="68" ht="28" customHeight="1">
      <c r="A68" s="21" t="inlineStr">
        <is>
          <t>B3</t>
        </is>
      </c>
      <c r="B68" s="43" t="inlineStr">
        <is>
          <t>B</t>
        </is>
      </c>
      <c r="C68" s="22" t="inlineStr">
        <is>
          <t>Senior Engineering Manager</t>
        </is>
      </c>
      <c r="D68" s="22" t="inlineStr">
        <is>
          <t>Engineering &amp; Development · Backend Development</t>
        </is>
      </c>
      <c r="E68" s="22" t="inlineStr">
        <is>
          <t>People Manager 1</t>
        </is>
      </c>
      <c r="F68" s="43" t="n">
        <v>1</v>
      </c>
    </row>
    <row r="69" ht="28" customHeight="1">
      <c r="A69" s="27" t="inlineStr">
        <is>
          <t>C2</t>
        </is>
      </c>
      <c r="B69" s="45" t="inlineStr">
        <is>
          <t>C</t>
        </is>
      </c>
      <c r="C69" s="28" t="inlineStr">
        <is>
          <t>Head – Product Engineering</t>
        </is>
      </c>
      <c r="D69" s="28" t="inlineStr">
        <is>
          <t>Engineering &amp; Development · Engineering Leadership</t>
        </is>
      </c>
      <c r="E69" s="28" t="inlineStr">
        <is>
          <t>People Manager 1</t>
        </is>
      </c>
      <c r="F69" s="45" t="n">
        <v>1</v>
      </c>
    </row>
    <row r="70" ht="15" customHeight="1"/>
    <row r="71" ht="28" customHeight="1">
      <c r="A71" s="61" t="inlineStr">
        <is>
          <t>Marketing — 31 people · Sales &amp; marketing: sales and marketing are judged on pipeline and revenue, so Business Impact +5, Autonomy +5, Complexity −5 and Accountability −5</t>
        </is>
      </c>
      <c r="B71" s="64" t="n"/>
      <c r="C71" s="64" t="n"/>
      <c r="D71" s="64" t="n"/>
      <c r="E71" s="64" t="n"/>
      <c r="F71" s="63" t="n"/>
    </row>
    <row r="72" ht="15" customHeight="1">
      <c r="A72" s="7" t="inlineStr">
        <is>
          <t>Level</t>
        </is>
      </c>
      <c r="B72" s="7" t="inlineStr">
        <is>
          <t>Band</t>
        </is>
      </c>
      <c r="C72" s="7" t="inlineStr">
        <is>
          <t>Designations in use · ×n = people</t>
        </is>
      </c>
      <c r="D72" s="7" t="inlineStr">
        <is>
          <t>Job family · sub-family</t>
        </is>
      </c>
      <c r="E72" s="7" t="inlineStr">
        <is>
          <t>Tracks</t>
        </is>
      </c>
      <c r="F72" s="7" t="inlineStr">
        <is>
          <t>People</t>
        </is>
      </c>
    </row>
    <row r="73" ht="28" customHeight="1">
      <c r="A73" s="18" t="inlineStr">
        <is>
          <t>A1</t>
        </is>
      </c>
      <c r="B73" s="42" t="inlineStr">
        <is>
          <t>A</t>
        </is>
      </c>
      <c r="C73" s="19" t="inlineStr">
        <is>
          <t>Intern – Sales Development &amp; Prospecting ×3</t>
        </is>
      </c>
      <c r="D73" s="19" t="inlineStr">
        <is>
          <t>Sales &amp; Business Development · Sales Development &amp; Prospecting ×3</t>
        </is>
      </c>
      <c r="E73" s="19" t="inlineStr">
        <is>
          <t>IC 3</t>
        </is>
      </c>
      <c r="F73" s="42" t="n">
        <v>3</v>
      </c>
    </row>
    <row r="74" ht="67" customHeight="1">
      <c r="A74" s="18" t="inlineStr">
        <is>
          <t>A2</t>
        </is>
      </c>
      <c r="B74" s="42" t="inlineStr">
        <is>
          <t>A</t>
        </is>
      </c>
      <c r="C74" s="19" t="inlineStr">
        <is>
          <t>Sales Development Representative ×5; Content Marketing Associate ×4; Marketing Operations Associate ×3; Marketing Associate</t>
        </is>
      </c>
      <c r="D74" s="19" t="inlineStr">
        <is>
          <t>Sales &amp; Business Development · Sales Development &amp; Prospecting ×5; Marketing &amp; Communications · Content Marketing ×4; Marketing &amp; Communications · Marketing Operations &amp; Automation ×3; +1 more</t>
        </is>
      </c>
      <c r="E74" s="19" t="inlineStr">
        <is>
          <t>IC 13</t>
        </is>
      </c>
      <c r="F74" s="42" t="n">
        <v>13</v>
      </c>
    </row>
    <row r="75" ht="67" customHeight="1">
      <c r="A75" s="18" t="inlineStr">
        <is>
          <t>A3</t>
        </is>
      </c>
      <c r="B75" s="42" t="inlineStr">
        <is>
          <t>A</t>
        </is>
      </c>
      <c r="C75" s="19" t="inlineStr">
        <is>
          <t>Senior Sales Development Representative ×3; Senior Designer; Senior Digital Marketing Associate; Senior Marketing Operations Associate; +1 more</t>
        </is>
      </c>
      <c r="D75" s="19" t="inlineStr">
        <is>
          <t>Sales &amp; Business Development · Sales Development &amp; Prospecting ×3; Design &amp; Creative · Brand, Graphic &amp; Video Design; Marketing &amp; Communications · Digital Marketing, Web &amp; Social; +2 more</t>
        </is>
      </c>
      <c r="E75" s="19" t="inlineStr">
        <is>
          <t>IC 7</t>
        </is>
      </c>
      <c r="F75" s="42" t="n">
        <v>7</v>
      </c>
    </row>
    <row r="76" ht="41" customHeight="1">
      <c r="A76" s="21" t="inlineStr">
        <is>
          <t>B1</t>
        </is>
      </c>
      <c r="B76" s="43" t="inlineStr">
        <is>
          <t>B</t>
        </is>
      </c>
      <c r="C76" s="22" t="inlineStr">
        <is>
          <t>Team Lead – Sales Development ×2; Design Specialist – POD Lead; Account Executive</t>
        </is>
      </c>
      <c r="D76" s="22" t="inlineStr">
        <is>
          <t>Sales &amp; Business Development · Sales Development &amp; Prospecting ×3; Design &amp; Creative · Brand, Graphic &amp; Video Design</t>
        </is>
      </c>
      <c r="E76" s="22" t="inlineStr">
        <is>
          <t>People Manager 2 · POD Lead 1 · IC 1</t>
        </is>
      </c>
      <c r="F76" s="43" t="n">
        <v>4</v>
      </c>
    </row>
    <row r="77" ht="54" customHeight="1">
      <c r="A77" s="21" t="inlineStr">
        <is>
          <t>B2</t>
        </is>
      </c>
      <c r="B77" s="43" t="inlineStr">
        <is>
          <t>B</t>
        </is>
      </c>
      <c r="C77" s="22" t="inlineStr">
        <is>
          <t>Senior Account Executive – POD Lead; Marketing Manager; Senior Marketing Specialist – POD Lead</t>
        </is>
      </c>
      <c r="D77" s="22" t="inlineStr">
        <is>
          <t>Marketing &amp; Communications · Demand Generation, Brand &amp; Events ×2; Sales &amp; Business Development · Sales Development &amp; Prospecting</t>
        </is>
      </c>
      <c r="E77" s="22" t="inlineStr">
        <is>
          <t>POD Lead 2 · People Manager 1</t>
        </is>
      </c>
      <c r="F77" s="43" t="n">
        <v>3</v>
      </c>
    </row>
    <row r="78" ht="28" customHeight="1">
      <c r="A78" s="21" t="inlineStr">
        <is>
          <t>B3</t>
        </is>
      </c>
      <c r="B78" s="43" t="inlineStr">
        <is>
          <t>B</t>
        </is>
      </c>
      <c r="C78" s="22" t="inlineStr">
        <is>
          <t>Senior Marketing Manager</t>
        </is>
      </c>
      <c r="D78" s="22" t="inlineStr">
        <is>
          <t>Marketing &amp; Communications · Marketing Leadership</t>
        </is>
      </c>
      <c r="E78" s="22" t="inlineStr">
        <is>
          <t>People Manager 1</t>
        </is>
      </c>
      <c r="F78" s="43" t="n">
        <v>1</v>
      </c>
    </row>
    <row r="79" ht="15" customHeight="1"/>
    <row r="80" ht="28" customHeight="1">
      <c r="A80" s="61" t="inlineStr">
        <is>
          <t>Digitizing — 24 people · Service delivery &amp; data operations: delivery work is judged on accuracy and turnaround, so Accountability +5 and Complexity −5</t>
        </is>
      </c>
      <c r="B80" s="64" t="n"/>
      <c r="C80" s="64" t="n"/>
      <c r="D80" s="64" t="n"/>
      <c r="E80" s="64" t="n"/>
      <c r="F80" s="63" t="n"/>
    </row>
    <row r="81" ht="15" customHeight="1">
      <c r="A81" s="7" t="inlineStr">
        <is>
          <t>Level</t>
        </is>
      </c>
      <c r="B81" s="7" t="inlineStr">
        <is>
          <t>Band</t>
        </is>
      </c>
      <c r="C81" s="7" t="inlineStr">
        <is>
          <t>Designations in use · ×n = people</t>
        </is>
      </c>
      <c r="D81" s="7" t="inlineStr">
        <is>
          <t>Job family · sub-family</t>
        </is>
      </c>
      <c r="E81" s="7" t="inlineStr">
        <is>
          <t>Tracks</t>
        </is>
      </c>
      <c r="F81" s="7" t="inlineStr">
        <is>
          <t>People</t>
        </is>
      </c>
    </row>
    <row r="82" ht="41" customHeight="1">
      <c r="A82" s="18" t="inlineStr">
        <is>
          <t>A2</t>
        </is>
      </c>
      <c r="B82" s="42" t="inlineStr">
        <is>
          <t>A</t>
        </is>
      </c>
      <c r="C82" s="19" t="inlineStr">
        <is>
          <t>Digitization Associate ×3</t>
        </is>
      </c>
      <c r="D82" s="19" t="inlineStr">
        <is>
          <t>Data Operations &amp; Digitization · Document Conversion, Formatting &amp; Web Publishing ×3</t>
        </is>
      </c>
      <c r="E82" s="19" t="inlineStr">
        <is>
          <t>IC 3</t>
        </is>
      </c>
      <c r="F82" s="42" t="n">
        <v>3</v>
      </c>
    </row>
    <row r="83" ht="41" customHeight="1">
      <c r="A83" s="18" t="inlineStr">
        <is>
          <t>A3</t>
        </is>
      </c>
      <c r="B83" s="42" t="inlineStr">
        <is>
          <t>A</t>
        </is>
      </c>
      <c r="C83" s="19" t="inlineStr">
        <is>
          <t>Senior Digitization Associate ×14</t>
        </is>
      </c>
      <c r="D83" s="19" t="inlineStr">
        <is>
          <t>Data Operations &amp; Digitization · Document Conversion, Formatting &amp; Web Publishing ×14</t>
        </is>
      </c>
      <c r="E83" s="19" t="inlineStr">
        <is>
          <t>IC 14</t>
        </is>
      </c>
      <c r="F83" s="42" t="n">
        <v>14</v>
      </c>
    </row>
    <row r="84" ht="54" customHeight="1">
      <c r="A84" s="21" t="inlineStr">
        <is>
          <t>B1</t>
        </is>
      </c>
      <c r="B84" s="43" t="inlineStr">
        <is>
          <t>B</t>
        </is>
      </c>
      <c r="C84" s="22" t="inlineStr">
        <is>
          <t>Digitization Specialist – POD Lead ×3; Customer Enablement Specialist – POD Lead; Team Lead – Digitization</t>
        </is>
      </c>
      <c r="D84" s="22" t="inlineStr">
        <is>
          <t>Data Operations &amp; Digitization · Document Conversion, Formatting &amp; Web Publishing ×4; Customer Success &amp; Support · Customer Training &amp; Enablement</t>
        </is>
      </c>
      <c r="E84" s="22" t="inlineStr">
        <is>
          <t>POD Lead 4 · People Manager 1</t>
        </is>
      </c>
      <c r="F84" s="43" t="n">
        <v>5</v>
      </c>
    </row>
    <row r="85" ht="28" customHeight="1">
      <c r="A85" s="21" t="inlineStr">
        <is>
          <t>B2</t>
        </is>
      </c>
      <c r="B85" s="43" t="inlineStr">
        <is>
          <t>B</t>
        </is>
      </c>
      <c r="C85" s="22" t="inlineStr">
        <is>
          <t>Digitization Manager</t>
        </is>
      </c>
      <c r="D85" s="22" t="inlineStr">
        <is>
          <t>Data Operations &amp; Digitization · Document Conversion, Formatting &amp; Web Publishing</t>
        </is>
      </c>
      <c r="E85" s="22" t="inlineStr">
        <is>
          <t>People Manager 1</t>
        </is>
      </c>
      <c r="F85" s="43" t="n">
        <v>1</v>
      </c>
    </row>
    <row r="86" ht="28" customHeight="1">
      <c r="A86" s="27" t="inlineStr">
        <is>
          <t>C1</t>
        </is>
      </c>
      <c r="B86" s="45" t="inlineStr">
        <is>
          <t>C</t>
        </is>
      </c>
      <c r="C86" s="28" t="inlineStr">
        <is>
          <t>Associate Head – Digitization</t>
        </is>
      </c>
      <c r="D86" s="28" t="inlineStr">
        <is>
          <t>Data Operations &amp; Digitization · Digitization Leadership</t>
        </is>
      </c>
      <c r="E86" s="28" t="inlineStr">
        <is>
          <t>People Manager 1</t>
        </is>
      </c>
      <c r="F86" s="45" t="n">
        <v>1</v>
      </c>
    </row>
    <row r="87" ht="15" customHeight="1"/>
    <row r="88" ht="15" customHeight="1">
      <c r="A88" s="61" t="inlineStr">
        <is>
          <t>Support — 22 people · Customer support &amp; success: support is judged on client outcomes, so Business Impact +5 and Complexity −5</t>
        </is>
      </c>
      <c r="B88" s="64" t="n"/>
      <c r="C88" s="64" t="n"/>
      <c r="D88" s="64" t="n"/>
      <c r="E88" s="64" t="n"/>
      <c r="F88" s="63" t="n"/>
    </row>
    <row r="89" ht="15" customHeight="1">
      <c r="A89" s="7" t="inlineStr">
        <is>
          <t>Level</t>
        </is>
      </c>
      <c r="B89" s="7" t="inlineStr">
        <is>
          <t>Band</t>
        </is>
      </c>
      <c r="C89" s="7" t="inlineStr">
        <is>
          <t>Designations in use · ×n = people</t>
        </is>
      </c>
      <c r="D89" s="7" t="inlineStr">
        <is>
          <t>Job family · sub-family</t>
        </is>
      </c>
      <c r="E89" s="7" t="inlineStr">
        <is>
          <t>Tracks</t>
        </is>
      </c>
      <c r="F89" s="7" t="inlineStr">
        <is>
          <t>People</t>
        </is>
      </c>
    </row>
    <row r="90" ht="80" customHeight="1">
      <c r="A90" s="18" t="inlineStr">
        <is>
          <t>A3</t>
        </is>
      </c>
      <c r="B90" s="42" t="inlineStr">
        <is>
          <t>A</t>
        </is>
      </c>
      <c r="C90" s="19" t="inlineStr">
        <is>
          <t>Senior Support Executive ×7; Senior Software Engineer ×2; Senior Customer Success Executive ×2; MIS Specialist</t>
        </is>
      </c>
      <c r="D90" s="19" t="inlineStr">
        <is>
          <t>Customer Success &amp; Support · Application &amp; Product Support ×7; Engineering &amp; Development · Application Maintenance &amp; Production Support ×2; Customer Success &amp; Support · Customer Success &amp; Account Management ×2; +1 more</t>
        </is>
      </c>
      <c r="E90" s="19" t="inlineStr">
        <is>
          <t>IC 12</t>
        </is>
      </c>
      <c r="F90" s="42" t="n">
        <v>12</v>
      </c>
    </row>
    <row r="91" ht="54" customHeight="1">
      <c r="A91" s="21" t="inlineStr">
        <is>
          <t>B1</t>
        </is>
      </c>
      <c r="B91" s="43" t="inlineStr">
        <is>
          <t>B</t>
        </is>
      </c>
      <c r="C91" s="22" t="inlineStr">
        <is>
          <t>DevOps Specialist – POD Lead; Senior Customer Success Specialist</t>
        </is>
      </c>
      <c r="D91" s="22" t="inlineStr">
        <is>
          <t>Engineering &amp; Development · DevOps &amp; Release Engineering; Customer Success &amp; Support · Customer Success &amp; Account Management</t>
        </is>
      </c>
      <c r="E91" s="22" t="inlineStr">
        <is>
          <t>POD Lead 1 · IC 1</t>
        </is>
      </c>
      <c r="F91" s="43" t="n">
        <v>2</v>
      </c>
    </row>
    <row r="92" ht="54" customHeight="1">
      <c r="A92" s="21" t="inlineStr">
        <is>
          <t>B2</t>
        </is>
      </c>
      <c r="B92" s="43" t="inlineStr">
        <is>
          <t>B</t>
        </is>
      </c>
      <c r="C92" s="22" t="inlineStr">
        <is>
          <t>Senior Customer Success Specialist ×3; Support Manager; Senior Customer Success Specialist – POD Lead; Customer Success Specialist</t>
        </is>
      </c>
      <c r="D92" s="22" t="inlineStr">
        <is>
          <t>Customer Success &amp; Support · Customer Success &amp; Account Management ×5; Customer Success &amp; Support · Application &amp; Product Support</t>
        </is>
      </c>
      <c r="E92" s="22" t="inlineStr">
        <is>
          <t>IC 4 · People Manager 1 · POD Lead 1</t>
        </is>
      </c>
      <c r="F92" s="43" t="n">
        <v>6</v>
      </c>
    </row>
    <row r="93" ht="28" customHeight="1">
      <c r="A93" s="27" t="inlineStr">
        <is>
          <t>C1</t>
        </is>
      </c>
      <c r="B93" s="45" t="inlineStr">
        <is>
          <t>C</t>
        </is>
      </c>
      <c r="C93" s="28" t="inlineStr">
        <is>
          <t>Associate Head – Customer Success</t>
        </is>
      </c>
      <c r="D93" s="28" t="inlineStr">
        <is>
          <t>Customer Success &amp; Support · Customer Success Leadership</t>
        </is>
      </c>
      <c r="E93" s="28" t="inlineStr">
        <is>
          <t>People Manager 1</t>
        </is>
      </c>
      <c r="F93" s="45" t="n">
        <v>1</v>
      </c>
    </row>
    <row r="94" ht="28" customHeight="1">
      <c r="A94" s="39" t="inlineStr">
        <is>
          <t>X1</t>
        </is>
      </c>
      <c r="B94" s="49" t="inlineStr">
        <is>
          <t>X</t>
        </is>
      </c>
      <c r="C94" s="40" t="inlineStr">
        <is>
          <t>Associate Consultant – Customer Success &amp; Account Management</t>
        </is>
      </c>
      <c r="D94" s="40" t="inlineStr">
        <is>
          <t>Customer Success &amp; Support · Customer Success &amp; Account Management</t>
        </is>
      </c>
      <c r="E94" s="40" t="inlineStr">
        <is>
          <t>Consultant 1</t>
        </is>
      </c>
      <c r="F94" s="49" t="n">
        <v>1</v>
      </c>
    </row>
    <row r="95" ht="15" customHeight="1"/>
    <row r="96" ht="15" customHeight="1">
      <c r="A96" s="61" t="inlineStr">
        <is>
          <t>Functional — 14 people · Regulatory &amp; domain consulting: regulatory consulting balances expertise and accountability, so no change</t>
        </is>
      </c>
      <c r="B96" s="64" t="n"/>
      <c r="C96" s="64" t="n"/>
      <c r="D96" s="64" t="n"/>
      <c r="E96" s="64" t="n"/>
      <c r="F96" s="63" t="n"/>
    </row>
    <row r="97" ht="15" customHeight="1">
      <c r="A97" s="7" t="inlineStr">
        <is>
          <t>Level</t>
        </is>
      </c>
      <c r="B97" s="7" t="inlineStr">
        <is>
          <t>Band</t>
        </is>
      </c>
      <c r="C97" s="7" t="inlineStr">
        <is>
          <t>Designations in use · ×n = people</t>
        </is>
      </c>
      <c r="D97" s="7" t="inlineStr">
        <is>
          <t>Job family · sub-family</t>
        </is>
      </c>
      <c r="E97" s="7" t="inlineStr">
        <is>
          <t>Tracks</t>
        </is>
      </c>
      <c r="F97" s="7" t="inlineStr">
        <is>
          <t>People</t>
        </is>
      </c>
    </row>
    <row r="98" ht="41" customHeight="1">
      <c r="A98" s="18" t="inlineStr">
        <is>
          <t>A3</t>
        </is>
      </c>
      <c r="B98" s="42" t="inlineStr">
        <is>
          <t>A</t>
        </is>
      </c>
      <c r="C98" s="19" t="inlineStr">
        <is>
          <t>Senior Functional Analyst; Senior Product Associate</t>
        </is>
      </c>
      <c r="D98" s="19" t="inlineStr">
        <is>
          <t>Solution Consulting &amp; Implementation · Solution Consulting &amp; Implementation; Product Management · Product Management</t>
        </is>
      </c>
      <c r="E98" s="19" t="inlineStr">
        <is>
          <t>IC 2</t>
        </is>
      </c>
      <c r="F98" s="42" t="n">
        <v>2</v>
      </c>
    </row>
    <row r="99" ht="67" customHeight="1">
      <c r="A99" s="21" t="inlineStr">
        <is>
          <t>B1</t>
        </is>
      </c>
      <c r="B99" s="43" t="inlineStr">
        <is>
          <t>B</t>
        </is>
      </c>
      <c r="C99" s="22" t="inlineStr">
        <is>
          <t>Functional Specialist ×5; Associate Product Manager – POD Lead ×3; Functional Specialist – POD Lead; Senior Customer Success Specialist – POD Lead</t>
        </is>
      </c>
      <c r="D99" s="22" t="inlineStr">
        <is>
          <t>Solution Consulting &amp; Implementation · Solution Consulting &amp; Implementation ×5; Product Management · Product Management ×3; Customer Success &amp; Support · Customer Success &amp; Account Management; +1 more</t>
        </is>
      </c>
      <c r="E99" s="22" t="inlineStr">
        <is>
          <t>POD Lead 5 · IC 5</t>
        </is>
      </c>
      <c r="F99" s="43" t="n">
        <v>10</v>
      </c>
    </row>
    <row r="100" ht="41" customHeight="1">
      <c r="A100" s="21" t="inlineStr">
        <is>
          <t>B2</t>
        </is>
      </c>
      <c r="B100" s="43" t="inlineStr">
        <is>
          <t>B</t>
        </is>
      </c>
      <c r="C100" s="22" t="inlineStr">
        <is>
          <t>Senior Functional Specialist; Product Manager</t>
        </is>
      </c>
      <c r="D100" s="22" t="inlineStr">
        <is>
          <t>Solution Consulting &amp; Implementation · Solution Consulting &amp; Implementation; Product Management · Product Management</t>
        </is>
      </c>
      <c r="E100" s="22" t="inlineStr">
        <is>
          <t>IC 1 · People Manager 1</t>
        </is>
      </c>
      <c r="F100" s="43" t="n">
        <v>2</v>
      </c>
    </row>
    <row r="101" ht="15" customHeight="1"/>
    <row r="102" ht="28" customHeight="1">
      <c r="A102" s="61" t="inlineStr">
        <is>
          <t>Quality Assurance — 8 people · Technology &amp; engineering: technology work is valued for technical depth, so Complexity +5 and Accountability −5</t>
        </is>
      </c>
      <c r="B102" s="64" t="n"/>
      <c r="C102" s="64" t="n"/>
      <c r="D102" s="64" t="n"/>
      <c r="E102" s="64" t="n"/>
      <c r="F102" s="63" t="n"/>
    </row>
    <row r="103" ht="15" customHeight="1">
      <c r="A103" s="7" t="inlineStr">
        <is>
          <t>Level</t>
        </is>
      </c>
      <c r="B103" s="7" t="inlineStr">
        <is>
          <t>Band</t>
        </is>
      </c>
      <c r="C103" s="7" t="inlineStr">
        <is>
          <t>Designations in use · ×n = people</t>
        </is>
      </c>
      <c r="D103" s="7" t="inlineStr">
        <is>
          <t>Job family · sub-family</t>
        </is>
      </c>
      <c r="E103" s="7" t="inlineStr">
        <is>
          <t>Tracks</t>
        </is>
      </c>
      <c r="F103" s="7" t="inlineStr">
        <is>
          <t>People</t>
        </is>
      </c>
    </row>
    <row r="104" ht="41" customHeight="1">
      <c r="A104" s="18" t="inlineStr">
        <is>
          <t>A3</t>
        </is>
      </c>
      <c r="B104" s="42" t="inlineStr">
        <is>
          <t>A</t>
        </is>
      </c>
      <c r="C104" s="19" t="inlineStr">
        <is>
          <t>Senior QA Engineer ×6; Senior QA Automation Engineer</t>
        </is>
      </c>
      <c r="D104" s="19" t="inlineStr">
        <is>
          <t>Quality Assurance · Functional &amp; Domain Testing ×6; Quality Assurance · Test Automation</t>
        </is>
      </c>
      <c r="E104" s="19" t="inlineStr">
        <is>
          <t>IC 7</t>
        </is>
      </c>
      <c r="F104" s="42" t="n">
        <v>7</v>
      </c>
    </row>
    <row r="105" ht="28" customHeight="1">
      <c r="A105" s="21" t="inlineStr">
        <is>
          <t>B2</t>
        </is>
      </c>
      <c r="B105" s="43" t="inlineStr">
        <is>
          <t>B</t>
        </is>
      </c>
      <c r="C105" s="22" t="inlineStr">
        <is>
          <t>QA Manager</t>
        </is>
      </c>
      <c r="D105" s="22" t="inlineStr">
        <is>
          <t>Quality Assurance · Test Management &amp; QA Leadership</t>
        </is>
      </c>
      <c r="E105" s="22" t="inlineStr">
        <is>
          <t>People Manager 1</t>
        </is>
      </c>
      <c r="F105" s="43" t="n">
        <v>1</v>
      </c>
    </row>
    <row r="106" ht="15" customHeight="1"/>
    <row r="107" ht="28" customHeight="1">
      <c r="A107" s="61" t="inlineStr">
        <is>
          <t>Sales — 6 people · Sales &amp; marketing: sales and marketing are judged on pipeline and revenue, so Business Impact +5, Autonomy +5, Complexity −5 and Accountability −5</t>
        </is>
      </c>
      <c r="B107" s="64" t="n"/>
      <c r="C107" s="64" t="n"/>
      <c r="D107" s="64" t="n"/>
      <c r="E107" s="64" t="n"/>
      <c r="F107" s="63" t="n"/>
    </row>
    <row r="108" ht="15" customHeight="1">
      <c r="A108" s="7" t="inlineStr">
        <is>
          <t>Level</t>
        </is>
      </c>
      <c r="B108" s="7" t="inlineStr">
        <is>
          <t>Band</t>
        </is>
      </c>
      <c r="C108" s="7" t="inlineStr">
        <is>
          <t>Designations in use · ×n = people</t>
        </is>
      </c>
      <c r="D108" s="7" t="inlineStr">
        <is>
          <t>Job family · sub-family</t>
        </is>
      </c>
      <c r="E108" s="7" t="inlineStr">
        <is>
          <t>Tracks</t>
        </is>
      </c>
      <c r="F108" s="7" t="inlineStr">
        <is>
          <t>People</t>
        </is>
      </c>
    </row>
    <row r="109" ht="28" customHeight="1">
      <c r="A109" s="18" t="inlineStr">
        <is>
          <t>A3</t>
        </is>
      </c>
      <c r="B109" s="42" t="inlineStr">
        <is>
          <t>A</t>
        </is>
      </c>
      <c r="C109" s="19" t="inlineStr">
        <is>
          <t>Senior Sales Operations Analyst</t>
        </is>
      </c>
      <c r="D109" s="19" t="inlineStr">
        <is>
          <t>Sales &amp; Business Development · Bids, RFP &amp; Sales Operations</t>
        </is>
      </c>
      <c r="E109" s="19" t="inlineStr">
        <is>
          <t>IC 1</t>
        </is>
      </c>
      <c r="F109" s="42" t="n">
        <v>1</v>
      </c>
    </row>
    <row r="110" ht="28" customHeight="1">
      <c r="A110" s="21" t="inlineStr">
        <is>
          <t>B1</t>
        </is>
      </c>
      <c r="B110" s="43" t="inlineStr">
        <is>
          <t>B</t>
        </is>
      </c>
      <c r="C110" s="22" t="inlineStr">
        <is>
          <t>Sales Operations Specialist – POD Lead</t>
        </is>
      </c>
      <c r="D110" s="22" t="inlineStr">
        <is>
          <t>Sales &amp; Business Development · Bids, RFP &amp; Sales Operations</t>
        </is>
      </c>
      <c r="E110" s="22" t="inlineStr">
        <is>
          <t>POD Lead 1</t>
        </is>
      </c>
      <c r="F110" s="43" t="n">
        <v>1</v>
      </c>
    </row>
    <row r="111" ht="28" customHeight="1">
      <c r="A111" s="21" t="inlineStr">
        <is>
          <t>B2</t>
        </is>
      </c>
      <c r="B111" s="43" t="inlineStr">
        <is>
          <t>B</t>
        </is>
      </c>
      <c r="C111" s="22" t="inlineStr">
        <is>
          <t>Lead Account Executive</t>
        </is>
      </c>
      <c r="D111" s="22" t="inlineStr">
        <is>
          <t>Sales &amp; Business Development · Sales Leadership</t>
        </is>
      </c>
      <c r="E111" s="22" t="inlineStr">
        <is>
          <t>IC 1</t>
        </is>
      </c>
      <c r="F111" s="43" t="n">
        <v>1</v>
      </c>
    </row>
    <row r="112" ht="28" customHeight="1">
      <c r="A112" s="21" t="inlineStr">
        <is>
          <t>B3</t>
        </is>
      </c>
      <c r="B112" s="43" t="inlineStr">
        <is>
          <t>B</t>
        </is>
      </c>
      <c r="C112" s="22" t="inlineStr">
        <is>
          <t>Lead Account Executive</t>
        </is>
      </c>
      <c r="D112" s="22" t="inlineStr">
        <is>
          <t>Sales &amp; Business Development · Sales Leadership</t>
        </is>
      </c>
      <c r="E112" s="22" t="inlineStr">
        <is>
          <t>IC 1</t>
        </is>
      </c>
      <c r="F112" s="43" t="n">
        <v>1</v>
      </c>
    </row>
    <row r="113" ht="28" customHeight="1">
      <c r="A113" s="27" t="inlineStr">
        <is>
          <t>C1</t>
        </is>
      </c>
      <c r="B113" s="45" t="inlineStr">
        <is>
          <t>C</t>
        </is>
      </c>
      <c r="C113" s="28" t="inlineStr">
        <is>
          <t>Principal – Enterprise Sales</t>
        </is>
      </c>
      <c r="D113" s="28" t="inlineStr">
        <is>
          <t>Sales &amp; Business Development · Sales Leadership</t>
        </is>
      </c>
      <c r="E113" s="28" t="inlineStr">
        <is>
          <t>IC 1</t>
        </is>
      </c>
      <c r="F113" s="45" t="n">
        <v>1</v>
      </c>
    </row>
    <row r="114" ht="28" customHeight="1">
      <c r="A114" s="39" t="inlineStr">
        <is>
          <t>X3</t>
        </is>
      </c>
      <c r="B114" s="49" t="inlineStr">
        <is>
          <t>X</t>
        </is>
      </c>
      <c r="C114" s="40" t="inlineStr">
        <is>
          <t>Senior Consultant – Enterprise Sales &amp; Account Management</t>
        </is>
      </c>
      <c r="D114" s="40" t="inlineStr">
        <is>
          <t>Sales &amp; Business Development · Enterprise Sales &amp; Account Management</t>
        </is>
      </c>
      <c r="E114" s="40" t="inlineStr">
        <is>
          <t>Consultant 1</t>
        </is>
      </c>
      <c r="F114" s="49" t="n">
        <v>1</v>
      </c>
    </row>
    <row r="115" ht="15" customHeight="1"/>
    <row r="116" ht="28" customHeight="1">
      <c r="A116" s="61" t="inlineStr">
        <is>
          <t>CRO - Carbon — 1 person · Sales &amp; marketing: sales and marketing are judged on pipeline and revenue, so Business Impact +5, Autonomy +5, Complexity −5 and Accountability −5</t>
        </is>
      </c>
      <c r="B116" s="64" t="n"/>
      <c r="C116" s="64" t="n"/>
      <c r="D116" s="64" t="n"/>
      <c r="E116" s="64" t="n"/>
      <c r="F116" s="63" t="n"/>
    </row>
    <row r="117" ht="15" customHeight="1">
      <c r="A117" s="7" t="inlineStr">
        <is>
          <t>Level</t>
        </is>
      </c>
      <c r="B117" s="7" t="inlineStr">
        <is>
          <t>Band</t>
        </is>
      </c>
      <c r="C117" s="7" t="inlineStr">
        <is>
          <t>Designations in use · ×n = people</t>
        </is>
      </c>
      <c r="D117" s="7" t="inlineStr">
        <is>
          <t>Job family · sub-family</t>
        </is>
      </c>
      <c r="E117" s="7" t="inlineStr">
        <is>
          <t>Tracks</t>
        </is>
      </c>
      <c r="F117" s="7" t="inlineStr">
        <is>
          <t>People</t>
        </is>
      </c>
    </row>
    <row r="118" ht="28" customHeight="1">
      <c r="A118" s="36" t="inlineStr">
        <is>
          <t>E1</t>
        </is>
      </c>
      <c r="B118" s="48" t="inlineStr">
        <is>
          <t>E</t>
        </is>
      </c>
      <c r="C118" s="37" t="inlineStr">
        <is>
          <t>Chief Revenue Officer</t>
        </is>
      </c>
      <c r="D118" s="37" t="inlineStr">
        <is>
          <t>Executive Leadership · Enterprise Leadership</t>
        </is>
      </c>
      <c r="E118" s="37" t="inlineStr">
        <is>
          <t>People Manager 1</t>
        </is>
      </c>
      <c r="F118" s="48" t="n">
        <v>1</v>
      </c>
    </row>
    <row r="119" ht="15" customHeight="1"/>
    <row r="120" ht="15" customHeight="1">
      <c r="A120" s="61" t="inlineStr">
        <is>
          <t>CARBON Business Head — 1 person · General management: general management uses the base weights, so no change</t>
        </is>
      </c>
      <c r="B120" s="64" t="n"/>
      <c r="C120" s="64" t="n"/>
      <c r="D120" s="64" t="n"/>
      <c r="E120" s="64" t="n"/>
      <c r="F120" s="63" t="n"/>
    </row>
    <row r="121" ht="15" customHeight="1">
      <c r="A121" s="7" t="inlineStr">
        <is>
          <t>Level</t>
        </is>
      </c>
      <c r="B121" s="7" t="inlineStr">
        <is>
          <t>Band</t>
        </is>
      </c>
      <c r="C121" s="7" t="inlineStr">
        <is>
          <t>Designations in use · ×n = people</t>
        </is>
      </c>
      <c r="D121" s="7" t="inlineStr">
        <is>
          <t>Job family · sub-family</t>
        </is>
      </c>
      <c r="E121" s="7" t="inlineStr">
        <is>
          <t>Tracks</t>
        </is>
      </c>
      <c r="F121" s="7" t="inlineStr">
        <is>
          <t>People</t>
        </is>
      </c>
    </row>
    <row r="122" ht="28" customHeight="1">
      <c r="A122" s="33" t="inlineStr">
        <is>
          <t>D2</t>
        </is>
      </c>
      <c r="B122" s="47" t="inlineStr">
        <is>
          <t>D</t>
        </is>
      </c>
      <c r="C122" s="34" t="inlineStr">
        <is>
          <t>Business Head</t>
        </is>
      </c>
      <c r="D122" s="34" t="inlineStr">
        <is>
          <t>Executive Leadership · Business &amp; Functional Leadership</t>
        </is>
      </c>
      <c r="E122" s="34" t="inlineStr">
        <is>
          <t>People Manager 1</t>
        </is>
      </c>
      <c r="F122" s="47" t="n">
        <v>1</v>
      </c>
    </row>
    <row r="123" ht="15" customHeight="1"/>
    <row r="124" ht="15" customHeight="1">
      <c r="A124" s="61" t="inlineStr">
        <is>
          <t>Customer Experience — 1 person · Customer support &amp; success: support is judged on client outcomes, so Business Impact +5 and Complexity −5</t>
        </is>
      </c>
      <c r="B124" s="64" t="n"/>
      <c r="C124" s="64" t="n"/>
      <c r="D124" s="64" t="n"/>
      <c r="E124" s="64" t="n"/>
      <c r="F124" s="63" t="n"/>
    </row>
    <row r="125" ht="15" customHeight="1">
      <c r="A125" s="7" t="inlineStr">
        <is>
          <t>Level</t>
        </is>
      </c>
      <c r="B125" s="7" t="inlineStr">
        <is>
          <t>Band</t>
        </is>
      </c>
      <c r="C125" s="7" t="inlineStr">
        <is>
          <t>Designations in use · ×n = people</t>
        </is>
      </c>
      <c r="D125" s="7" t="inlineStr">
        <is>
          <t>Job family · sub-family</t>
        </is>
      </c>
      <c r="E125" s="7" t="inlineStr">
        <is>
          <t>Tracks</t>
        </is>
      </c>
      <c r="F125" s="7" t="inlineStr">
        <is>
          <t>People</t>
        </is>
      </c>
    </row>
    <row r="126" ht="28" customHeight="1">
      <c r="A126" s="33" t="inlineStr">
        <is>
          <t>D1</t>
        </is>
      </c>
      <c r="B126" s="47" t="inlineStr">
        <is>
          <t>D</t>
        </is>
      </c>
      <c r="C126" s="34" t="inlineStr">
        <is>
          <t>Senior Vice President – Customer Experience</t>
        </is>
      </c>
      <c r="D126" s="34" t="inlineStr">
        <is>
          <t>Executive Leadership · Business &amp; Functional Leadership</t>
        </is>
      </c>
      <c r="E126" s="34" t="inlineStr">
        <is>
          <t>People Manager 1</t>
        </is>
      </c>
      <c r="F126" s="47" t="n">
        <v>1</v>
      </c>
    </row>
    <row r="127" ht="15" customHeight="1"/>
    <row r="128" ht="20" customHeight="1">
      <c r="A128" s="6" t="inlineStr">
        <is>
          <t>iFile</t>
        </is>
      </c>
    </row>
    <row r="129" ht="15" customHeight="1">
      <c r="A129" s="61" t="inlineStr">
        <is>
          <t>Technology — 139 people · Technology &amp; engineering: technology work is valued for technical depth, so Complexity +5 and Accountability −5</t>
        </is>
      </c>
      <c r="B129" s="64" t="n"/>
      <c r="C129" s="64" t="n"/>
      <c r="D129" s="64" t="n"/>
      <c r="E129" s="64" t="n"/>
      <c r="F129" s="63" t="n"/>
    </row>
    <row r="130" ht="15" customHeight="1">
      <c r="A130" s="7" t="inlineStr">
        <is>
          <t>Level</t>
        </is>
      </c>
      <c r="B130" s="7" t="inlineStr">
        <is>
          <t>Band</t>
        </is>
      </c>
      <c r="C130" s="7" t="inlineStr">
        <is>
          <t>Designations in use · ×n = people</t>
        </is>
      </c>
      <c r="D130" s="7" t="inlineStr">
        <is>
          <t>Job family · sub-family</t>
        </is>
      </c>
      <c r="E130" s="7" t="inlineStr">
        <is>
          <t>Tracks</t>
        </is>
      </c>
      <c r="F130" s="7" t="inlineStr">
        <is>
          <t>People</t>
        </is>
      </c>
    </row>
    <row r="131" ht="54" customHeight="1">
      <c r="A131" s="18" t="inlineStr">
        <is>
          <t>A1</t>
        </is>
      </c>
      <c r="B131" s="42" t="inlineStr">
        <is>
          <t>A</t>
        </is>
      </c>
      <c r="C131" s="19" t="inlineStr">
        <is>
          <t>Trainee Software Engineer ×3; Trainee Business Analyst; Intern – Front-End / UI Development; Intern – Software Development; +1 more</t>
        </is>
      </c>
      <c r="D131" s="19" t="inlineStr">
        <is>
          <t>Engineering &amp; Development · Full-Stack Development ×2; Engineering &amp; Development · Backend Development ×2; Business Analysis · Business Analysis; +2 more</t>
        </is>
      </c>
      <c r="E131" s="19" t="inlineStr">
        <is>
          <t>IC 7</t>
        </is>
      </c>
      <c r="F131" s="42" t="n">
        <v>7</v>
      </c>
    </row>
    <row r="132" ht="67" customHeight="1">
      <c r="A132" s="18" t="inlineStr">
        <is>
          <t>A2</t>
        </is>
      </c>
      <c r="B132" s="42" t="inlineStr">
        <is>
          <t>A</t>
        </is>
      </c>
      <c r="C132" s="19" t="inlineStr">
        <is>
          <t>Software Engineer ×7; UI Developer ×5; Business Analyst; AI/ML Engineer</t>
        </is>
      </c>
      <c r="D132" s="19" t="inlineStr">
        <is>
          <t>Engineering &amp; Development · Front-End / UI Development ×5; Engineering &amp; Development · Full-Stack Development ×4; Engineering &amp; Development · Backend Development ×3; +2 more</t>
        </is>
      </c>
      <c r="E132" s="19" t="inlineStr">
        <is>
          <t>IC 14</t>
        </is>
      </c>
      <c r="F132" s="42" t="n">
        <v>14</v>
      </c>
    </row>
    <row r="133" ht="54" customHeight="1">
      <c r="A133" s="18" t="inlineStr">
        <is>
          <t>A3</t>
        </is>
      </c>
      <c r="B133" s="42" t="inlineStr">
        <is>
          <t>A</t>
        </is>
      </c>
      <c r="C133" s="19" t="inlineStr">
        <is>
          <t>Senior Software Engineer ×39; Senior Business Analyst ×7; Senior UI Developer ×4; Senior Database Engineer ×2; +5 more</t>
        </is>
      </c>
      <c r="D133" s="19" t="inlineStr">
        <is>
          <t>Engineering &amp; Development · Backend Development ×33; Engineering &amp; Development · Full-Stack Development ×8; Business Analysis · Business Analysis ×8; +4 more</t>
        </is>
      </c>
      <c r="E133" s="19" t="inlineStr">
        <is>
          <t>IC 59</t>
        </is>
      </c>
      <c r="F133" s="42" t="n">
        <v>59</v>
      </c>
    </row>
    <row r="134" ht="67" customHeight="1">
      <c r="A134" s="21" t="inlineStr">
        <is>
          <t>B1</t>
        </is>
      </c>
      <c r="B134" s="43" t="inlineStr">
        <is>
          <t>B</t>
        </is>
      </c>
      <c r="C134" s="22" t="inlineStr">
        <is>
          <t>Technical Specialist – POD Lead ×5; Technical Specialist ×3; Senior Technical Specialist – POD Lead ×2; Business Analysis Specialist ×2; +5 more</t>
        </is>
      </c>
      <c r="D134" s="22" t="inlineStr">
        <is>
          <t>Engineering &amp; Development · Backend Development ×6; Engineering &amp; Development · Full-Stack Development ×4; Project &amp; Program Management · Project &amp; Program Delivery ×3; +2 more</t>
        </is>
      </c>
      <c r="E134" s="22" t="inlineStr">
        <is>
          <t>POD Lead 10 · IC 6 · People Manager 1</t>
        </is>
      </c>
      <c r="F134" s="43" t="n">
        <v>17</v>
      </c>
    </row>
    <row r="135" ht="67" customHeight="1">
      <c r="A135" s="21" t="inlineStr">
        <is>
          <t>B2</t>
        </is>
      </c>
      <c r="B135" s="43" t="inlineStr">
        <is>
          <t>B</t>
        </is>
      </c>
      <c r="C135" s="22" t="inlineStr">
        <is>
          <t>Delivery Manager ×4; Lead Software Engineer ×3; Project Manager ×3; Senior Technical Specialist – POD Lead ×2; +2 more</t>
        </is>
      </c>
      <c r="D135" s="22" t="inlineStr">
        <is>
          <t>Project &amp; Program Management · Project &amp; Program Delivery ×7; Engineering &amp; Development · Backend Development ×6; Engineering &amp; Development · Full-Stack Development ×2</t>
        </is>
      </c>
      <c r="E135" s="22" t="inlineStr">
        <is>
          <t>People Manager 8 · IC 5 · POD Lead 2</t>
        </is>
      </c>
      <c r="F135" s="43" t="n">
        <v>15</v>
      </c>
    </row>
    <row r="136" ht="67" customHeight="1">
      <c r="A136" s="21" t="inlineStr">
        <is>
          <t>B3</t>
        </is>
      </c>
      <c r="B136" s="43" t="inlineStr">
        <is>
          <t>B</t>
        </is>
      </c>
      <c r="C136" s="22" t="inlineStr">
        <is>
          <t>Lead Software Engineer – POD Lead ×2; Technical Architect; Associate Technical Architect – POD Lead; Associate Technical Architect; +2 more</t>
        </is>
      </c>
      <c r="D136" s="22" t="inlineStr">
        <is>
          <t>Engineering &amp; Architecture · Solution &amp; Technical Architecture ×3; Engineering &amp; Development · Backend Development ×2; Engineering &amp; Development · Full-Stack Development; +1 more</t>
        </is>
      </c>
      <c r="E136" s="22" t="inlineStr">
        <is>
          <t>IC 4 · POD Lead 3</t>
        </is>
      </c>
      <c r="F136" s="43" t="n">
        <v>7</v>
      </c>
    </row>
    <row r="137" ht="54" customHeight="1">
      <c r="A137" s="24" t="inlineStr">
        <is>
          <t>B+</t>
        </is>
      </c>
      <c r="B137" s="44" t="inlineStr">
        <is>
          <t>B+</t>
        </is>
      </c>
      <c r="C137" s="25" t="inlineStr">
        <is>
          <t>Practice Lead – Solution &amp; Technical Architecture · Player-Coach ×4; Practice Lead – Project &amp; Program Delivery · Player-Coach</t>
        </is>
      </c>
      <c r="D137" s="25" t="inlineStr">
        <is>
          <t>Engineering &amp; Architecture · Solution &amp; Technical Architecture ×4; Project &amp; Program Management · Project &amp; Program Delivery</t>
        </is>
      </c>
      <c r="E137" s="25" t="inlineStr">
        <is>
          <t>Player-Coach 5</t>
        </is>
      </c>
      <c r="F137" s="44" t="n">
        <v>5</v>
      </c>
    </row>
    <row r="138" ht="28" customHeight="1">
      <c r="A138" s="27" t="inlineStr">
        <is>
          <t>C1</t>
        </is>
      </c>
      <c r="B138" s="45" t="inlineStr">
        <is>
          <t>C</t>
        </is>
      </c>
      <c r="C138" s="28" t="inlineStr">
        <is>
          <t>Technical Architect</t>
        </is>
      </c>
      <c r="D138" s="28" t="inlineStr">
        <is>
          <t>Engineering &amp; Architecture · Solution &amp; Technical Architecture</t>
        </is>
      </c>
      <c r="E138" s="28" t="inlineStr">
        <is>
          <t>IC 1</t>
        </is>
      </c>
      <c r="F138" s="45" t="n">
        <v>1</v>
      </c>
    </row>
    <row r="139" ht="28" customHeight="1">
      <c r="A139" s="27" t="inlineStr">
        <is>
          <t>C2</t>
        </is>
      </c>
      <c r="B139" s="45" t="inlineStr">
        <is>
          <t>C</t>
        </is>
      </c>
      <c r="C139" s="28" t="inlineStr">
        <is>
          <t>Head – Delivery</t>
        </is>
      </c>
      <c r="D139" s="28" t="inlineStr">
        <is>
          <t>Project &amp; Program Management · Delivery Leadership</t>
        </is>
      </c>
      <c r="E139" s="28" t="inlineStr">
        <is>
          <t>People Manager 1</t>
        </is>
      </c>
      <c r="F139" s="45" t="n">
        <v>1</v>
      </c>
    </row>
    <row r="140" ht="28" customHeight="1">
      <c r="A140" s="39" t="inlineStr">
        <is>
          <t>X1</t>
        </is>
      </c>
      <c r="B140" s="49" t="inlineStr">
        <is>
          <t>X</t>
        </is>
      </c>
      <c r="C140" s="40" t="inlineStr">
        <is>
          <t>Associate Consultant – Software Development ×13</t>
        </is>
      </c>
      <c r="D140" s="40" t="inlineStr">
        <is>
          <t>Engineering &amp; Development · Backend Development ×13</t>
        </is>
      </c>
      <c r="E140" s="40" t="inlineStr">
        <is>
          <t>Consultant 13</t>
        </is>
      </c>
      <c r="F140" s="49" t="n">
        <v>13</v>
      </c>
    </row>
    <row r="141" ht="15" customHeight="1"/>
    <row r="142" ht="15" customHeight="1">
      <c r="A142" s="61" t="inlineStr">
        <is>
          <t>XBRL Consulting — 32 people · Regulatory &amp; domain consulting: regulatory consulting balances expertise and accountability, so no change</t>
        </is>
      </c>
      <c r="B142" s="64" t="n"/>
      <c r="C142" s="64" t="n"/>
      <c r="D142" s="64" t="n"/>
      <c r="E142" s="64" t="n"/>
      <c r="F142" s="63" t="n"/>
    </row>
    <row r="143" ht="15" customHeight="1">
      <c r="A143" s="7" t="inlineStr">
        <is>
          <t>Level</t>
        </is>
      </c>
      <c r="B143" s="7" t="inlineStr">
        <is>
          <t>Band</t>
        </is>
      </c>
      <c r="C143" s="7" t="inlineStr">
        <is>
          <t>Designations in use · ×n = people</t>
        </is>
      </c>
      <c r="D143" s="7" t="inlineStr">
        <is>
          <t>Job family · sub-family</t>
        </is>
      </c>
      <c r="E143" s="7" t="inlineStr">
        <is>
          <t>Tracks</t>
        </is>
      </c>
      <c r="F143" s="7" t="inlineStr">
        <is>
          <t>People</t>
        </is>
      </c>
    </row>
    <row r="144" ht="54" customHeight="1">
      <c r="A144" s="18" t="inlineStr">
        <is>
          <t>A2</t>
        </is>
      </c>
      <c r="B144" s="42" t="inlineStr">
        <is>
          <t>A</t>
        </is>
      </c>
      <c r="C144" s="19" t="inlineStr">
        <is>
          <t>Financial Analyst ×3; Taxonomy Analyst ×2</t>
        </is>
      </c>
      <c r="D144" s="19" t="inlineStr">
        <is>
          <t>Consulting &amp; Professional Services · XBRL Tagging, Conversion &amp; Filing ×3; Consulting &amp; Professional Services · Taxonomy Design &amp; Regulatory Consulting ×2</t>
        </is>
      </c>
      <c r="E144" s="19" t="inlineStr">
        <is>
          <t>IC 5</t>
        </is>
      </c>
      <c r="F144" s="42" t="n">
        <v>5</v>
      </c>
    </row>
    <row r="145" ht="54" customHeight="1">
      <c r="A145" s="18" t="inlineStr">
        <is>
          <t>A3</t>
        </is>
      </c>
      <c r="B145" s="42" t="inlineStr">
        <is>
          <t>A</t>
        </is>
      </c>
      <c r="C145" s="19" t="inlineStr">
        <is>
          <t>Senior Taxonomy Analyst ×12; Senior Financial Analyst ×3; Taxonomy Specialist ×2</t>
        </is>
      </c>
      <c r="D145" s="19" t="inlineStr">
        <is>
          <t>Consulting &amp; Professional Services · Taxonomy Design &amp; Regulatory Consulting ×14; Consulting &amp; Professional Services · XBRL Tagging, Conversion &amp; Filing ×3</t>
        </is>
      </c>
      <c r="E145" s="19" t="inlineStr">
        <is>
          <t>IC 17</t>
        </is>
      </c>
      <c r="F145" s="42" t="n">
        <v>17</v>
      </c>
    </row>
    <row r="146" ht="28" customHeight="1">
      <c r="A146" s="21" t="inlineStr">
        <is>
          <t>B1</t>
        </is>
      </c>
      <c r="B146" s="43" t="inlineStr">
        <is>
          <t>B</t>
        </is>
      </c>
      <c r="C146" s="22" t="inlineStr">
        <is>
          <t>Taxonomy Specialist ×2; Senior Taxonomy Specialist</t>
        </is>
      </c>
      <c r="D146" s="22" t="inlineStr">
        <is>
          <t>Consulting &amp; Professional Services · Taxonomy Design &amp; Regulatory Consulting ×3</t>
        </is>
      </c>
      <c r="E146" s="22" t="inlineStr">
        <is>
          <t>IC 3</t>
        </is>
      </c>
      <c r="F146" s="43" t="n">
        <v>3</v>
      </c>
    </row>
    <row r="147" ht="41" customHeight="1">
      <c r="A147" s="21" t="inlineStr">
        <is>
          <t>B2</t>
        </is>
      </c>
      <c r="B147" s="43" t="inlineStr">
        <is>
          <t>B</t>
        </is>
      </c>
      <c r="C147" s="22" t="inlineStr">
        <is>
          <t>Senior Taxonomy Specialist ×3; Senior Manager – Taxonomy Consulting; Manager – Taxonomy Consulting</t>
        </is>
      </c>
      <c r="D147" s="22" t="inlineStr">
        <is>
          <t>Consulting &amp; Professional Services · Taxonomy Design &amp; Regulatory Consulting ×5</t>
        </is>
      </c>
      <c r="E147" s="22" t="inlineStr">
        <is>
          <t>IC 3 · People Manager 2</t>
        </is>
      </c>
      <c r="F147" s="43" t="n">
        <v>5</v>
      </c>
    </row>
    <row r="148" ht="28" customHeight="1">
      <c r="A148" s="27" t="inlineStr">
        <is>
          <t>C2</t>
        </is>
      </c>
      <c r="B148" s="45" t="inlineStr">
        <is>
          <t>C</t>
        </is>
      </c>
      <c r="C148" s="28" t="inlineStr">
        <is>
          <t>Head – Consulting</t>
        </is>
      </c>
      <c r="D148" s="28" t="inlineStr">
        <is>
          <t>Consulting &amp; Professional Services · Professional Services Leadership</t>
        </is>
      </c>
      <c r="E148" s="28" t="inlineStr">
        <is>
          <t>People Manager 1</t>
        </is>
      </c>
      <c r="F148" s="45" t="n">
        <v>1</v>
      </c>
    </row>
    <row r="149" ht="28" customHeight="1">
      <c r="A149" s="39" t="inlineStr">
        <is>
          <t>X1</t>
        </is>
      </c>
      <c r="B149" s="49" t="inlineStr">
        <is>
          <t>X</t>
        </is>
      </c>
      <c r="C149" s="40" t="inlineStr">
        <is>
          <t>Associate Consultant – Taxonomy Design &amp; Regulatory Consulting</t>
        </is>
      </c>
      <c r="D149" s="40" t="inlineStr">
        <is>
          <t>Consulting &amp; Professional Services · Taxonomy Design &amp; Regulatory Consulting</t>
        </is>
      </c>
      <c r="E149" s="40" t="inlineStr">
        <is>
          <t>Consultant 1</t>
        </is>
      </c>
      <c r="F149" s="49" t="n">
        <v>1</v>
      </c>
    </row>
    <row r="150" ht="15" customHeight="1"/>
    <row r="151" ht="28" customHeight="1">
      <c r="A151" s="61" t="inlineStr">
        <is>
          <t>Quality Assurance — 21 people · Technology &amp; engineering: technology work is valued for technical depth, so Complexity +5 and Accountability −5</t>
        </is>
      </c>
      <c r="B151" s="64" t="n"/>
      <c r="C151" s="64" t="n"/>
      <c r="D151" s="64" t="n"/>
      <c r="E151" s="64" t="n"/>
      <c r="F151" s="63" t="n"/>
    </row>
    <row r="152" ht="15" customHeight="1">
      <c r="A152" s="7" t="inlineStr">
        <is>
          <t>Level</t>
        </is>
      </c>
      <c r="B152" s="7" t="inlineStr">
        <is>
          <t>Band</t>
        </is>
      </c>
      <c r="C152" s="7" t="inlineStr">
        <is>
          <t>Designations in use · ×n = people</t>
        </is>
      </c>
      <c r="D152" s="7" t="inlineStr">
        <is>
          <t>Job family · sub-family</t>
        </is>
      </c>
      <c r="E152" s="7" t="inlineStr">
        <is>
          <t>Tracks</t>
        </is>
      </c>
      <c r="F152" s="7" t="inlineStr">
        <is>
          <t>People</t>
        </is>
      </c>
    </row>
    <row r="153" ht="41" customHeight="1">
      <c r="A153" s="18" t="inlineStr">
        <is>
          <t>A1</t>
        </is>
      </c>
      <c r="B153" s="42" t="inlineStr">
        <is>
          <t>A</t>
        </is>
      </c>
      <c r="C153" s="19" t="inlineStr">
        <is>
          <t>Trainee QA Automation Engineer ×2; Intern – Functional &amp; Domain Testing</t>
        </is>
      </c>
      <c r="D153" s="19" t="inlineStr">
        <is>
          <t>Quality Assurance · Test Automation ×2; Quality Assurance · Functional &amp; Domain Testing</t>
        </is>
      </c>
      <c r="E153" s="19" t="inlineStr">
        <is>
          <t>IC 3</t>
        </is>
      </c>
      <c r="F153" s="42" t="n">
        <v>3</v>
      </c>
    </row>
    <row r="154" ht="28" customHeight="1">
      <c r="A154" s="18" t="inlineStr">
        <is>
          <t>A2</t>
        </is>
      </c>
      <c r="B154" s="42" t="inlineStr">
        <is>
          <t>A</t>
        </is>
      </c>
      <c r="C154" s="19" t="inlineStr">
        <is>
          <t>QA Engineer</t>
        </is>
      </c>
      <c r="D154" s="19" t="inlineStr">
        <is>
          <t>Quality Assurance · Functional &amp; Domain Testing</t>
        </is>
      </c>
      <c r="E154" s="19" t="inlineStr">
        <is>
          <t>IC 1</t>
        </is>
      </c>
      <c r="F154" s="42" t="n">
        <v>1</v>
      </c>
    </row>
    <row r="155" ht="41" customHeight="1">
      <c r="A155" s="18" t="inlineStr">
        <is>
          <t>A3</t>
        </is>
      </c>
      <c r="B155" s="42" t="inlineStr">
        <is>
          <t>A</t>
        </is>
      </c>
      <c r="C155" s="19" t="inlineStr">
        <is>
          <t>Senior QA Engineer ×10; QA Specialist; Senior QA Automation Engineer</t>
        </is>
      </c>
      <c r="D155" s="19" t="inlineStr">
        <is>
          <t>Quality Assurance · Functional &amp; Domain Testing ×11; Quality Assurance · Test Automation</t>
        </is>
      </c>
      <c r="E155" s="19" t="inlineStr">
        <is>
          <t>IC 12</t>
        </is>
      </c>
      <c r="F155" s="42" t="n">
        <v>12</v>
      </c>
    </row>
    <row r="156" ht="28" customHeight="1">
      <c r="A156" s="21" t="inlineStr">
        <is>
          <t>B1</t>
        </is>
      </c>
      <c r="B156" s="43" t="inlineStr">
        <is>
          <t>B</t>
        </is>
      </c>
      <c r="C156" s="22" t="inlineStr">
        <is>
          <t>QA Specialist – POD Lead ×3</t>
        </is>
      </c>
      <c r="D156" s="22" t="inlineStr">
        <is>
          <t>Quality Assurance · Functional &amp; Domain Testing ×3</t>
        </is>
      </c>
      <c r="E156" s="22" t="inlineStr">
        <is>
          <t>POD Lead 3</t>
        </is>
      </c>
      <c r="F156" s="43" t="n">
        <v>3</v>
      </c>
    </row>
    <row r="157" ht="28" customHeight="1">
      <c r="A157" s="21" t="inlineStr">
        <is>
          <t>B2</t>
        </is>
      </c>
      <c r="B157" s="43" t="inlineStr">
        <is>
          <t>B</t>
        </is>
      </c>
      <c r="C157" s="22" t="inlineStr">
        <is>
          <t>Senior QA Manager; Senior QA Specialist – POD Lead</t>
        </is>
      </c>
      <c r="D157" s="22" t="inlineStr">
        <is>
          <t>Quality Assurance · Test Management &amp; QA Leadership ×2</t>
        </is>
      </c>
      <c r="E157" s="22" t="inlineStr">
        <is>
          <t>People Manager 1 · POD Lead 1</t>
        </is>
      </c>
      <c r="F157" s="43" t="n">
        <v>2</v>
      </c>
    </row>
    <row r="158" ht="15" customHeight="1"/>
    <row r="159" ht="15" customHeight="1">
      <c r="A159" s="61" t="inlineStr">
        <is>
          <t>Support — 11 people · Customer support &amp; success: support is judged on client outcomes, so Business Impact +5 and Complexity −5</t>
        </is>
      </c>
      <c r="B159" s="64" t="n"/>
      <c r="C159" s="64" t="n"/>
      <c r="D159" s="64" t="n"/>
      <c r="E159" s="64" t="n"/>
      <c r="F159" s="63" t="n"/>
    </row>
    <row r="160" ht="15" customHeight="1">
      <c r="A160" s="7" t="inlineStr">
        <is>
          <t>Level</t>
        </is>
      </c>
      <c r="B160" s="7" t="inlineStr">
        <is>
          <t>Band</t>
        </is>
      </c>
      <c r="C160" s="7" t="inlineStr">
        <is>
          <t>Designations in use · ×n = people</t>
        </is>
      </c>
      <c r="D160" s="7" t="inlineStr">
        <is>
          <t>Job family · sub-family</t>
        </is>
      </c>
      <c r="E160" s="7" t="inlineStr">
        <is>
          <t>Tracks</t>
        </is>
      </c>
      <c r="F160" s="7" t="inlineStr">
        <is>
          <t>People</t>
        </is>
      </c>
    </row>
    <row r="161" ht="28" customHeight="1">
      <c r="A161" s="18" t="inlineStr">
        <is>
          <t>A2</t>
        </is>
      </c>
      <c r="B161" s="42" t="inlineStr">
        <is>
          <t>A</t>
        </is>
      </c>
      <c r="C161" s="19" t="inlineStr">
        <is>
          <t>Support Executive</t>
        </is>
      </c>
      <c r="D161" s="19" t="inlineStr">
        <is>
          <t>Customer Success &amp; Support · Application &amp; Product Support</t>
        </is>
      </c>
      <c r="E161" s="19" t="inlineStr">
        <is>
          <t>IC 1</t>
        </is>
      </c>
      <c r="F161" s="42" t="n">
        <v>1</v>
      </c>
    </row>
    <row r="162" ht="28" customHeight="1">
      <c r="A162" s="18" t="inlineStr">
        <is>
          <t>A3</t>
        </is>
      </c>
      <c r="B162" s="42" t="inlineStr">
        <is>
          <t>A</t>
        </is>
      </c>
      <c r="C162" s="19" t="inlineStr">
        <is>
          <t>Senior Support Executive ×8</t>
        </is>
      </c>
      <c r="D162" s="19" t="inlineStr">
        <is>
          <t>Customer Success &amp; Support · Application &amp; Product Support ×8</t>
        </is>
      </c>
      <c r="E162" s="19" t="inlineStr">
        <is>
          <t>IC 8</t>
        </is>
      </c>
      <c r="F162" s="42" t="n">
        <v>8</v>
      </c>
    </row>
    <row r="163" ht="28" customHeight="1">
      <c r="A163" s="21" t="inlineStr">
        <is>
          <t>B1</t>
        </is>
      </c>
      <c r="B163" s="43" t="inlineStr">
        <is>
          <t>B</t>
        </is>
      </c>
      <c r="C163" s="22" t="inlineStr">
        <is>
          <t>Support Specialist ×2</t>
        </is>
      </c>
      <c r="D163" s="22" t="inlineStr">
        <is>
          <t>Customer Success &amp; Support · Application &amp; Product Support ×2</t>
        </is>
      </c>
      <c r="E163" s="22" t="inlineStr">
        <is>
          <t>IC 2</t>
        </is>
      </c>
      <c r="F163" s="43" t="n">
        <v>2</v>
      </c>
    </row>
    <row r="164" ht="15" customHeight="1"/>
    <row r="165" ht="28" customHeight="1">
      <c r="A165" s="61" t="inlineStr">
        <is>
          <t>Sales — 10 people · Sales &amp; marketing: sales and marketing are judged on pipeline and revenue, so Business Impact +5, Autonomy +5, Complexity −5 and Accountability −5</t>
        </is>
      </c>
      <c r="B165" s="64" t="n"/>
      <c r="C165" s="64" t="n"/>
      <c r="D165" s="64" t="n"/>
      <c r="E165" s="64" t="n"/>
      <c r="F165" s="63" t="n"/>
    </row>
    <row r="166" ht="15" customHeight="1">
      <c r="A166" s="7" t="inlineStr">
        <is>
          <t>Level</t>
        </is>
      </c>
      <c r="B166" s="7" t="inlineStr">
        <is>
          <t>Band</t>
        </is>
      </c>
      <c r="C166" s="7" t="inlineStr">
        <is>
          <t>Designations in use · ×n = people</t>
        </is>
      </c>
      <c r="D166" s="7" t="inlineStr">
        <is>
          <t>Job family · sub-family</t>
        </is>
      </c>
      <c r="E166" s="7" t="inlineStr">
        <is>
          <t>Tracks</t>
        </is>
      </c>
      <c r="F166" s="7" t="inlineStr">
        <is>
          <t>People</t>
        </is>
      </c>
    </row>
    <row r="167" ht="28" customHeight="1">
      <c r="A167" s="18" t="inlineStr">
        <is>
          <t>A1</t>
        </is>
      </c>
      <c r="B167" s="42" t="inlineStr">
        <is>
          <t>A</t>
        </is>
      </c>
      <c r="C167" s="19" t="inlineStr">
        <is>
          <t>Intern – Application &amp; Product Support</t>
        </is>
      </c>
      <c r="D167" s="19" t="inlineStr">
        <is>
          <t>Customer Success &amp; Support · Application &amp; Product Support</t>
        </is>
      </c>
      <c r="E167" s="19" t="inlineStr">
        <is>
          <t>IC 1</t>
        </is>
      </c>
      <c r="F167" s="42" t="n">
        <v>1</v>
      </c>
    </row>
    <row r="168" ht="54" customHeight="1">
      <c r="A168" s="21" t="inlineStr">
        <is>
          <t>B1</t>
        </is>
      </c>
      <c r="B168" s="43" t="inlineStr">
        <is>
          <t>B</t>
        </is>
      </c>
      <c r="C168" s="22" t="inlineStr">
        <is>
          <t>Pre-Sales Specialist; Account Executive – POD Lead</t>
        </is>
      </c>
      <c r="D168" s="22" t="inlineStr">
        <is>
          <t>Sales &amp; Business Development · Pre-Sales &amp; Solution Demos; Sales &amp; Business Development · Enterprise Sales &amp; Account Management</t>
        </is>
      </c>
      <c r="E168" s="22" t="inlineStr">
        <is>
          <t>IC 1 · POD Lead 1</t>
        </is>
      </c>
      <c r="F168" s="43" t="n">
        <v>2</v>
      </c>
    </row>
    <row r="169" ht="28" customHeight="1">
      <c r="A169" s="21" t="inlineStr">
        <is>
          <t>B2</t>
        </is>
      </c>
      <c r="B169" s="43" t="inlineStr">
        <is>
          <t>B</t>
        </is>
      </c>
      <c r="C169" s="22" t="inlineStr">
        <is>
          <t>Senior Account Executive – POD Lead</t>
        </is>
      </c>
      <c r="D169" s="22" t="inlineStr">
        <is>
          <t>Sales &amp; Business Development · Sales Leadership</t>
        </is>
      </c>
      <c r="E169" s="22" t="inlineStr">
        <is>
          <t>POD Lead 1</t>
        </is>
      </c>
      <c r="F169" s="43" t="n">
        <v>1</v>
      </c>
    </row>
    <row r="170" ht="28" customHeight="1">
      <c r="A170" s="21" t="inlineStr">
        <is>
          <t>B3</t>
        </is>
      </c>
      <c r="B170" s="43" t="inlineStr">
        <is>
          <t>B</t>
        </is>
      </c>
      <c r="C170" s="22" t="inlineStr">
        <is>
          <t>Lead Alliances Specialist – POD Lead</t>
        </is>
      </c>
      <c r="D170" s="22" t="inlineStr">
        <is>
          <t>Sales &amp; Business Development · Partnerships &amp; Alliances</t>
        </is>
      </c>
      <c r="E170" s="22" t="inlineStr">
        <is>
          <t>POD Lead 1</t>
        </is>
      </c>
      <c r="F170" s="43" t="n">
        <v>1</v>
      </c>
    </row>
    <row r="171" ht="28" customHeight="1">
      <c r="A171" s="27" t="inlineStr">
        <is>
          <t>C1</t>
        </is>
      </c>
      <c r="B171" s="45" t="inlineStr">
        <is>
          <t>C</t>
        </is>
      </c>
      <c r="C171" s="28" t="inlineStr">
        <is>
          <t>Principal – Enterprise Sales</t>
        </is>
      </c>
      <c r="D171" s="28" t="inlineStr">
        <is>
          <t>Sales &amp; Business Development · Sales Leadership</t>
        </is>
      </c>
      <c r="E171" s="28" t="inlineStr">
        <is>
          <t>IC 1</t>
        </is>
      </c>
      <c r="F171" s="45" t="n">
        <v>1</v>
      </c>
    </row>
    <row r="172" ht="28" customHeight="1">
      <c r="A172" s="27" t="inlineStr">
        <is>
          <t>C2</t>
        </is>
      </c>
      <c r="B172" s="45" t="inlineStr">
        <is>
          <t>C</t>
        </is>
      </c>
      <c r="C172" s="28" t="inlineStr">
        <is>
          <t>Head – Sales</t>
        </is>
      </c>
      <c r="D172" s="28" t="inlineStr">
        <is>
          <t>Sales &amp; Business Development · Sales Leadership</t>
        </is>
      </c>
      <c r="E172" s="28" t="inlineStr">
        <is>
          <t>People Manager 1</t>
        </is>
      </c>
      <c r="F172" s="45" t="n">
        <v>1</v>
      </c>
    </row>
    <row r="173" ht="28" customHeight="1">
      <c r="A173" s="33" t="inlineStr">
        <is>
          <t>D2</t>
        </is>
      </c>
      <c r="B173" s="47" t="inlineStr">
        <is>
          <t>D</t>
        </is>
      </c>
      <c r="C173" s="34" t="inlineStr">
        <is>
          <t>Business Head – SupTech &amp; Bank-RegTech</t>
        </is>
      </c>
      <c r="D173" s="34" t="inlineStr">
        <is>
          <t>Executive Leadership · Business &amp; Functional Leadership</t>
        </is>
      </c>
      <c r="E173" s="34" t="inlineStr">
        <is>
          <t>People Manager 1</t>
        </is>
      </c>
      <c r="F173" s="47" t="n">
        <v>1</v>
      </c>
    </row>
    <row r="174" ht="28" customHeight="1">
      <c r="A174" s="39" t="inlineStr">
        <is>
          <t>X2</t>
        </is>
      </c>
      <c r="B174" s="49" t="inlineStr">
        <is>
          <t>X</t>
        </is>
      </c>
      <c r="C174" s="40" t="inlineStr">
        <is>
          <t>Consultant – Enterprise Sales &amp; Account Management</t>
        </is>
      </c>
      <c r="D174" s="40" t="inlineStr">
        <is>
          <t>Sales &amp; Business Development · Enterprise Sales &amp; Account Management</t>
        </is>
      </c>
      <c r="E174" s="40" t="inlineStr">
        <is>
          <t>Consultant 1</t>
        </is>
      </c>
      <c r="F174" s="49" t="n">
        <v>1</v>
      </c>
    </row>
    <row r="175" ht="28" customHeight="1">
      <c r="A175" s="39" t="inlineStr">
        <is>
          <t>X3</t>
        </is>
      </c>
      <c r="B175" s="49" t="inlineStr">
        <is>
          <t>X</t>
        </is>
      </c>
      <c r="C175" s="40" t="inlineStr">
        <is>
          <t>Senior Consultant – Enterprise Leadership</t>
        </is>
      </c>
      <c r="D175" s="40" t="inlineStr">
        <is>
          <t>Executive Leadership · Enterprise Leadership</t>
        </is>
      </c>
      <c r="E175" s="40" t="inlineStr">
        <is>
          <t>Consultant 1</t>
        </is>
      </c>
      <c r="F175" s="49" t="n">
        <v>1</v>
      </c>
    </row>
    <row r="176" ht="15" customHeight="1"/>
    <row r="177" ht="28" customHeight="1">
      <c r="A177" s="61" t="inlineStr">
        <is>
          <t>Marketing — 2 people · Sales &amp; marketing: sales and marketing are judged on pipeline and revenue, so Business Impact +5, Autonomy +5, Complexity −5 and Accountability −5</t>
        </is>
      </c>
      <c r="B177" s="64" t="n"/>
      <c r="C177" s="64" t="n"/>
      <c r="D177" s="64" t="n"/>
      <c r="E177" s="64" t="n"/>
      <c r="F177" s="63" t="n"/>
    </row>
    <row r="178" ht="15" customHeight="1">
      <c r="A178" s="7" t="inlineStr">
        <is>
          <t>Level</t>
        </is>
      </c>
      <c r="B178" s="7" t="inlineStr">
        <is>
          <t>Band</t>
        </is>
      </c>
      <c r="C178" s="7" t="inlineStr">
        <is>
          <t>Designations in use · ×n = people</t>
        </is>
      </c>
      <c r="D178" s="7" t="inlineStr">
        <is>
          <t>Job family · sub-family</t>
        </is>
      </c>
      <c r="E178" s="7" t="inlineStr">
        <is>
          <t>Tracks</t>
        </is>
      </c>
      <c r="F178" s="7" t="inlineStr">
        <is>
          <t>People</t>
        </is>
      </c>
    </row>
    <row r="179" ht="28" customHeight="1">
      <c r="A179" s="18" t="inlineStr">
        <is>
          <t>A3</t>
        </is>
      </c>
      <c r="B179" s="42" t="inlineStr">
        <is>
          <t>A</t>
        </is>
      </c>
      <c r="C179" s="19" t="inlineStr">
        <is>
          <t>Senior Marketing Operations Associate</t>
        </is>
      </c>
      <c r="D179" s="19" t="inlineStr">
        <is>
          <t>Marketing &amp; Communications · Marketing Operations &amp; Automation</t>
        </is>
      </c>
      <c r="E179" s="19" t="inlineStr">
        <is>
          <t>IC 1</t>
        </is>
      </c>
      <c r="F179" s="42" t="n">
        <v>1</v>
      </c>
    </row>
    <row r="180" ht="28" customHeight="1">
      <c r="A180" s="21" t="inlineStr">
        <is>
          <t>B1</t>
        </is>
      </c>
      <c r="B180" s="43" t="inlineStr">
        <is>
          <t>B</t>
        </is>
      </c>
      <c r="C180" s="22" t="inlineStr">
        <is>
          <t>Team Lead – Product Marketing</t>
        </is>
      </c>
      <c r="D180" s="22" t="inlineStr">
        <is>
          <t>Marketing &amp; Communications · Product Marketing</t>
        </is>
      </c>
      <c r="E180" s="22" t="inlineStr">
        <is>
          <t>People Manager 1</t>
        </is>
      </c>
      <c r="F180" s="43" t="n">
        <v>1</v>
      </c>
    </row>
    <row r="181" ht="15" customHeight="1"/>
    <row r="182" ht="15" customHeight="1">
      <c r="A182" s="61" t="inlineStr">
        <is>
          <t>Design — 2 people · Technology &amp; engineering: technology work is valued for technical depth, so Complexity +5 and Accountability −5</t>
        </is>
      </c>
      <c r="B182" s="64" t="n"/>
      <c r="C182" s="64" t="n"/>
      <c r="D182" s="64" t="n"/>
      <c r="E182" s="64" t="n"/>
      <c r="F182" s="63" t="n"/>
    </row>
    <row r="183" ht="15" customHeight="1">
      <c r="A183" s="7" t="inlineStr">
        <is>
          <t>Level</t>
        </is>
      </c>
      <c r="B183" s="7" t="inlineStr">
        <is>
          <t>Band</t>
        </is>
      </c>
      <c r="C183" s="7" t="inlineStr">
        <is>
          <t>Designations in use · ×n = people</t>
        </is>
      </c>
      <c r="D183" s="7" t="inlineStr">
        <is>
          <t>Job family · sub-family</t>
        </is>
      </c>
      <c r="E183" s="7" t="inlineStr">
        <is>
          <t>Tracks</t>
        </is>
      </c>
      <c r="F183" s="7" t="inlineStr">
        <is>
          <t>People</t>
        </is>
      </c>
    </row>
    <row r="184" ht="28" customHeight="1">
      <c r="A184" s="18" t="inlineStr">
        <is>
          <t>A3</t>
        </is>
      </c>
      <c r="B184" s="42" t="inlineStr">
        <is>
          <t>A</t>
        </is>
      </c>
      <c r="C184" s="19" t="inlineStr">
        <is>
          <t>Senior UI Developer</t>
        </is>
      </c>
      <c r="D184" s="19" t="inlineStr">
        <is>
          <t>Engineering &amp; Development · Front-End / UI Development</t>
        </is>
      </c>
      <c r="E184" s="19" t="inlineStr">
        <is>
          <t>IC 1</t>
        </is>
      </c>
      <c r="F184" s="42" t="n">
        <v>1</v>
      </c>
    </row>
    <row r="185" ht="28" customHeight="1">
      <c r="A185" s="21" t="inlineStr">
        <is>
          <t>B1</t>
        </is>
      </c>
      <c r="B185" s="43" t="inlineStr">
        <is>
          <t>B</t>
        </is>
      </c>
      <c r="C185" s="22" t="inlineStr">
        <is>
          <t>UI Specialist – POD Lead</t>
        </is>
      </c>
      <c r="D185" s="22" t="inlineStr">
        <is>
          <t>Engineering &amp; Development · Front-End / UI Development</t>
        </is>
      </c>
      <c r="E185" s="22" t="inlineStr">
        <is>
          <t>POD Lead 1</t>
        </is>
      </c>
      <c r="F185" s="43" t="n">
        <v>1</v>
      </c>
    </row>
    <row r="186" ht="15" customHeight="1"/>
    <row r="187" ht="15" customHeight="1">
      <c r="A187" s="61" t="inlineStr">
        <is>
          <t>Product Management — 1 person · Product &amp; programme: product roles decide trade-offs, so Autonomy +5 and Complexity −5</t>
        </is>
      </c>
      <c r="B187" s="64" t="n"/>
      <c r="C187" s="64" t="n"/>
      <c r="D187" s="64" t="n"/>
      <c r="E187" s="64" t="n"/>
      <c r="F187" s="63" t="n"/>
    </row>
    <row r="188" ht="15" customHeight="1">
      <c r="A188" s="7" t="inlineStr">
        <is>
          <t>Level</t>
        </is>
      </c>
      <c r="B188" s="7" t="inlineStr">
        <is>
          <t>Band</t>
        </is>
      </c>
      <c r="C188" s="7" t="inlineStr">
        <is>
          <t>Designations in use · ×n = people</t>
        </is>
      </c>
      <c r="D188" s="7" t="inlineStr">
        <is>
          <t>Job family · sub-family</t>
        </is>
      </c>
      <c r="E188" s="7" t="inlineStr">
        <is>
          <t>Tracks</t>
        </is>
      </c>
      <c r="F188" s="7" t="inlineStr">
        <is>
          <t>People</t>
        </is>
      </c>
    </row>
    <row r="189" ht="15" customHeight="1">
      <c r="A189" s="21" t="inlineStr">
        <is>
          <t>B3</t>
        </is>
      </c>
      <c r="B189" s="43" t="inlineStr">
        <is>
          <t>B</t>
        </is>
      </c>
      <c r="C189" s="22" t="inlineStr">
        <is>
          <t>Senior Product Manager</t>
        </is>
      </c>
      <c r="D189" s="22" t="inlineStr">
        <is>
          <t>Product Management · Product Management</t>
        </is>
      </c>
      <c r="E189" s="22" t="inlineStr">
        <is>
          <t>IC 1</t>
        </is>
      </c>
      <c r="F189" s="43" t="n">
        <v>1</v>
      </c>
    </row>
    <row r="190" ht="15" customHeight="1"/>
    <row r="191" ht="20" customHeight="1">
      <c r="A191" s="6" t="inlineStr">
        <is>
          <t>iDEAL</t>
        </is>
      </c>
    </row>
    <row r="192" ht="15" customHeight="1">
      <c r="A192" s="61" t="inlineStr">
        <is>
          <t>Technology — 33 people · Technology &amp; engineering: technology work is valued for technical depth, so Complexity +5 and Accountability −5</t>
        </is>
      </c>
      <c r="B192" s="64" t="n"/>
      <c r="C192" s="64" t="n"/>
      <c r="D192" s="64" t="n"/>
      <c r="E192" s="64" t="n"/>
      <c r="F192" s="63" t="n"/>
    </row>
    <row r="193" ht="15" customHeight="1">
      <c r="A193" s="7" t="inlineStr">
        <is>
          <t>Level</t>
        </is>
      </c>
      <c r="B193" s="7" t="inlineStr">
        <is>
          <t>Band</t>
        </is>
      </c>
      <c r="C193" s="7" t="inlineStr">
        <is>
          <t>Designations in use · ×n = people</t>
        </is>
      </c>
      <c r="D193" s="7" t="inlineStr">
        <is>
          <t>Job family · sub-family</t>
        </is>
      </c>
      <c r="E193" s="7" t="inlineStr">
        <is>
          <t>Tracks</t>
        </is>
      </c>
      <c r="F193" s="7" t="inlineStr">
        <is>
          <t>People</t>
        </is>
      </c>
    </row>
    <row r="194" ht="41" customHeight="1">
      <c r="A194" s="18" t="inlineStr">
        <is>
          <t>A1</t>
        </is>
      </c>
      <c r="B194" s="42" t="inlineStr">
        <is>
          <t>A</t>
        </is>
      </c>
      <c r="C194" s="19" t="inlineStr">
        <is>
          <t>Trainee Software Engineer ×2</t>
        </is>
      </c>
      <c r="D194" s="19" t="inlineStr">
        <is>
          <t>Engineering &amp; Development · Full-Stack Development; Engineering &amp; Development · Backend Development</t>
        </is>
      </c>
      <c r="E194" s="19" t="inlineStr">
        <is>
          <t>IC 2</t>
        </is>
      </c>
      <c r="F194" s="42" t="n">
        <v>2</v>
      </c>
    </row>
    <row r="195" ht="41" customHeight="1">
      <c r="A195" s="18" t="inlineStr">
        <is>
          <t>A2</t>
        </is>
      </c>
      <c r="B195" s="42" t="inlineStr">
        <is>
          <t>A</t>
        </is>
      </c>
      <c r="C195" s="19" t="inlineStr">
        <is>
          <t>Software Engineer ×2; Support Executive</t>
        </is>
      </c>
      <c r="D195" s="19" t="inlineStr">
        <is>
          <t>Engineering &amp; Development · Backend Development ×2; Customer Success &amp; Support · Application &amp; Product Support</t>
        </is>
      </c>
      <c r="E195" s="19" t="inlineStr">
        <is>
          <t>IC 3</t>
        </is>
      </c>
      <c r="F195" s="42" t="n">
        <v>3</v>
      </c>
    </row>
    <row r="196" ht="67" customHeight="1">
      <c r="A196" s="18" t="inlineStr">
        <is>
          <t>A3</t>
        </is>
      </c>
      <c r="B196" s="42" t="inlineStr">
        <is>
          <t>A</t>
        </is>
      </c>
      <c r="C196" s="19" t="inlineStr">
        <is>
          <t>Senior Business Analyst ×8; Senior Software Engineer ×5; Senior Database Engineer ×3; Technical Specialist; +2 more</t>
        </is>
      </c>
      <c r="D196" s="19" t="inlineStr">
        <is>
          <t>Business Analysis · Business Analysis ×8; Engineering &amp; Development · Backend Development ×5; Engineering &amp; Development · Data Engineering &amp; Database Development ×3; +2 more</t>
        </is>
      </c>
      <c r="E196" s="19" t="inlineStr">
        <is>
          <t>IC 19</t>
        </is>
      </c>
      <c r="F196" s="42" t="n">
        <v>19</v>
      </c>
    </row>
    <row r="197" ht="67" customHeight="1">
      <c r="A197" s="21" t="inlineStr">
        <is>
          <t>B1</t>
        </is>
      </c>
      <c r="B197" s="43" t="inlineStr">
        <is>
          <t>B</t>
        </is>
      </c>
      <c r="C197" s="22" t="inlineStr">
        <is>
          <t>Business Analysis Specialist ×2; Database Specialist – POD Lead; Associate Project Manager; Team Lead – Business Analysis; +2 more</t>
        </is>
      </c>
      <c r="D197" s="22" t="inlineStr">
        <is>
          <t>Business Analysis · Business Analysis ×5; Engineering &amp; Development · Data Engineering &amp; Database Development; Project &amp; Program Management · Project &amp; Program Delivery</t>
        </is>
      </c>
      <c r="E197" s="22" t="inlineStr">
        <is>
          <t>IC 4 · POD Lead 2 · People Manager 1</t>
        </is>
      </c>
      <c r="F197" s="43" t="n">
        <v>7</v>
      </c>
    </row>
    <row r="198" ht="28" customHeight="1">
      <c r="A198" s="21" t="inlineStr">
        <is>
          <t>B3</t>
        </is>
      </c>
      <c r="B198" s="43" t="inlineStr">
        <is>
          <t>B</t>
        </is>
      </c>
      <c r="C198" s="22" t="inlineStr">
        <is>
          <t>Lead Software Engineer</t>
        </is>
      </c>
      <c r="D198" s="22" t="inlineStr">
        <is>
          <t>Engineering &amp; Development · Backend Development</t>
        </is>
      </c>
      <c r="E198" s="22" t="inlineStr">
        <is>
          <t>IC 1</t>
        </is>
      </c>
      <c r="F198" s="43" t="n">
        <v>1</v>
      </c>
    </row>
    <row r="199" ht="28" customHeight="1">
      <c r="A199" s="24" t="inlineStr">
        <is>
          <t>B+</t>
        </is>
      </c>
      <c r="B199" s="44" t="inlineStr">
        <is>
          <t>B+</t>
        </is>
      </c>
      <c r="C199" s="25" t="inlineStr">
        <is>
          <t>Practice Lead – Solution &amp; Technical Architecture · Player-Coach</t>
        </is>
      </c>
      <c r="D199" s="25" t="inlineStr">
        <is>
          <t>Engineering &amp; Architecture · Solution &amp; Technical Architecture</t>
        </is>
      </c>
      <c r="E199" s="25" t="inlineStr">
        <is>
          <t>Player-Coach 1</t>
        </is>
      </c>
      <c r="F199" s="44" t="n">
        <v>1</v>
      </c>
    </row>
    <row r="200" ht="15" customHeight="1"/>
    <row r="201" ht="28" customHeight="1">
      <c r="A201" s="61" t="inlineStr">
        <is>
          <t>Quality Assurance — 5 people · Technology &amp; engineering: technology work is valued for technical depth, so Complexity +5 and Accountability −5</t>
        </is>
      </c>
      <c r="B201" s="64" t="n"/>
      <c r="C201" s="64" t="n"/>
      <c r="D201" s="64" t="n"/>
      <c r="E201" s="64" t="n"/>
      <c r="F201" s="63" t="n"/>
    </row>
    <row r="202" ht="15" customHeight="1">
      <c r="A202" s="7" t="inlineStr">
        <is>
          <t>Level</t>
        </is>
      </c>
      <c r="B202" s="7" t="inlineStr">
        <is>
          <t>Band</t>
        </is>
      </c>
      <c r="C202" s="7" t="inlineStr">
        <is>
          <t>Designations in use · ×n = people</t>
        </is>
      </c>
      <c r="D202" s="7" t="inlineStr">
        <is>
          <t>Job family · sub-family</t>
        </is>
      </c>
      <c r="E202" s="7" t="inlineStr">
        <is>
          <t>Tracks</t>
        </is>
      </c>
      <c r="F202" s="7" t="inlineStr">
        <is>
          <t>People</t>
        </is>
      </c>
    </row>
    <row r="203" ht="41" customHeight="1">
      <c r="A203" s="18" t="inlineStr">
        <is>
          <t>A3</t>
        </is>
      </c>
      <c r="B203" s="42" t="inlineStr">
        <is>
          <t>A</t>
        </is>
      </c>
      <c r="C203" s="19" t="inlineStr">
        <is>
          <t>Senior QA Automation Engineer ×3; Senior QA Engineer</t>
        </is>
      </c>
      <c r="D203" s="19" t="inlineStr">
        <is>
          <t>Quality Assurance · Test Automation ×3; Quality Assurance · Functional &amp; Domain Testing</t>
        </is>
      </c>
      <c r="E203" s="19" t="inlineStr">
        <is>
          <t>IC 4</t>
        </is>
      </c>
      <c r="F203" s="42" t="n">
        <v>4</v>
      </c>
    </row>
    <row r="204" ht="28" customHeight="1">
      <c r="A204" s="21" t="inlineStr">
        <is>
          <t>B1</t>
        </is>
      </c>
      <c r="B204" s="43" t="inlineStr">
        <is>
          <t>B</t>
        </is>
      </c>
      <c r="C204" s="22" t="inlineStr">
        <is>
          <t>QA Manager</t>
        </is>
      </c>
      <c r="D204" s="22" t="inlineStr">
        <is>
          <t>Quality Assurance · Functional &amp; Domain Testing</t>
        </is>
      </c>
      <c r="E204" s="22" t="inlineStr">
        <is>
          <t>People Manager 1</t>
        </is>
      </c>
      <c r="F204" s="43" t="n">
        <v>1</v>
      </c>
    </row>
    <row r="205" ht="15" customHeight="1"/>
    <row r="206" ht="28" customHeight="1">
      <c r="A206" s="61" t="inlineStr">
        <is>
          <t>Sales — 4 people · Sales &amp; marketing: sales and marketing are judged on pipeline and revenue, so Business Impact +5, Autonomy +5, Complexity −5 and Accountability −5</t>
        </is>
      </c>
      <c r="B206" s="64" t="n"/>
      <c r="C206" s="64" t="n"/>
      <c r="D206" s="64" t="n"/>
      <c r="E206" s="64" t="n"/>
      <c r="F206" s="63" t="n"/>
    </row>
    <row r="207" ht="15" customHeight="1">
      <c r="A207" s="7" t="inlineStr">
        <is>
          <t>Level</t>
        </is>
      </c>
      <c r="B207" s="7" t="inlineStr">
        <is>
          <t>Band</t>
        </is>
      </c>
      <c r="C207" s="7" t="inlineStr">
        <is>
          <t>Designations in use · ×n = people</t>
        </is>
      </c>
      <c r="D207" s="7" t="inlineStr">
        <is>
          <t>Job family · sub-family</t>
        </is>
      </c>
      <c r="E207" s="7" t="inlineStr">
        <is>
          <t>Tracks</t>
        </is>
      </c>
      <c r="F207" s="7" t="inlineStr">
        <is>
          <t>People</t>
        </is>
      </c>
    </row>
    <row r="208" ht="28" customHeight="1">
      <c r="A208" s="18" t="inlineStr">
        <is>
          <t>A1</t>
        </is>
      </c>
      <c r="B208" s="42" t="inlineStr">
        <is>
          <t>A</t>
        </is>
      </c>
      <c r="C208" s="19" t="inlineStr">
        <is>
          <t>Intern – Application &amp; Product Support</t>
        </is>
      </c>
      <c r="D208" s="19" t="inlineStr">
        <is>
          <t>Customer Success &amp; Support · Application &amp; Product Support</t>
        </is>
      </c>
      <c r="E208" s="19" t="inlineStr">
        <is>
          <t>IC 1</t>
        </is>
      </c>
      <c r="F208" s="42" t="n">
        <v>1</v>
      </c>
    </row>
    <row r="209" ht="28" customHeight="1">
      <c r="A209" s="18" t="inlineStr">
        <is>
          <t>A3</t>
        </is>
      </c>
      <c r="B209" s="42" t="inlineStr">
        <is>
          <t>A</t>
        </is>
      </c>
      <c r="C209" s="19" t="inlineStr">
        <is>
          <t>Senior Alliances Executive</t>
        </is>
      </c>
      <c r="D209" s="19" t="inlineStr">
        <is>
          <t>Sales &amp; Business Development · Partnerships &amp; Alliances</t>
        </is>
      </c>
      <c r="E209" s="19" t="inlineStr">
        <is>
          <t>IC 1</t>
        </is>
      </c>
      <c r="F209" s="42" t="n">
        <v>1</v>
      </c>
    </row>
    <row r="210" ht="28" customHeight="1">
      <c r="A210" s="21" t="inlineStr">
        <is>
          <t>B1</t>
        </is>
      </c>
      <c r="B210" s="43" t="inlineStr">
        <is>
          <t>B</t>
        </is>
      </c>
      <c r="C210" s="22" t="inlineStr">
        <is>
          <t>Account Executive</t>
        </is>
      </c>
      <c r="D210" s="22" t="inlineStr">
        <is>
          <t>Sales &amp; Business Development · Enterprise Sales &amp; Account Management</t>
        </is>
      </c>
      <c r="E210" s="22" t="inlineStr">
        <is>
          <t>IC 1</t>
        </is>
      </c>
      <c r="F210" s="43" t="n">
        <v>1</v>
      </c>
    </row>
    <row r="211" ht="28" customHeight="1">
      <c r="A211" s="21" t="inlineStr">
        <is>
          <t>B2</t>
        </is>
      </c>
      <c r="B211" s="43" t="inlineStr">
        <is>
          <t>B</t>
        </is>
      </c>
      <c r="C211" s="22" t="inlineStr">
        <is>
          <t>Senior Account Executive</t>
        </is>
      </c>
      <c r="D211" s="22" t="inlineStr">
        <is>
          <t>Sales &amp; Business Development · Enterprise Sales &amp; Account Management</t>
        </is>
      </c>
      <c r="E211" s="22" t="inlineStr">
        <is>
          <t>IC 1</t>
        </is>
      </c>
      <c r="F211" s="43" t="n">
        <v>1</v>
      </c>
    </row>
    <row r="212" ht="15" customHeight="1"/>
    <row r="213" ht="15" customHeight="1">
      <c r="A213" s="61" t="inlineStr">
        <is>
          <t>Product Management — 3 people · Product &amp; programme: product roles decide trade-offs, so Autonomy +5 and Complexity −5</t>
        </is>
      </c>
      <c r="B213" s="64" t="n"/>
      <c r="C213" s="64" t="n"/>
      <c r="D213" s="64" t="n"/>
      <c r="E213" s="64" t="n"/>
      <c r="F213" s="63" t="n"/>
    </row>
    <row r="214" ht="15" customHeight="1">
      <c r="A214" s="7" t="inlineStr">
        <is>
          <t>Level</t>
        </is>
      </c>
      <c r="B214" s="7" t="inlineStr">
        <is>
          <t>Band</t>
        </is>
      </c>
      <c r="C214" s="7" t="inlineStr">
        <is>
          <t>Designations in use · ×n = people</t>
        </is>
      </c>
      <c r="D214" s="7" t="inlineStr">
        <is>
          <t>Job family · sub-family</t>
        </is>
      </c>
      <c r="E214" s="7" t="inlineStr">
        <is>
          <t>Tracks</t>
        </is>
      </c>
      <c r="F214" s="7" t="inlineStr">
        <is>
          <t>People</t>
        </is>
      </c>
    </row>
    <row r="215" ht="28" customHeight="1">
      <c r="A215" s="18" t="inlineStr">
        <is>
          <t>A3</t>
        </is>
      </c>
      <c r="B215" s="42" t="inlineStr">
        <is>
          <t>A</t>
        </is>
      </c>
      <c r="C215" s="19" t="inlineStr">
        <is>
          <t>Senior Product Analyst</t>
        </is>
      </c>
      <c r="D215" s="19" t="inlineStr">
        <is>
          <t>Product Management · Product Operations &amp; Research</t>
        </is>
      </c>
      <c r="E215" s="19" t="inlineStr">
        <is>
          <t>IC 1</t>
        </is>
      </c>
      <c r="F215" s="42" t="n">
        <v>1</v>
      </c>
    </row>
    <row r="216" ht="28" customHeight="1">
      <c r="A216" s="21" t="inlineStr">
        <is>
          <t>B2</t>
        </is>
      </c>
      <c r="B216" s="43" t="inlineStr">
        <is>
          <t>B</t>
        </is>
      </c>
      <c r="C216" s="22" t="inlineStr">
        <is>
          <t>Product Manager ×2</t>
        </is>
      </c>
      <c r="D216" s="22" t="inlineStr">
        <is>
          <t>Product Management · Product Management ×2</t>
        </is>
      </c>
      <c r="E216" s="22" t="inlineStr">
        <is>
          <t>People Manager 2</t>
        </is>
      </c>
      <c r="F216" s="43" t="n">
        <v>2</v>
      </c>
    </row>
    <row r="217" ht="15" customHeight="1"/>
    <row r="218" ht="28" customHeight="1">
      <c r="A218" s="61" t="inlineStr">
        <is>
          <t>Marketing — 1 person · Sales &amp; marketing: sales and marketing are judged on pipeline and revenue, so Business Impact +5, Autonomy +5, Complexity −5 and Accountability −5</t>
        </is>
      </c>
      <c r="B218" s="64" t="n"/>
      <c r="C218" s="64" t="n"/>
      <c r="D218" s="64" t="n"/>
      <c r="E218" s="64" t="n"/>
      <c r="F218" s="63" t="n"/>
    </row>
    <row r="219" ht="15" customHeight="1">
      <c r="A219" s="7" t="inlineStr">
        <is>
          <t>Level</t>
        </is>
      </c>
      <c r="B219" s="7" t="inlineStr">
        <is>
          <t>Band</t>
        </is>
      </c>
      <c r="C219" s="7" t="inlineStr">
        <is>
          <t>Designations in use · ×n = people</t>
        </is>
      </c>
      <c r="D219" s="7" t="inlineStr">
        <is>
          <t>Job family · sub-family</t>
        </is>
      </c>
      <c r="E219" s="7" t="inlineStr">
        <is>
          <t>Tracks</t>
        </is>
      </c>
      <c r="F219" s="7" t="inlineStr">
        <is>
          <t>People</t>
        </is>
      </c>
    </row>
    <row r="220" ht="28" customHeight="1">
      <c r="A220" s="18" t="inlineStr">
        <is>
          <t>A2</t>
        </is>
      </c>
      <c r="B220" s="42" t="inlineStr">
        <is>
          <t>A</t>
        </is>
      </c>
      <c r="C220" s="19" t="inlineStr">
        <is>
          <t>Content Marketing Associate</t>
        </is>
      </c>
      <c r="D220" s="19" t="inlineStr">
        <is>
          <t>Marketing &amp; Communications · Content Marketing</t>
        </is>
      </c>
      <c r="E220" s="19" t="inlineStr">
        <is>
          <t>IC 1</t>
        </is>
      </c>
      <c r="F220" s="42" t="n">
        <v>1</v>
      </c>
    </row>
    <row r="221" ht="15" customHeight="1"/>
    <row r="222" ht="15" customHeight="1">
      <c r="A222" s="61" t="inlineStr">
        <is>
          <t>iDEAL Business Head — 1 person · General management: general management uses the base weights, so no change</t>
        </is>
      </c>
      <c r="B222" s="64" t="n"/>
      <c r="C222" s="64" t="n"/>
      <c r="D222" s="64" t="n"/>
      <c r="E222" s="64" t="n"/>
      <c r="F222" s="63" t="n"/>
    </row>
    <row r="223" ht="15" customHeight="1">
      <c r="A223" s="7" t="inlineStr">
        <is>
          <t>Level</t>
        </is>
      </c>
      <c r="B223" s="7" t="inlineStr">
        <is>
          <t>Band</t>
        </is>
      </c>
      <c r="C223" s="7" t="inlineStr">
        <is>
          <t>Designations in use · ×n = people</t>
        </is>
      </c>
      <c r="D223" s="7" t="inlineStr">
        <is>
          <t>Job family · sub-family</t>
        </is>
      </c>
      <c r="E223" s="7" t="inlineStr">
        <is>
          <t>Tracks</t>
        </is>
      </c>
      <c r="F223" s="7" t="inlineStr">
        <is>
          <t>People</t>
        </is>
      </c>
    </row>
    <row r="224" ht="28" customHeight="1">
      <c r="A224" s="33" t="inlineStr">
        <is>
          <t>D1</t>
        </is>
      </c>
      <c r="B224" s="47" t="inlineStr">
        <is>
          <t>D</t>
        </is>
      </c>
      <c r="C224" s="34" t="inlineStr">
        <is>
          <t>Business Head – iDEAL</t>
        </is>
      </c>
      <c r="D224" s="34" t="inlineStr">
        <is>
          <t>Executive Leadership · Business &amp; Functional Leadership</t>
        </is>
      </c>
      <c r="E224" s="34" t="inlineStr">
        <is>
          <t>People Manager 1</t>
        </is>
      </c>
      <c r="F224" s="47" t="n">
        <v>1</v>
      </c>
    </row>
    <row r="225" ht="15" customHeight="1"/>
    <row r="226" ht="20" customHeight="1">
      <c r="A226" s="6" t="inlineStr">
        <is>
          <t>Datatech</t>
        </is>
      </c>
    </row>
    <row r="227" ht="15" customHeight="1">
      <c r="A227" s="61" t="inlineStr">
        <is>
          <t>Technology — 10 people · Technology &amp; engineering: technology work is valued for technical depth, so Complexity +5 and Accountability −5</t>
        </is>
      </c>
      <c r="B227" s="64" t="n"/>
      <c r="C227" s="64" t="n"/>
      <c r="D227" s="64" t="n"/>
      <c r="E227" s="64" t="n"/>
      <c r="F227" s="63" t="n"/>
    </row>
    <row r="228" ht="15" customHeight="1">
      <c r="A228" s="7" t="inlineStr">
        <is>
          <t>Level</t>
        </is>
      </c>
      <c r="B228" s="7" t="inlineStr">
        <is>
          <t>Band</t>
        </is>
      </c>
      <c r="C228" s="7" t="inlineStr">
        <is>
          <t>Designations in use · ×n = people</t>
        </is>
      </c>
      <c r="D228" s="7" t="inlineStr">
        <is>
          <t>Job family · sub-family</t>
        </is>
      </c>
      <c r="E228" s="7" t="inlineStr">
        <is>
          <t>Tracks</t>
        </is>
      </c>
      <c r="F228" s="7" t="inlineStr">
        <is>
          <t>People</t>
        </is>
      </c>
    </row>
    <row r="229" ht="28" customHeight="1">
      <c r="A229" s="18" t="inlineStr">
        <is>
          <t>A1</t>
        </is>
      </c>
      <c r="B229" s="42" t="inlineStr">
        <is>
          <t>A</t>
        </is>
      </c>
      <c r="C229" s="19" t="inlineStr">
        <is>
          <t>Intern – Product Operations &amp; Research</t>
        </is>
      </c>
      <c r="D229" s="19" t="inlineStr">
        <is>
          <t>Product Management · Product Operations &amp; Research</t>
        </is>
      </c>
      <c r="E229" s="19" t="inlineStr">
        <is>
          <t>IC 1</t>
        </is>
      </c>
      <c r="F229" s="42" t="n">
        <v>1</v>
      </c>
    </row>
    <row r="230" ht="28" customHeight="1">
      <c r="A230" s="18" t="inlineStr">
        <is>
          <t>A2</t>
        </is>
      </c>
      <c r="B230" s="42" t="inlineStr">
        <is>
          <t>A</t>
        </is>
      </c>
      <c r="C230" s="19" t="inlineStr">
        <is>
          <t>Software Engineer</t>
        </is>
      </c>
      <c r="D230" s="19" t="inlineStr">
        <is>
          <t>Engineering &amp; Development · Backend Development</t>
        </is>
      </c>
      <c r="E230" s="19" t="inlineStr">
        <is>
          <t>IC 1</t>
        </is>
      </c>
      <c r="F230" s="42" t="n">
        <v>1</v>
      </c>
    </row>
    <row r="231" ht="41" customHeight="1">
      <c r="A231" s="18" t="inlineStr">
        <is>
          <t>A3</t>
        </is>
      </c>
      <c r="B231" s="42" t="inlineStr">
        <is>
          <t>A</t>
        </is>
      </c>
      <c r="C231" s="19" t="inlineStr">
        <is>
          <t>Senior Software Engineer ×2; Senior Product Designer</t>
        </is>
      </c>
      <c r="D231" s="19" t="inlineStr">
        <is>
          <t>Engineering &amp; Development · Backend Development ×2; Design &amp; Creative · UX / UI Design</t>
        </is>
      </c>
      <c r="E231" s="19" t="inlineStr">
        <is>
          <t>IC 3</t>
        </is>
      </c>
      <c r="F231" s="42" t="n">
        <v>3</v>
      </c>
    </row>
    <row r="232" ht="28" customHeight="1">
      <c r="A232" s="21" t="inlineStr">
        <is>
          <t>B2</t>
        </is>
      </c>
      <c r="B232" s="43" t="inlineStr">
        <is>
          <t>B</t>
        </is>
      </c>
      <c r="C232" s="22" t="inlineStr">
        <is>
          <t>Senior Technical Specialist – POD Lead</t>
        </is>
      </c>
      <c r="D232" s="22" t="inlineStr">
        <is>
          <t>Engineering &amp; Development · Backend Development</t>
        </is>
      </c>
      <c r="E232" s="22" t="inlineStr">
        <is>
          <t>POD Lead 1</t>
        </is>
      </c>
      <c r="F232" s="43" t="n">
        <v>1</v>
      </c>
    </row>
    <row r="233" ht="28" customHeight="1">
      <c r="A233" s="27" t="inlineStr">
        <is>
          <t>C1</t>
        </is>
      </c>
      <c r="B233" s="45" t="inlineStr">
        <is>
          <t>C</t>
        </is>
      </c>
      <c r="C233" s="28" t="inlineStr">
        <is>
          <t>Solution Architect</t>
        </is>
      </c>
      <c r="D233" s="28" t="inlineStr">
        <is>
          <t>Engineering &amp; Architecture · Solution &amp; Technical Architecture</t>
        </is>
      </c>
      <c r="E233" s="28" t="inlineStr">
        <is>
          <t>IC 1</t>
        </is>
      </c>
      <c r="F233" s="45" t="n">
        <v>1</v>
      </c>
    </row>
    <row r="234" ht="28" customHeight="1">
      <c r="A234" s="39" t="inlineStr">
        <is>
          <t>X1</t>
        </is>
      </c>
      <c r="B234" s="49" t="inlineStr">
        <is>
          <t>X</t>
        </is>
      </c>
      <c r="C234" s="40" t="inlineStr">
        <is>
          <t>Associate Consultant – Software Development ×3</t>
        </is>
      </c>
      <c r="D234" s="40" t="inlineStr">
        <is>
          <t>Engineering &amp; Development · Backend Development ×3</t>
        </is>
      </c>
      <c r="E234" s="40" t="inlineStr">
        <is>
          <t>Consultant 3</t>
        </is>
      </c>
      <c r="F234" s="49" t="n">
        <v>3</v>
      </c>
    </row>
    <row r="235" ht="15" customHeight="1"/>
    <row r="236" ht="28" customHeight="1">
      <c r="A236" s="61" t="inlineStr">
        <is>
          <t>Datatech - Outreach — 8 people · Sales &amp; marketing: sales and marketing are judged on pipeline and revenue, so Business Impact +5, Autonomy +5, Complexity −5 and Accountability −5</t>
        </is>
      </c>
      <c r="B236" s="64" t="n"/>
      <c r="C236" s="64" t="n"/>
      <c r="D236" s="64" t="n"/>
      <c r="E236" s="64" t="n"/>
      <c r="F236" s="63" t="n"/>
    </row>
    <row r="237" ht="15" customHeight="1">
      <c r="A237" s="7" t="inlineStr">
        <is>
          <t>Level</t>
        </is>
      </c>
      <c r="B237" s="7" t="inlineStr">
        <is>
          <t>Band</t>
        </is>
      </c>
      <c r="C237" s="7" t="inlineStr">
        <is>
          <t>Designations in use · ×n = people</t>
        </is>
      </c>
      <c r="D237" s="7" t="inlineStr">
        <is>
          <t>Job family · sub-family</t>
        </is>
      </c>
      <c r="E237" s="7" t="inlineStr">
        <is>
          <t>Tracks</t>
        </is>
      </c>
      <c r="F237" s="7" t="inlineStr">
        <is>
          <t>People</t>
        </is>
      </c>
    </row>
    <row r="238" ht="41" customHeight="1">
      <c r="A238" s="18" t="inlineStr">
        <is>
          <t>A2</t>
        </is>
      </c>
      <c r="B238" s="42" t="inlineStr">
        <is>
          <t>A</t>
        </is>
      </c>
      <c r="C238" s="19" t="inlineStr">
        <is>
          <t>Program Executive ×2; MIS Associate</t>
        </is>
      </c>
      <c r="D238" s="19" t="inlineStr">
        <is>
          <t>Sales &amp; Business Development · Field Outreach &amp; Programme Sales ×2; Data &amp; Analytics · MIS &amp; Business Reporting</t>
        </is>
      </c>
      <c r="E238" s="19" t="inlineStr">
        <is>
          <t>IC 3</t>
        </is>
      </c>
      <c r="F238" s="42" t="n">
        <v>3</v>
      </c>
    </row>
    <row r="239" ht="28" customHeight="1">
      <c r="A239" s="18" t="inlineStr">
        <is>
          <t>A3</t>
        </is>
      </c>
      <c r="B239" s="42" t="inlineStr">
        <is>
          <t>A</t>
        </is>
      </c>
      <c r="C239" s="19" t="inlineStr">
        <is>
          <t>Senior Program Executive ×3</t>
        </is>
      </c>
      <c r="D239" s="19" t="inlineStr">
        <is>
          <t>Sales &amp; Business Development · Field Outreach &amp; Programme Sales ×3</t>
        </is>
      </c>
      <c r="E239" s="19" t="inlineStr">
        <is>
          <t>IC 3</t>
        </is>
      </c>
      <c r="F239" s="42" t="n">
        <v>3</v>
      </c>
    </row>
    <row r="240" ht="28" customHeight="1">
      <c r="A240" s="21" t="inlineStr">
        <is>
          <t>B2</t>
        </is>
      </c>
      <c r="B240" s="43" t="inlineStr">
        <is>
          <t>B</t>
        </is>
      </c>
      <c r="C240" s="22" t="inlineStr">
        <is>
          <t>Program Manager – Outreach; Senior Program Specialist – POD Lead</t>
        </is>
      </c>
      <c r="D240" s="22" t="inlineStr">
        <is>
          <t>Sales &amp; Business Development · Field Outreach &amp; Programme Sales ×2</t>
        </is>
      </c>
      <c r="E240" s="22" t="inlineStr">
        <is>
          <t>People Manager 1 · POD Lead 1</t>
        </is>
      </c>
      <c r="F240" s="43" t="n">
        <v>2</v>
      </c>
    </row>
    <row r="241" ht="15" customHeight="1"/>
    <row r="242" ht="15" customHeight="1">
      <c r="A242" s="61" t="inlineStr">
        <is>
          <t>Product Management — 5 people · Product &amp; programme: product roles decide trade-offs, so Autonomy +5 and Complexity −5</t>
        </is>
      </c>
      <c r="B242" s="64" t="n"/>
      <c r="C242" s="64" t="n"/>
      <c r="D242" s="64" t="n"/>
      <c r="E242" s="64" t="n"/>
      <c r="F242" s="63" t="n"/>
    </row>
    <row r="243" ht="15" customHeight="1">
      <c r="A243" s="7" t="inlineStr">
        <is>
          <t>Level</t>
        </is>
      </c>
      <c r="B243" s="7" t="inlineStr">
        <is>
          <t>Band</t>
        </is>
      </c>
      <c r="C243" s="7" t="inlineStr">
        <is>
          <t>Designations in use · ×n = people</t>
        </is>
      </c>
      <c r="D243" s="7" t="inlineStr">
        <is>
          <t>Job family · sub-family</t>
        </is>
      </c>
      <c r="E243" s="7" t="inlineStr">
        <is>
          <t>Tracks</t>
        </is>
      </c>
      <c r="F243" s="7" t="inlineStr">
        <is>
          <t>People</t>
        </is>
      </c>
    </row>
    <row r="244" ht="28" customHeight="1">
      <c r="A244" s="21" t="inlineStr">
        <is>
          <t>B1</t>
        </is>
      </c>
      <c r="B244" s="43" t="inlineStr">
        <is>
          <t>B</t>
        </is>
      </c>
      <c r="C244" s="22" t="inlineStr">
        <is>
          <t>Associate Product Manager ×2</t>
        </is>
      </c>
      <c r="D244" s="22" t="inlineStr">
        <is>
          <t>Product Management · Product Management ×2</t>
        </is>
      </c>
      <c r="E244" s="22" t="inlineStr">
        <is>
          <t>IC 2</t>
        </is>
      </c>
      <c r="F244" s="43" t="n">
        <v>2</v>
      </c>
    </row>
    <row r="245" ht="28" customHeight="1">
      <c r="A245" s="21" t="inlineStr">
        <is>
          <t>B2</t>
        </is>
      </c>
      <c r="B245" s="43" t="inlineStr">
        <is>
          <t>B</t>
        </is>
      </c>
      <c r="C245" s="22" t="inlineStr">
        <is>
          <t>Product Manager ×3</t>
        </is>
      </c>
      <c r="D245" s="22" t="inlineStr">
        <is>
          <t>Product Management · Product Management ×3</t>
        </is>
      </c>
      <c r="E245" s="22" t="inlineStr">
        <is>
          <t>IC 2 · People Manager 1</t>
        </is>
      </c>
      <c r="F245" s="43" t="n">
        <v>3</v>
      </c>
    </row>
    <row r="246" ht="15" customHeight="1"/>
    <row r="247" ht="28" customHeight="1">
      <c r="A247" s="61" t="inlineStr">
        <is>
          <t>Marketing — 5 people · Sales &amp; marketing: sales and marketing are judged on pipeline and revenue, so Business Impact +5, Autonomy +5, Complexity −5 and Accountability −5</t>
        </is>
      </c>
      <c r="B247" s="64" t="n"/>
      <c r="C247" s="64" t="n"/>
      <c r="D247" s="64" t="n"/>
      <c r="E247" s="64" t="n"/>
      <c r="F247" s="63" t="n"/>
    </row>
    <row r="248" ht="15" customHeight="1">
      <c r="A248" s="7" t="inlineStr">
        <is>
          <t>Level</t>
        </is>
      </c>
      <c r="B248" s="7" t="inlineStr">
        <is>
          <t>Band</t>
        </is>
      </c>
      <c r="C248" s="7" t="inlineStr">
        <is>
          <t>Designations in use · ×n = people</t>
        </is>
      </c>
      <c r="D248" s="7" t="inlineStr">
        <is>
          <t>Job family · sub-family</t>
        </is>
      </c>
      <c r="E248" s="7" t="inlineStr">
        <is>
          <t>Tracks</t>
        </is>
      </c>
      <c r="F248" s="7" t="inlineStr">
        <is>
          <t>People</t>
        </is>
      </c>
    </row>
    <row r="249" ht="28" customHeight="1">
      <c r="A249" s="18" t="inlineStr">
        <is>
          <t>A2</t>
        </is>
      </c>
      <c r="B249" s="42" t="inlineStr">
        <is>
          <t>A</t>
        </is>
      </c>
      <c r="C249" s="19" t="inlineStr">
        <is>
          <t>Designer</t>
        </is>
      </c>
      <c r="D249" s="19" t="inlineStr">
        <is>
          <t>Design &amp; Creative · Brand, Graphic &amp; Video Design</t>
        </is>
      </c>
      <c r="E249" s="19" t="inlineStr">
        <is>
          <t>IC 1</t>
        </is>
      </c>
      <c r="F249" s="42" t="n">
        <v>1</v>
      </c>
    </row>
    <row r="250" ht="41" customHeight="1">
      <c r="A250" s="18" t="inlineStr">
        <is>
          <t>A3</t>
        </is>
      </c>
      <c r="B250" s="42" t="inlineStr">
        <is>
          <t>A</t>
        </is>
      </c>
      <c r="C250" s="19" t="inlineStr">
        <is>
          <t>Senior Digital Marketing Associate; Senior Content Marketing Associate</t>
        </is>
      </c>
      <c r="D250" s="19" t="inlineStr">
        <is>
          <t>Marketing &amp; Communications · Digital Marketing, Web &amp; Social; Marketing &amp; Communications · Content Marketing</t>
        </is>
      </c>
      <c r="E250" s="19" t="inlineStr">
        <is>
          <t>IC 2</t>
        </is>
      </c>
      <c r="F250" s="42" t="n">
        <v>2</v>
      </c>
    </row>
    <row r="251" ht="28" customHeight="1">
      <c r="A251" s="21" t="inlineStr">
        <is>
          <t>B2</t>
        </is>
      </c>
      <c r="B251" s="43" t="inlineStr">
        <is>
          <t>B</t>
        </is>
      </c>
      <c r="C251" s="22" t="inlineStr">
        <is>
          <t>Marketing Specialist – POD Lead</t>
        </is>
      </c>
      <c r="D251" s="22" t="inlineStr">
        <is>
          <t>Marketing &amp; Communications · Marketing Leadership</t>
        </is>
      </c>
      <c r="E251" s="22" t="inlineStr">
        <is>
          <t>POD Lead 1</t>
        </is>
      </c>
      <c r="F251" s="43" t="n">
        <v>1</v>
      </c>
    </row>
    <row r="252" ht="28" customHeight="1">
      <c r="A252" s="39" t="inlineStr">
        <is>
          <t>X1</t>
        </is>
      </c>
      <c r="B252" s="49" t="inlineStr">
        <is>
          <t>X</t>
        </is>
      </c>
      <c r="C252" s="40" t="inlineStr">
        <is>
          <t>Associate Consultant – Demand Generation, Brand &amp; Events</t>
        </is>
      </c>
      <c r="D252" s="40" t="inlineStr">
        <is>
          <t>Marketing &amp; Communications · Marketing · role not recorded</t>
        </is>
      </c>
      <c r="E252" s="40" t="inlineStr">
        <is>
          <t>Consultant 1</t>
        </is>
      </c>
      <c r="F252" s="49" t="n">
        <v>1</v>
      </c>
    </row>
    <row r="253" ht="15" customHeight="1"/>
    <row r="254" ht="15" customHeight="1">
      <c r="A254" s="61" t="inlineStr">
        <is>
          <t>Not provided · HRIS — 2 people · consultants, outside the ladder · not scored</t>
        </is>
      </c>
      <c r="B254" s="64" t="n"/>
      <c r="C254" s="64" t="n"/>
      <c r="D254" s="64" t="n"/>
      <c r="E254" s="64" t="n"/>
      <c r="F254" s="63" t="n"/>
    </row>
    <row r="255" ht="15" customHeight="1">
      <c r="A255" s="7" t="inlineStr">
        <is>
          <t>Level</t>
        </is>
      </c>
      <c r="B255" s="7" t="inlineStr">
        <is>
          <t>Band</t>
        </is>
      </c>
      <c r="C255" s="7" t="inlineStr">
        <is>
          <t>Designations in use · ×n = people</t>
        </is>
      </c>
      <c r="D255" s="7" t="inlineStr">
        <is>
          <t>Job family · sub-family</t>
        </is>
      </c>
      <c r="E255" s="7" t="inlineStr">
        <is>
          <t>Tracks</t>
        </is>
      </c>
      <c r="F255" s="7" t="inlineStr">
        <is>
          <t>People</t>
        </is>
      </c>
    </row>
    <row r="256" ht="28" customHeight="1">
      <c r="A256" s="39" t="inlineStr">
        <is>
          <t>X1</t>
        </is>
      </c>
      <c r="B256" s="49" t="inlineStr">
        <is>
          <t>X</t>
        </is>
      </c>
      <c r="C256" s="40" t="inlineStr">
        <is>
          <t>Associate Consultant – Software Development ×2</t>
        </is>
      </c>
      <c r="D256" s="40" t="inlineStr">
        <is>
          <t>Unassigned · Role not recorded · external consultant ×2</t>
        </is>
      </c>
      <c r="E256" s="40" t="inlineStr">
        <is>
          <t>Consultant 2</t>
        </is>
      </c>
      <c r="F256" s="49" t="n">
        <v>2</v>
      </c>
    </row>
    <row r="257" ht="15" customHeight="1"/>
    <row r="258" ht="28" customHeight="1">
      <c r="A258" s="61" t="inlineStr">
        <is>
          <t>Quality Assurance — 2 people · Technology &amp; engineering: technology work is valued for technical depth, so Complexity +5 and Accountability −5</t>
        </is>
      </c>
      <c r="B258" s="64" t="n"/>
      <c r="C258" s="64" t="n"/>
      <c r="D258" s="64" t="n"/>
      <c r="E258" s="64" t="n"/>
      <c r="F258" s="63" t="n"/>
    </row>
    <row r="259" ht="15" customHeight="1">
      <c r="A259" s="7" t="inlineStr">
        <is>
          <t>Level</t>
        </is>
      </c>
      <c r="B259" s="7" t="inlineStr">
        <is>
          <t>Band</t>
        </is>
      </c>
      <c r="C259" s="7" t="inlineStr">
        <is>
          <t>Designations in use · ×n = people</t>
        </is>
      </c>
      <c r="D259" s="7" t="inlineStr">
        <is>
          <t>Job family · sub-family</t>
        </is>
      </c>
      <c r="E259" s="7" t="inlineStr">
        <is>
          <t>Tracks</t>
        </is>
      </c>
      <c r="F259" s="7" t="inlineStr">
        <is>
          <t>People</t>
        </is>
      </c>
    </row>
    <row r="260" ht="41" customHeight="1">
      <c r="A260" s="18" t="inlineStr">
        <is>
          <t>A3</t>
        </is>
      </c>
      <c r="B260" s="42" t="inlineStr">
        <is>
          <t>A</t>
        </is>
      </c>
      <c r="C260" s="19" t="inlineStr">
        <is>
          <t>Senior QA Automation Engineer; Senior QA Engineer</t>
        </is>
      </c>
      <c r="D260" s="19" t="inlineStr">
        <is>
          <t>Quality Assurance · Test Automation; Quality Assurance · Functional &amp; Domain Testing</t>
        </is>
      </c>
      <c r="E260" s="19" t="inlineStr">
        <is>
          <t>IC 2</t>
        </is>
      </c>
      <c r="F260" s="42" t="n">
        <v>2</v>
      </c>
    </row>
    <row r="261" ht="15" customHeight="1"/>
    <row r="262" ht="28" customHeight="1">
      <c r="A262" s="61" t="inlineStr">
        <is>
          <t>Sales — 1 person · Sales &amp; marketing: sales and marketing are judged on pipeline and revenue, so Business Impact +5, Autonomy +5, Complexity −5 and Accountability −5</t>
        </is>
      </c>
      <c r="B262" s="64" t="n"/>
      <c r="C262" s="64" t="n"/>
      <c r="D262" s="64" t="n"/>
      <c r="E262" s="64" t="n"/>
      <c r="F262" s="63" t="n"/>
    </row>
    <row r="263" ht="15" customHeight="1">
      <c r="A263" s="7" t="inlineStr">
        <is>
          <t>Level</t>
        </is>
      </c>
      <c r="B263" s="7" t="inlineStr">
        <is>
          <t>Band</t>
        </is>
      </c>
      <c r="C263" s="7" t="inlineStr">
        <is>
          <t>Designations in use · ×n = people</t>
        </is>
      </c>
      <c r="D263" s="7" t="inlineStr">
        <is>
          <t>Job family · sub-family</t>
        </is>
      </c>
      <c r="E263" s="7" t="inlineStr">
        <is>
          <t>Tracks</t>
        </is>
      </c>
      <c r="F263" s="7" t="inlineStr">
        <is>
          <t>People</t>
        </is>
      </c>
    </row>
    <row r="264" ht="28" customHeight="1">
      <c r="A264" s="27" t="inlineStr">
        <is>
          <t>C1</t>
        </is>
      </c>
      <c r="B264" s="45" t="inlineStr">
        <is>
          <t>C</t>
        </is>
      </c>
      <c r="C264" s="28" t="inlineStr">
        <is>
          <t>Principal – Sales</t>
        </is>
      </c>
      <c r="D264" s="28" t="inlineStr">
        <is>
          <t>Sales &amp; Business Development · Sales Leadership</t>
        </is>
      </c>
      <c r="E264" s="28" t="inlineStr">
        <is>
          <t>IC 1</t>
        </is>
      </c>
      <c r="F264" s="45" t="n">
        <v>1</v>
      </c>
    </row>
    <row r="265" ht="15" customHeight="1"/>
    <row r="266" ht="15" customHeight="1">
      <c r="A266" s="61" t="inlineStr">
        <is>
          <t>Datatech Business Head — 1 person · General management: general management uses the base weights, so no change</t>
        </is>
      </c>
      <c r="B266" s="64" t="n"/>
      <c r="C266" s="64" t="n"/>
      <c r="D266" s="64" t="n"/>
      <c r="E266" s="64" t="n"/>
      <c r="F266" s="63" t="n"/>
    </row>
    <row r="267" ht="15" customHeight="1">
      <c r="A267" s="7" t="inlineStr">
        <is>
          <t>Level</t>
        </is>
      </c>
      <c r="B267" s="7" t="inlineStr">
        <is>
          <t>Band</t>
        </is>
      </c>
      <c r="C267" s="7" t="inlineStr">
        <is>
          <t>Designations in use · ×n = people</t>
        </is>
      </c>
      <c r="D267" s="7" t="inlineStr">
        <is>
          <t>Job family · sub-family</t>
        </is>
      </c>
      <c r="E267" s="7" t="inlineStr">
        <is>
          <t>Tracks</t>
        </is>
      </c>
      <c r="F267" s="7" t="inlineStr">
        <is>
          <t>People</t>
        </is>
      </c>
    </row>
    <row r="268" ht="28" customHeight="1">
      <c r="A268" s="33" t="inlineStr">
        <is>
          <t>D2</t>
        </is>
      </c>
      <c r="B268" s="47" t="inlineStr">
        <is>
          <t>D</t>
        </is>
      </c>
      <c r="C268" s="34" t="inlineStr">
        <is>
          <t>Business Head – DataTech</t>
        </is>
      </c>
      <c r="D268" s="34" t="inlineStr">
        <is>
          <t>Executive Leadership · Business &amp; Functional Leadership</t>
        </is>
      </c>
      <c r="E268" s="34" t="inlineStr">
        <is>
          <t>People Manager 1</t>
        </is>
      </c>
      <c r="F268" s="47" t="n">
        <v>1</v>
      </c>
    </row>
    <row r="269" ht="15" customHeight="1"/>
    <row r="270" ht="20" customHeight="1">
      <c r="A270" s="6" t="inlineStr">
        <is>
          <t>Consume</t>
        </is>
      </c>
    </row>
    <row r="271" ht="28" customHeight="1">
      <c r="A271" s="61" t="inlineStr">
        <is>
          <t>Digitizing — 9 people · Service delivery &amp; data operations: delivery work is judged on accuracy and turnaround, so Accountability +5 and Complexity −5</t>
        </is>
      </c>
      <c r="B271" s="64" t="n"/>
      <c r="C271" s="64" t="n"/>
      <c r="D271" s="64" t="n"/>
      <c r="E271" s="64" t="n"/>
      <c r="F271" s="63" t="n"/>
    </row>
    <row r="272" ht="15" customHeight="1">
      <c r="A272" s="7" t="inlineStr">
        <is>
          <t>Level</t>
        </is>
      </c>
      <c r="B272" s="7" t="inlineStr">
        <is>
          <t>Band</t>
        </is>
      </c>
      <c r="C272" s="7" t="inlineStr">
        <is>
          <t>Designations in use · ×n = people</t>
        </is>
      </c>
      <c r="D272" s="7" t="inlineStr">
        <is>
          <t>Job family · sub-family</t>
        </is>
      </c>
      <c r="E272" s="7" t="inlineStr">
        <is>
          <t>Tracks</t>
        </is>
      </c>
      <c r="F272" s="7" t="inlineStr">
        <is>
          <t>People</t>
        </is>
      </c>
    </row>
    <row r="273" ht="28" customHeight="1">
      <c r="A273" s="18" t="inlineStr">
        <is>
          <t>A2</t>
        </is>
      </c>
      <c r="B273" s="42" t="inlineStr">
        <is>
          <t>A</t>
        </is>
      </c>
      <c r="C273" s="19" t="inlineStr">
        <is>
          <t>Digitization Associate</t>
        </is>
      </c>
      <c r="D273" s="19" t="inlineStr">
        <is>
          <t>Data Operations &amp; Digitization · Document Conversion, Formatting &amp; Web Publishing</t>
        </is>
      </c>
      <c r="E273" s="19" t="inlineStr">
        <is>
          <t>IC 1</t>
        </is>
      </c>
      <c r="F273" s="42" t="n">
        <v>1</v>
      </c>
    </row>
    <row r="274" ht="41" customHeight="1">
      <c r="A274" s="18" t="inlineStr">
        <is>
          <t>A3</t>
        </is>
      </c>
      <c r="B274" s="42" t="inlineStr">
        <is>
          <t>A</t>
        </is>
      </c>
      <c r="C274" s="19" t="inlineStr">
        <is>
          <t>Senior Digitization Associate ×6</t>
        </is>
      </c>
      <c r="D274" s="19" t="inlineStr">
        <is>
          <t>Data Operations &amp; Digitization · Document Conversion, Formatting &amp; Web Publishing ×6</t>
        </is>
      </c>
      <c r="E274" s="19" t="inlineStr">
        <is>
          <t>IC 6</t>
        </is>
      </c>
      <c r="F274" s="42" t="n">
        <v>6</v>
      </c>
    </row>
    <row r="275" ht="28" customHeight="1">
      <c r="A275" s="21" t="inlineStr">
        <is>
          <t>B1</t>
        </is>
      </c>
      <c r="B275" s="43" t="inlineStr">
        <is>
          <t>B</t>
        </is>
      </c>
      <c r="C275" s="22" t="inlineStr">
        <is>
          <t>Digitization Specialist</t>
        </is>
      </c>
      <c r="D275" s="22" t="inlineStr">
        <is>
          <t>Data Operations &amp; Digitization · Document Conversion, Formatting &amp; Web Publishing</t>
        </is>
      </c>
      <c r="E275" s="22" t="inlineStr">
        <is>
          <t>IC 1</t>
        </is>
      </c>
      <c r="F275" s="43" t="n">
        <v>1</v>
      </c>
    </row>
    <row r="276" ht="28" customHeight="1">
      <c r="A276" s="21" t="inlineStr">
        <is>
          <t>B2</t>
        </is>
      </c>
      <c r="B276" s="43" t="inlineStr">
        <is>
          <t>B</t>
        </is>
      </c>
      <c r="C276" s="22" t="inlineStr">
        <is>
          <t>Digitization Manager</t>
        </is>
      </c>
      <c r="D276" s="22" t="inlineStr">
        <is>
          <t>Data Operations &amp; Digitization · Document Conversion, Formatting &amp; Web Publishing</t>
        </is>
      </c>
      <c r="E276" s="22" t="inlineStr">
        <is>
          <t>People Manager 1</t>
        </is>
      </c>
      <c r="F276" s="43" t="n">
        <v>1</v>
      </c>
    </row>
    <row r="277" ht="15" customHeight="1"/>
    <row r="278" ht="28" customHeight="1">
      <c r="A278" s="61" t="inlineStr">
        <is>
          <t>India Content — 9 people · Service delivery &amp; data operations: delivery work is judged on accuracy and turnaround, so Accountability +5 and Complexity −5</t>
        </is>
      </c>
      <c r="B278" s="64" t="n"/>
      <c r="C278" s="64" t="n"/>
      <c r="D278" s="64" t="n"/>
      <c r="E278" s="64" t="n"/>
      <c r="F278" s="63" t="n"/>
    </row>
    <row r="279" ht="15" customHeight="1">
      <c r="A279" s="7" t="inlineStr">
        <is>
          <t>Level</t>
        </is>
      </c>
      <c r="B279" s="7" t="inlineStr">
        <is>
          <t>Band</t>
        </is>
      </c>
      <c r="C279" s="7" t="inlineStr">
        <is>
          <t>Designations in use · ×n = people</t>
        </is>
      </c>
      <c r="D279" s="7" t="inlineStr">
        <is>
          <t>Job family · sub-family</t>
        </is>
      </c>
      <c r="E279" s="7" t="inlineStr">
        <is>
          <t>Tracks</t>
        </is>
      </c>
      <c r="F279" s="7" t="inlineStr">
        <is>
          <t>People</t>
        </is>
      </c>
    </row>
    <row r="280" ht="28" customHeight="1">
      <c r="A280" s="18" t="inlineStr">
        <is>
          <t>A3</t>
        </is>
      </c>
      <c r="B280" s="42" t="inlineStr">
        <is>
          <t>A</t>
        </is>
      </c>
      <c r="C280" s="19" t="inlineStr">
        <is>
          <t>Senior Data Analyst ×7</t>
        </is>
      </c>
      <c r="D280" s="19" t="inlineStr">
        <is>
          <t>Data &amp; Analytics · Financial Data Processing ×7</t>
        </is>
      </c>
      <c r="E280" s="19" t="inlineStr">
        <is>
          <t>IC 7</t>
        </is>
      </c>
      <c r="F280" s="42" t="n">
        <v>7</v>
      </c>
    </row>
    <row r="281" ht="28" customHeight="1">
      <c r="A281" s="21" t="inlineStr">
        <is>
          <t>B1</t>
        </is>
      </c>
      <c r="B281" s="43" t="inlineStr">
        <is>
          <t>B</t>
        </is>
      </c>
      <c r="C281" s="22" t="inlineStr">
        <is>
          <t>Data Specialist</t>
        </is>
      </c>
      <c r="D281" s="22" t="inlineStr">
        <is>
          <t>Data &amp; Analytics · Financial Data Processing</t>
        </is>
      </c>
      <c r="E281" s="22" t="inlineStr">
        <is>
          <t>IC 1</t>
        </is>
      </c>
      <c r="F281" s="43" t="n">
        <v>1</v>
      </c>
    </row>
    <row r="282" ht="28" customHeight="1">
      <c r="A282" s="21" t="inlineStr">
        <is>
          <t>B2</t>
        </is>
      </c>
      <c r="B282" s="43" t="inlineStr">
        <is>
          <t>B</t>
        </is>
      </c>
      <c r="C282" s="22" t="inlineStr">
        <is>
          <t>Data Operations Manager</t>
        </is>
      </c>
      <c r="D282" s="22" t="inlineStr">
        <is>
          <t>Data &amp; Analytics · Financial Data Processing</t>
        </is>
      </c>
      <c r="E282" s="22" t="inlineStr">
        <is>
          <t>People Manager 1</t>
        </is>
      </c>
      <c r="F282" s="43" t="n">
        <v>1</v>
      </c>
    </row>
    <row r="283" ht="15" customHeight="1"/>
    <row r="284" ht="15" customHeight="1">
      <c r="A284" s="61" t="inlineStr">
        <is>
          <t>Technology — 5 people · Technology &amp; engineering: technology work is valued for technical depth, so Complexity +5 and Accountability −5</t>
        </is>
      </c>
      <c r="B284" s="64" t="n"/>
      <c r="C284" s="64" t="n"/>
      <c r="D284" s="64" t="n"/>
      <c r="E284" s="64" t="n"/>
      <c r="F284" s="63" t="n"/>
    </row>
    <row r="285" ht="15" customHeight="1">
      <c r="A285" s="7" t="inlineStr">
        <is>
          <t>Level</t>
        </is>
      </c>
      <c r="B285" s="7" t="inlineStr">
        <is>
          <t>Band</t>
        </is>
      </c>
      <c r="C285" s="7" t="inlineStr">
        <is>
          <t>Designations in use · ×n = people</t>
        </is>
      </c>
      <c r="D285" s="7" t="inlineStr">
        <is>
          <t>Job family · sub-family</t>
        </is>
      </c>
      <c r="E285" s="7" t="inlineStr">
        <is>
          <t>Tracks</t>
        </is>
      </c>
      <c r="F285" s="7" t="inlineStr">
        <is>
          <t>People</t>
        </is>
      </c>
    </row>
    <row r="286" ht="28" customHeight="1">
      <c r="A286" s="18" t="inlineStr">
        <is>
          <t>A3</t>
        </is>
      </c>
      <c r="B286" s="42" t="inlineStr">
        <is>
          <t>A</t>
        </is>
      </c>
      <c r="C286" s="19" t="inlineStr">
        <is>
          <t>Senior Software Engineer; Technical Specialist</t>
        </is>
      </c>
      <c r="D286" s="19" t="inlineStr">
        <is>
          <t>Engineering &amp; Development · Application Maintenance &amp; Production Support ×2</t>
        </is>
      </c>
      <c r="E286" s="19" t="inlineStr">
        <is>
          <t>IC 2</t>
        </is>
      </c>
      <c r="F286" s="42" t="n">
        <v>2</v>
      </c>
    </row>
    <row r="287" ht="28" customHeight="1">
      <c r="A287" s="21" t="inlineStr">
        <is>
          <t>B1</t>
        </is>
      </c>
      <c r="B287" s="43" t="inlineStr">
        <is>
          <t>B</t>
        </is>
      </c>
      <c r="C287" s="22" t="inlineStr">
        <is>
          <t>Technical Specialist</t>
        </is>
      </c>
      <c r="D287" s="22" t="inlineStr">
        <is>
          <t>Engineering &amp; Development · Application Maintenance &amp; Production Support</t>
        </is>
      </c>
      <c r="E287" s="22" t="inlineStr">
        <is>
          <t>IC 1</t>
        </is>
      </c>
      <c r="F287" s="43" t="n">
        <v>1</v>
      </c>
    </row>
    <row r="288" ht="28" customHeight="1">
      <c r="A288" s="21" t="inlineStr">
        <is>
          <t>B2</t>
        </is>
      </c>
      <c r="B288" s="43" t="inlineStr">
        <is>
          <t>B</t>
        </is>
      </c>
      <c r="C288" s="22" t="inlineStr">
        <is>
          <t>Project Manager</t>
        </is>
      </c>
      <c r="D288" s="22" t="inlineStr">
        <is>
          <t>Project &amp; Program Management · Project &amp; Program Delivery</t>
        </is>
      </c>
      <c r="E288" s="22" t="inlineStr">
        <is>
          <t>People Manager 1</t>
        </is>
      </c>
      <c r="F288" s="43" t="n">
        <v>1</v>
      </c>
    </row>
    <row r="289" ht="28" customHeight="1">
      <c r="A289" s="21" t="inlineStr">
        <is>
          <t>B3</t>
        </is>
      </c>
      <c r="B289" s="43" t="inlineStr">
        <is>
          <t>B</t>
        </is>
      </c>
      <c r="C289" s="22" t="inlineStr">
        <is>
          <t>Lead Software Engineer</t>
        </is>
      </c>
      <c r="D289" s="22" t="inlineStr">
        <is>
          <t>Engineering &amp; Development · Application Maintenance &amp; Production Support</t>
        </is>
      </c>
      <c r="E289" s="22" t="inlineStr">
        <is>
          <t>IC 1</t>
        </is>
      </c>
      <c r="F289" s="43" t="n">
        <v>1</v>
      </c>
    </row>
    <row r="290" ht="15" customHeight="1"/>
    <row r="291" ht="20" customHeight="1">
      <c r="A291" s="6" t="inlineStr">
        <is>
          <t>Corporate</t>
        </is>
      </c>
    </row>
    <row r="292" ht="28" customHeight="1">
      <c r="A292" s="61" t="inlineStr">
        <is>
          <t>IT &amp; Infrastructure — 14 people · Technology &amp; engineering: technology work is valued for technical depth, so Complexity +5 and Accountability −5</t>
        </is>
      </c>
      <c r="B292" s="64" t="n"/>
      <c r="C292" s="64" t="n"/>
      <c r="D292" s="64" t="n"/>
      <c r="E292" s="64" t="n"/>
      <c r="F292" s="63" t="n"/>
    </row>
    <row r="293" ht="15" customHeight="1">
      <c r="A293" s="7" t="inlineStr">
        <is>
          <t>Level</t>
        </is>
      </c>
      <c r="B293" s="7" t="inlineStr">
        <is>
          <t>Band</t>
        </is>
      </c>
      <c r="C293" s="7" t="inlineStr">
        <is>
          <t>Designations in use · ×n = people</t>
        </is>
      </c>
      <c r="D293" s="7" t="inlineStr">
        <is>
          <t>Job family · sub-family</t>
        </is>
      </c>
      <c r="E293" s="7" t="inlineStr">
        <is>
          <t>Tracks</t>
        </is>
      </c>
      <c r="F293" s="7" t="inlineStr">
        <is>
          <t>People</t>
        </is>
      </c>
    </row>
    <row r="294" ht="54" customHeight="1">
      <c r="A294" s="18" t="inlineStr">
        <is>
          <t>A3</t>
        </is>
      </c>
      <c r="B294" s="42" t="inlineStr">
        <is>
          <t>A</t>
        </is>
      </c>
      <c r="C294" s="19" t="inlineStr">
        <is>
          <t>Senior System Administrator ×7; Senior DevOps Engineer; Infrastructure Specialist; Senior Desktop Support Engineer</t>
        </is>
      </c>
      <c r="D294" s="19" t="inlineStr">
        <is>
          <t>IT &amp; Infrastructure · Infrastructure &amp; Cloud Operations ×8; Engineering &amp; Development · DevOps &amp; Release Engineering; IT &amp; Infrastructure · End-User Support</t>
        </is>
      </c>
      <c r="E294" s="19" t="inlineStr">
        <is>
          <t>IC 10</t>
        </is>
      </c>
      <c r="F294" s="42" t="n">
        <v>10</v>
      </c>
    </row>
    <row r="295" ht="28" customHeight="1">
      <c r="A295" s="21" t="inlineStr">
        <is>
          <t>B1</t>
        </is>
      </c>
      <c r="B295" s="43" t="inlineStr">
        <is>
          <t>B</t>
        </is>
      </c>
      <c r="C295" s="22" t="inlineStr">
        <is>
          <t>IT Infrastructure Manager; Infrastructure Specialist; Infrastructure Specialist – POD Lead</t>
        </is>
      </c>
      <c r="D295" s="22" t="inlineStr">
        <is>
          <t>IT &amp; Infrastructure · Infrastructure &amp; Cloud Operations ×3</t>
        </is>
      </c>
      <c r="E295" s="22" t="inlineStr">
        <is>
          <t>People Manager 1 · IC 1 · POD Lead 1</t>
        </is>
      </c>
      <c r="F295" s="43" t="n">
        <v>3</v>
      </c>
    </row>
    <row r="296" ht="28" customHeight="1">
      <c r="A296" s="21" t="inlineStr">
        <is>
          <t>B2</t>
        </is>
      </c>
      <c r="B296" s="43" t="inlineStr">
        <is>
          <t>B</t>
        </is>
      </c>
      <c r="C296" s="22" t="inlineStr">
        <is>
          <t>Senior IT Manager</t>
        </is>
      </c>
      <c r="D296" s="22" t="inlineStr">
        <is>
          <t>IT &amp; Infrastructure · IT Infrastructure Leadership</t>
        </is>
      </c>
      <c r="E296" s="22" t="inlineStr">
        <is>
          <t>People Manager 1</t>
        </is>
      </c>
      <c r="F296" s="43" t="n">
        <v>1</v>
      </c>
    </row>
    <row r="297" ht="28" customHeight="1">
      <c r="A297" s="12" t="inlineStr">
        <is>
          <r>
            <rPr>
              <rFont val="Calibri"/>
              <b val="1"/>
              <i val="1"/>
              <color rgb="00595959"/>
              <sz val="10"/>
            </rPr>
            <t>Department technical competencies:</t>
          </r>
          <r>
            <rPr>
              <rFont val="Calibri"/>
              <i val="1"/>
              <color rgb="00595959"/>
              <sz val="10"/>
            </rPr>
            <t xml:space="preserve"> Network &amp; Systems Administration · End-User Support &amp; Service Desk · ITIL 4 · Information Security &amp; ISO 27001 Controls · Cloud &amp; Platform Operations · IT Asset &amp; Licence Management</t>
          </r>
        </is>
      </c>
    </row>
    <row r="298" ht="15" customHeight="1"/>
    <row r="299" ht="28" customHeight="1">
      <c r="A299" s="61" t="inlineStr">
        <is>
          <t>Finance — 11 people · Corporate functions: corporate functions rely on professional qualifications such as CA, CS or law, so Experience &amp; Qualification +5 and Complexity −5</t>
        </is>
      </c>
      <c r="B299" s="64" t="n"/>
      <c r="C299" s="64" t="n"/>
      <c r="D299" s="64" t="n"/>
      <c r="E299" s="64" t="n"/>
      <c r="F299" s="63" t="n"/>
    </row>
    <row r="300" ht="15" customHeight="1">
      <c r="A300" s="7" t="inlineStr">
        <is>
          <t>Level</t>
        </is>
      </c>
      <c r="B300" s="7" t="inlineStr">
        <is>
          <t>Band</t>
        </is>
      </c>
      <c r="C300" s="7" t="inlineStr">
        <is>
          <t>Designations in use · ×n = people</t>
        </is>
      </c>
      <c r="D300" s="7" t="inlineStr">
        <is>
          <t>Job family · sub-family</t>
        </is>
      </c>
      <c r="E300" s="7" t="inlineStr">
        <is>
          <t>Tracks</t>
        </is>
      </c>
      <c r="F300" s="7" t="inlineStr">
        <is>
          <t>People</t>
        </is>
      </c>
    </row>
    <row r="301" ht="28" customHeight="1">
      <c r="A301" s="18" t="inlineStr">
        <is>
          <t>A3</t>
        </is>
      </c>
      <c r="B301" s="42" t="inlineStr">
        <is>
          <t>A</t>
        </is>
      </c>
      <c r="C301" s="19" t="inlineStr">
        <is>
          <t>Senior Accounts Executive ×2</t>
        </is>
      </c>
      <c r="D301" s="19" t="inlineStr">
        <is>
          <t>Finance &amp; Accounts · Accounting &amp; Transaction Processing ×2</t>
        </is>
      </c>
      <c r="E301" s="19" t="inlineStr">
        <is>
          <t>IC 2</t>
        </is>
      </c>
      <c r="F301" s="42" t="n">
        <v>2</v>
      </c>
    </row>
    <row r="302" ht="54" customHeight="1">
      <c r="A302" s="21" t="inlineStr">
        <is>
          <t>B1</t>
        </is>
      </c>
      <c r="B302" s="43" t="inlineStr">
        <is>
          <t>B</t>
        </is>
      </c>
      <c r="C302" s="22" t="inlineStr">
        <is>
          <t>Finance Specialist ×2; Accounts Specialist – POD Lead ×2; Finance Specialist – POD Lead</t>
        </is>
      </c>
      <c r="D302" s="22" t="inlineStr">
        <is>
          <t>Finance &amp; Accounts · Financial Reporting, Compliance &amp; Audit ×3; Finance &amp; Accounts · Accounting &amp; Transaction Processing ×2</t>
        </is>
      </c>
      <c r="E302" s="22" t="inlineStr">
        <is>
          <t>POD Lead 3 · IC 2</t>
        </is>
      </c>
      <c r="F302" s="43" t="n">
        <v>5</v>
      </c>
    </row>
    <row r="303" ht="28" customHeight="1">
      <c r="A303" s="21" t="inlineStr">
        <is>
          <t>B2</t>
        </is>
      </c>
      <c r="B303" s="43" t="inlineStr">
        <is>
          <t>B</t>
        </is>
      </c>
      <c r="C303" s="22" t="inlineStr">
        <is>
          <t>Senior Finance Specialist – POD Lead</t>
        </is>
      </c>
      <c r="D303" s="22" t="inlineStr">
        <is>
          <t>Finance &amp; Accounts · Financial Reporting, Compliance &amp; Audit</t>
        </is>
      </c>
      <c r="E303" s="22" t="inlineStr">
        <is>
          <t>POD Lead 1</t>
        </is>
      </c>
      <c r="F303" s="43" t="n">
        <v>1</v>
      </c>
    </row>
    <row r="304" ht="28" customHeight="1">
      <c r="A304" s="27" t="inlineStr">
        <is>
          <t>C1</t>
        </is>
      </c>
      <c r="B304" s="45" t="inlineStr">
        <is>
          <t>C</t>
        </is>
      </c>
      <c r="C304" s="28" t="inlineStr">
        <is>
          <t>Associate Head – Admin &amp; Internal Audit; Associate Head – Finance &amp; Accounts</t>
        </is>
      </c>
      <c r="D304" s="28" t="inlineStr">
        <is>
          <t>Finance &amp; Accounts · Finance Leadership ×2</t>
        </is>
      </c>
      <c r="E304" s="28" t="inlineStr">
        <is>
          <t>People Manager 2</t>
        </is>
      </c>
      <c r="F304" s="45" t="n">
        <v>2</v>
      </c>
    </row>
    <row r="305" ht="28" customHeight="1">
      <c r="A305" s="36" t="inlineStr">
        <is>
          <t>E1</t>
        </is>
      </c>
      <c r="B305" s="48" t="inlineStr">
        <is>
          <t>E</t>
        </is>
      </c>
      <c r="C305" s="37" t="inlineStr">
        <is>
          <t>Chief Financial Officer</t>
        </is>
      </c>
      <c r="D305" s="37" t="inlineStr">
        <is>
          <t>Executive Leadership · Enterprise Leadership</t>
        </is>
      </c>
      <c r="E305" s="37" t="inlineStr">
        <is>
          <t>People Manager 1</t>
        </is>
      </c>
      <c r="F305" s="48" t="n">
        <v>1</v>
      </c>
    </row>
    <row r="306" ht="41" customHeight="1">
      <c r="A306" s="12" t="inlineStr">
        <is>
          <r>
            <rPr>
              <rFont val="Calibri"/>
              <b val="1"/>
              <i val="1"/>
              <color rgb="00595959"/>
              <sz val="10"/>
            </rPr>
            <t>Department technical competencies:</t>
          </r>
          <r>
            <rPr>
              <rFont val="Calibri"/>
              <i val="1"/>
              <color rgb="00595959"/>
              <sz val="10"/>
            </rPr>
            <t xml:space="preserve"> Financial Accounting, Close &amp; Reporting · Ind AS · Taxation &amp; Statutory Compliance · GST, TDS, Income-tax · FP&amp;A, Budgeting &amp; Business Partnering · Audit, Internal Controls &amp; Risk · Treasury, Receivables &amp; Collections · Finance Systems &amp; Automation · ERP</t>
          </r>
        </is>
      </c>
    </row>
    <row r="307" ht="15" customHeight="1"/>
    <row r="308" ht="28" customHeight="1">
      <c r="A308" s="61" t="inlineStr">
        <is>
          <t>HR — 8 people · Corporate functions: corporate functions rely on professional qualifications such as CA, CS or law, so Experience &amp; Qualification +5 and Complexity −5</t>
        </is>
      </c>
      <c r="B308" s="64" t="n"/>
      <c r="C308" s="64" t="n"/>
      <c r="D308" s="64" t="n"/>
      <c r="E308" s="64" t="n"/>
      <c r="F308" s="63" t="n"/>
    </row>
    <row r="309" ht="15" customHeight="1">
      <c r="A309" s="7" t="inlineStr">
        <is>
          <t>Level</t>
        </is>
      </c>
      <c r="B309" s="7" t="inlineStr">
        <is>
          <t>Band</t>
        </is>
      </c>
      <c r="C309" s="7" t="inlineStr">
        <is>
          <t>Designations in use · ×n = people</t>
        </is>
      </c>
      <c r="D309" s="7" t="inlineStr">
        <is>
          <t>Job family · sub-family</t>
        </is>
      </c>
      <c r="E309" s="7" t="inlineStr">
        <is>
          <t>Tracks</t>
        </is>
      </c>
      <c r="F309" s="7" t="inlineStr">
        <is>
          <t>People</t>
        </is>
      </c>
    </row>
    <row r="310" ht="15" customHeight="1">
      <c r="A310" s="18" t="inlineStr">
        <is>
          <t>A2</t>
        </is>
      </c>
      <c r="B310" s="42" t="inlineStr">
        <is>
          <t>A</t>
        </is>
      </c>
      <c r="C310" s="19" t="inlineStr">
        <is>
          <t>HR Executive</t>
        </is>
      </c>
      <c r="D310" s="19" t="inlineStr">
        <is>
          <t>Human Resources · HR Operations &amp; Payroll</t>
        </is>
      </c>
      <c r="E310" s="19" t="inlineStr">
        <is>
          <t>IC 1</t>
        </is>
      </c>
      <c r="F310" s="42" t="n">
        <v>1</v>
      </c>
    </row>
    <row r="311" ht="15" customHeight="1">
      <c r="A311" s="18" t="inlineStr">
        <is>
          <t>A3</t>
        </is>
      </c>
      <c r="B311" s="42" t="inlineStr">
        <is>
          <t>A</t>
        </is>
      </c>
      <c r="C311" s="19" t="inlineStr">
        <is>
          <t>Senior Talent Acquisition Executive ×2</t>
        </is>
      </c>
      <c r="D311" s="19" t="inlineStr">
        <is>
          <t>Human Resources · Talent Acquisition ×2</t>
        </is>
      </c>
      <c r="E311" s="19" t="inlineStr">
        <is>
          <t>IC 2</t>
        </is>
      </c>
      <c r="F311" s="42" t="n">
        <v>2</v>
      </c>
    </row>
    <row r="312" ht="28" customHeight="1">
      <c r="A312" s="21" t="inlineStr">
        <is>
          <t>B1</t>
        </is>
      </c>
      <c r="B312" s="43" t="inlineStr">
        <is>
          <t>B</t>
        </is>
      </c>
      <c r="C312" s="22" t="inlineStr">
        <is>
          <t>HR Specialist; HR Specialist – POD Lead</t>
        </is>
      </c>
      <c r="D312" s="22" t="inlineStr">
        <is>
          <t>Human Resources · HR Operations &amp; Payroll ×2</t>
        </is>
      </c>
      <c r="E312" s="22" t="inlineStr">
        <is>
          <t>IC 1 · POD Lead 1</t>
        </is>
      </c>
      <c r="F312" s="43" t="n">
        <v>2</v>
      </c>
    </row>
    <row r="313" ht="15" customHeight="1">
      <c r="A313" s="21" t="inlineStr">
        <is>
          <t>B2</t>
        </is>
      </c>
      <c r="B313" s="43" t="inlineStr">
        <is>
          <t>B</t>
        </is>
      </c>
      <c r="C313" s="22" t="inlineStr">
        <is>
          <t>Senior Talent Acquisition Specialist</t>
        </is>
      </c>
      <c r="D313" s="22" t="inlineStr">
        <is>
          <t>Human Resources · Talent Acquisition</t>
        </is>
      </c>
      <c r="E313" s="22" t="inlineStr">
        <is>
          <t>IC 1</t>
        </is>
      </c>
      <c r="F313" s="43" t="n">
        <v>1</v>
      </c>
    </row>
    <row r="314" ht="15" customHeight="1">
      <c r="A314" s="21" t="inlineStr">
        <is>
          <t>B3</t>
        </is>
      </c>
      <c r="B314" s="43" t="inlineStr">
        <is>
          <t>B</t>
        </is>
      </c>
      <c r="C314" s="22" t="inlineStr">
        <is>
          <t>Lead HR Specialist – Transformation &amp; OD</t>
        </is>
      </c>
      <c r="D314" s="22" t="inlineStr">
        <is>
          <t>Human Resources · HR Transformation &amp; OD</t>
        </is>
      </c>
      <c r="E314" s="22" t="inlineStr">
        <is>
          <t>IC 1</t>
        </is>
      </c>
      <c r="F314" s="43" t="n">
        <v>1</v>
      </c>
    </row>
    <row r="315" ht="15" customHeight="1">
      <c r="A315" s="33" t="inlineStr">
        <is>
          <t>D2</t>
        </is>
      </c>
      <c r="B315" s="47" t="inlineStr">
        <is>
          <t>D</t>
        </is>
      </c>
      <c r="C315" s="34" t="inlineStr">
        <is>
          <t>Vice President – Human Resources</t>
        </is>
      </c>
      <c r="D315" s="34" t="inlineStr">
        <is>
          <t>Human Resources · HR Leadership</t>
        </is>
      </c>
      <c r="E315" s="34" t="inlineStr">
        <is>
          <t>People Manager 1</t>
        </is>
      </c>
      <c r="F315" s="47" t="n">
        <v>1</v>
      </c>
    </row>
    <row r="316" ht="28" customHeight="1">
      <c r="A316" s="12" t="inlineStr">
        <is>
          <r>
            <rPr>
              <rFont val="Calibri"/>
              <b val="1"/>
              <i val="1"/>
              <color rgb="00595959"/>
              <sz val="10"/>
            </rPr>
            <t>Department technical competencies:</t>
          </r>
          <r>
            <rPr>
              <rFont val="Calibri"/>
              <i val="1"/>
              <color rgb="00595959"/>
              <sz val="10"/>
            </rPr>
            <t xml:space="preserve"> Talent Acquisition &amp; Employer Brand · HR Operations, Payroll &amp; Labour-Law Compliance · Employee Relations, Engagement &amp; POSH · Performance, Rewards &amp; Job Architecture · Learning &amp; Organisation Development · People Analytics &amp; HRIS</t>
          </r>
        </is>
      </c>
    </row>
    <row r="317" ht="15" customHeight="1"/>
    <row r="318" ht="28" customHeight="1">
      <c r="A318" s="61" t="inlineStr">
        <is>
          <t>Administration — 6 people · Corporate functions: corporate functions rely on professional qualifications such as CA, CS or law, so Experience &amp; Qualification +5 and Complexity −5</t>
        </is>
      </c>
      <c r="B318" s="64" t="n"/>
      <c r="C318" s="64" t="n"/>
      <c r="D318" s="64" t="n"/>
      <c r="E318" s="64" t="n"/>
      <c r="F318" s="63" t="n"/>
    </row>
    <row r="319" ht="15" customHeight="1">
      <c r="A319" s="7" t="inlineStr">
        <is>
          <t>Level</t>
        </is>
      </c>
      <c r="B319" s="7" t="inlineStr">
        <is>
          <t>Band</t>
        </is>
      </c>
      <c r="C319" s="7" t="inlineStr">
        <is>
          <t>Designations in use · ×n = people</t>
        </is>
      </c>
      <c r="D319" s="7" t="inlineStr">
        <is>
          <t>Job family · sub-family</t>
        </is>
      </c>
      <c r="E319" s="7" t="inlineStr">
        <is>
          <t>Tracks</t>
        </is>
      </c>
      <c r="F319" s="7" t="inlineStr">
        <is>
          <t>People</t>
        </is>
      </c>
    </row>
    <row r="320" ht="28" customHeight="1">
      <c r="A320" s="18" t="inlineStr">
        <is>
          <t>A3</t>
        </is>
      </c>
      <c r="B320" s="42" t="inlineStr">
        <is>
          <t>A</t>
        </is>
      </c>
      <c r="C320" s="19" t="inlineStr">
        <is>
          <t>Senior Administration Executive ×4</t>
        </is>
      </c>
      <c r="D320" s="19" t="inlineStr">
        <is>
          <t>Administration, Legal &amp; Secretarial · Administration &amp; Facilities ×4</t>
        </is>
      </c>
      <c r="E320" s="19" t="inlineStr">
        <is>
          <t>IC 4</t>
        </is>
      </c>
      <c r="F320" s="42" t="n">
        <v>4</v>
      </c>
    </row>
    <row r="321" ht="28" customHeight="1">
      <c r="A321" s="21" t="inlineStr">
        <is>
          <t>B2</t>
        </is>
      </c>
      <c r="B321" s="43" t="inlineStr">
        <is>
          <t>B</t>
        </is>
      </c>
      <c r="C321" s="22" t="inlineStr">
        <is>
          <t>Manager – Administration</t>
        </is>
      </c>
      <c r="D321" s="22" t="inlineStr">
        <is>
          <t>Administration, Legal &amp; Secretarial · Administration &amp; Facilities</t>
        </is>
      </c>
      <c r="E321" s="22" t="inlineStr">
        <is>
          <t>People Manager 1</t>
        </is>
      </c>
      <c r="F321" s="43" t="n">
        <v>1</v>
      </c>
    </row>
    <row r="322" ht="28" customHeight="1">
      <c r="A322" s="39" t="inlineStr">
        <is>
          <t>X1</t>
        </is>
      </c>
      <c r="B322" s="49" t="inlineStr">
        <is>
          <t>X</t>
        </is>
      </c>
      <c r="C322" s="40" t="inlineStr">
        <is>
          <t>Associate Consultant – Administration &amp; Facilities</t>
        </is>
      </c>
      <c r="D322" s="40" t="inlineStr">
        <is>
          <t>Administration, Legal &amp; Secretarial · Administration &amp; Facilities</t>
        </is>
      </c>
      <c r="E322" s="40" t="inlineStr">
        <is>
          <t>Consultant 1</t>
        </is>
      </c>
      <c r="F322" s="49" t="n">
        <v>1</v>
      </c>
    </row>
    <row r="323" ht="28" customHeight="1">
      <c r="A323" s="12" t="inlineStr">
        <is>
          <r>
            <rPr>
              <rFont val="Calibri"/>
              <b val="1"/>
              <i val="1"/>
              <color rgb="00595959"/>
              <sz val="10"/>
            </rPr>
            <t>Department technical competencies:</t>
          </r>
          <r>
            <rPr>
              <rFont val="Calibri"/>
              <i val="1"/>
              <color rgb="00595959"/>
              <sz val="10"/>
            </rPr>
            <t xml:space="preserve"> Facilities &amp; Workplace Management · Procurement &amp; Vendor Management · Assets, Travel &amp; Events · Health, Safety &amp; Business Continuity</t>
          </r>
        </is>
      </c>
    </row>
    <row r="324" ht="15" customHeight="1"/>
    <row r="325" ht="28" customHeight="1">
      <c r="A325" s="61" t="inlineStr">
        <is>
          <t>Secretarial &amp; Legal — 3 people · Corporate functions: corporate functions rely on professional qualifications such as CA, CS or law, so Experience &amp; Qualification +5 and Complexity −5</t>
        </is>
      </c>
      <c r="B325" s="64" t="n"/>
      <c r="C325" s="64" t="n"/>
      <c r="D325" s="64" t="n"/>
      <c r="E325" s="64" t="n"/>
      <c r="F325" s="63" t="n"/>
    </row>
    <row r="326" ht="15" customHeight="1">
      <c r="A326" s="7" t="inlineStr">
        <is>
          <t>Level</t>
        </is>
      </c>
      <c r="B326" s="7" t="inlineStr">
        <is>
          <t>Band</t>
        </is>
      </c>
      <c r="C326" s="7" t="inlineStr">
        <is>
          <t>Designations in use · ×n = people</t>
        </is>
      </c>
      <c r="D326" s="7" t="inlineStr">
        <is>
          <t>Job family · sub-family</t>
        </is>
      </c>
      <c r="E326" s="7" t="inlineStr">
        <is>
          <t>Tracks</t>
        </is>
      </c>
      <c r="F326" s="7" t="inlineStr">
        <is>
          <t>People</t>
        </is>
      </c>
    </row>
    <row r="327" ht="28" customHeight="1">
      <c r="A327" s="18" t="inlineStr">
        <is>
          <t>A1</t>
        </is>
      </c>
      <c r="B327" s="42" t="inlineStr">
        <is>
          <t>A</t>
        </is>
      </c>
      <c r="C327" s="19" t="inlineStr">
        <is>
          <t>Intern – Company Secretarial &amp; Legal</t>
        </is>
      </c>
      <c r="D327" s="19" t="inlineStr">
        <is>
          <t>Administration, Legal &amp; Secretarial · Company Secretarial &amp; Legal</t>
        </is>
      </c>
      <c r="E327" s="19" t="inlineStr">
        <is>
          <t>IC 1</t>
        </is>
      </c>
      <c r="F327" s="42" t="n">
        <v>1</v>
      </c>
    </row>
    <row r="328" ht="28" customHeight="1">
      <c r="A328" s="18" t="inlineStr">
        <is>
          <t>A3</t>
        </is>
      </c>
      <c r="B328" s="42" t="inlineStr">
        <is>
          <t>A</t>
        </is>
      </c>
      <c r="C328" s="19" t="inlineStr">
        <is>
          <t>Senior Secretarial Executive</t>
        </is>
      </c>
      <c r="D328" s="19" t="inlineStr">
        <is>
          <t>Administration, Legal &amp; Secretarial · Company Secretarial &amp; Legal</t>
        </is>
      </c>
      <c r="E328" s="19" t="inlineStr">
        <is>
          <t>IC 1</t>
        </is>
      </c>
      <c r="F328" s="42" t="n">
        <v>1</v>
      </c>
    </row>
    <row r="329" ht="28" customHeight="1">
      <c r="A329" s="27" t="inlineStr">
        <is>
          <t>C1</t>
        </is>
      </c>
      <c r="B329" s="45" t="inlineStr">
        <is>
          <t>C</t>
        </is>
      </c>
      <c r="C329" s="28" t="inlineStr">
        <is>
          <t>Company Secretary – POD Lead</t>
        </is>
      </c>
      <c r="D329" s="28" t="inlineStr">
        <is>
          <t>Administration, Legal &amp; Secretarial · Company Secretarial &amp; Legal</t>
        </is>
      </c>
      <c r="E329" s="28" t="inlineStr">
        <is>
          <t>POD Lead 1</t>
        </is>
      </c>
      <c r="F329" s="45" t="n">
        <v>1</v>
      </c>
    </row>
    <row r="330" ht="28" customHeight="1">
      <c r="A330" s="12" t="inlineStr">
        <is>
          <r>
            <rPr>
              <rFont val="Calibri"/>
              <b val="1"/>
              <i val="1"/>
              <color rgb="00595959"/>
              <sz val="10"/>
            </rPr>
            <t>Department technical competencies:</t>
          </r>
          <r>
            <rPr>
              <rFont val="Calibri"/>
              <i val="1"/>
              <color rgb="00595959"/>
              <sz val="10"/>
            </rPr>
            <t xml:space="preserve"> Corporate Law &amp; Secretarial Compliance · Contract Drafting, Review &amp; Negotiation · Board &amp; Governance Support · Regulatory &amp; Data-Privacy Compliance · DPDP Act</t>
          </r>
        </is>
      </c>
    </row>
    <row r="331" ht="15" customHeight="1"/>
    <row r="332" ht="28" customHeight="1">
      <c r="A332" s="61" t="inlineStr">
        <is>
          <t>Marketing — 3 people · Sales &amp; marketing: sales and marketing are judged on pipeline and revenue, so Business Impact +5, Autonomy +5, Complexity −5 and Accountability −5</t>
        </is>
      </c>
      <c r="B332" s="64" t="n"/>
      <c r="C332" s="64" t="n"/>
      <c r="D332" s="64" t="n"/>
      <c r="E332" s="64" t="n"/>
      <c r="F332" s="63" t="n"/>
    </row>
    <row r="333" ht="15" customHeight="1">
      <c r="A333" s="7" t="inlineStr">
        <is>
          <t>Level</t>
        </is>
      </c>
      <c r="B333" s="7" t="inlineStr">
        <is>
          <t>Band</t>
        </is>
      </c>
      <c r="C333" s="7" t="inlineStr">
        <is>
          <t>Designations in use · ×n = people</t>
        </is>
      </c>
      <c r="D333" s="7" t="inlineStr">
        <is>
          <t>Job family · sub-family</t>
        </is>
      </c>
      <c r="E333" s="7" t="inlineStr">
        <is>
          <t>Tracks</t>
        </is>
      </c>
      <c r="F333" s="7" t="inlineStr">
        <is>
          <t>People</t>
        </is>
      </c>
    </row>
    <row r="334" ht="41" customHeight="1">
      <c r="A334" s="18" t="inlineStr">
        <is>
          <t>A3</t>
        </is>
      </c>
      <c r="B334" s="42" t="inlineStr">
        <is>
          <t>A</t>
        </is>
      </c>
      <c r="C334" s="19" t="inlineStr">
        <is>
          <t>Senior Designer; Senior Marketing Operations Associate</t>
        </is>
      </c>
      <c r="D334" s="19" t="inlineStr">
        <is>
          <t>Design &amp; Creative · Brand, Graphic &amp; Video Design; Marketing &amp; Communications · Marketing Operations &amp; Automation</t>
        </is>
      </c>
      <c r="E334" s="19" t="inlineStr">
        <is>
          <t>IC 2</t>
        </is>
      </c>
      <c r="F334" s="42" t="n">
        <v>2</v>
      </c>
    </row>
    <row r="335" ht="28" customHeight="1">
      <c r="A335" s="21" t="inlineStr">
        <is>
          <t>B2</t>
        </is>
      </c>
      <c r="B335" s="43" t="inlineStr">
        <is>
          <t>B</t>
        </is>
      </c>
      <c r="C335" s="22" t="inlineStr">
        <is>
          <t>Senior Content Marketing Specialist</t>
        </is>
      </c>
      <c r="D335" s="22" t="inlineStr">
        <is>
          <t>Marketing &amp; Communications · Content Marketing</t>
        </is>
      </c>
      <c r="E335" s="22" t="inlineStr">
        <is>
          <t>IC 1</t>
        </is>
      </c>
      <c r="F335" s="43" t="n">
        <v>1</v>
      </c>
    </row>
    <row r="336" ht="15" customHeight="1"/>
    <row r="337" ht="15" customHeight="1">
      <c r="A337" s="61" t="inlineStr">
        <is>
          <t>Management — 2 people · General management: general management uses the base weights, so no change</t>
        </is>
      </c>
      <c r="B337" s="64" t="n"/>
      <c r="C337" s="64" t="n"/>
      <c r="D337" s="64" t="n"/>
      <c r="E337" s="64" t="n"/>
      <c r="F337" s="63" t="n"/>
    </row>
    <row r="338" ht="15" customHeight="1">
      <c r="A338" s="7" t="inlineStr">
        <is>
          <t>Level</t>
        </is>
      </c>
      <c r="B338" s="7" t="inlineStr">
        <is>
          <t>Band</t>
        </is>
      </c>
      <c r="C338" s="7" t="inlineStr">
        <is>
          <t>Designations in use · ×n = people</t>
        </is>
      </c>
      <c r="D338" s="7" t="inlineStr">
        <is>
          <t>Job family · sub-family</t>
        </is>
      </c>
      <c r="E338" s="7" t="inlineStr">
        <is>
          <t>Tracks</t>
        </is>
      </c>
      <c r="F338" s="7" t="inlineStr">
        <is>
          <t>People</t>
        </is>
      </c>
    </row>
    <row r="339" ht="28" customHeight="1">
      <c r="A339" s="36" t="inlineStr">
        <is>
          <t>E1</t>
        </is>
      </c>
      <c r="B339" s="48" t="inlineStr">
        <is>
          <t>E</t>
        </is>
      </c>
      <c r="C339" s="37" t="inlineStr">
        <is>
          <t>Chief Operating Officer</t>
        </is>
      </c>
      <c r="D339" s="37" t="inlineStr">
        <is>
          <t>Executive Leadership · Enterprise Leadership</t>
        </is>
      </c>
      <c r="E339" s="37" t="inlineStr">
        <is>
          <t>People Manager 1</t>
        </is>
      </c>
      <c r="F339" s="48" t="n">
        <v>1</v>
      </c>
    </row>
    <row r="340" ht="28" customHeight="1">
      <c r="A340" s="36" t="inlineStr">
        <is>
          <t>E2</t>
        </is>
      </c>
      <c r="B340" s="48" t="inlineStr">
        <is>
          <t>E</t>
        </is>
      </c>
      <c r="C340" s="37" t="inlineStr">
        <is>
          <t>Chief Executive Officer</t>
        </is>
      </c>
      <c r="D340" s="37" t="inlineStr">
        <is>
          <t>Executive Leadership · Enterprise Leadership</t>
        </is>
      </c>
      <c r="E340" s="37" t="inlineStr">
        <is>
          <t>People Manager 1</t>
        </is>
      </c>
      <c r="F340" s="48" t="n">
        <v>1</v>
      </c>
    </row>
    <row r="341" ht="15" customHeight="1"/>
    <row r="342" ht="15" customHeight="1">
      <c r="A342" s="61" t="inlineStr">
        <is>
          <t>Technology — 2 people · Technology &amp; engineering: technology work is valued for technical depth, so Complexity +5 and Accountability −5</t>
        </is>
      </c>
      <c r="B342" s="64" t="n"/>
      <c r="C342" s="64" t="n"/>
      <c r="D342" s="64" t="n"/>
      <c r="E342" s="64" t="n"/>
      <c r="F342" s="63" t="n"/>
    </row>
    <row r="343" ht="15" customHeight="1">
      <c r="A343" s="7" t="inlineStr">
        <is>
          <t>Level</t>
        </is>
      </c>
      <c r="B343" s="7" t="inlineStr">
        <is>
          <t>Band</t>
        </is>
      </c>
      <c r="C343" s="7" t="inlineStr">
        <is>
          <t>Designations in use · ×n = people</t>
        </is>
      </c>
      <c r="D343" s="7" t="inlineStr">
        <is>
          <t>Job family · sub-family</t>
        </is>
      </c>
      <c r="E343" s="7" t="inlineStr">
        <is>
          <t>Tracks</t>
        </is>
      </c>
      <c r="F343" s="7" t="inlineStr">
        <is>
          <t>People</t>
        </is>
      </c>
    </row>
    <row r="344" ht="28" customHeight="1">
      <c r="A344" s="21" t="inlineStr">
        <is>
          <t>B3</t>
        </is>
      </c>
      <c r="B344" s="43" t="inlineStr">
        <is>
          <t>B</t>
        </is>
      </c>
      <c r="C344" s="22" t="inlineStr">
        <is>
          <t>Agile Coach</t>
        </is>
      </c>
      <c r="D344" s="22" t="inlineStr">
        <is>
          <t>Project &amp; Program Management · PMO &amp; Delivery Excellence</t>
        </is>
      </c>
      <c r="E344" s="22" t="inlineStr">
        <is>
          <t>IC 1</t>
        </is>
      </c>
      <c r="F344" s="43" t="n">
        <v>1</v>
      </c>
    </row>
    <row r="345" ht="28" customHeight="1">
      <c r="A345" s="36" t="inlineStr">
        <is>
          <t>E1</t>
        </is>
      </c>
      <c r="B345" s="48" t="inlineStr">
        <is>
          <t>E</t>
        </is>
      </c>
      <c r="C345" s="37" t="inlineStr">
        <is>
          <t>Chief Technology Officer</t>
        </is>
      </c>
      <c r="D345" s="37" t="inlineStr">
        <is>
          <t>Executive Leadership · Enterprise Leadership</t>
        </is>
      </c>
      <c r="E345" s="37" t="inlineStr">
        <is>
          <t>People Manager 1</t>
        </is>
      </c>
      <c r="F345" s="48" t="n">
        <v>1</v>
      </c>
    </row>
  </sheetData>
  <mergeCells count="104">
    <mergeCell ref="A15:B15"/>
    <mergeCell ref="A3:F3"/>
    <mergeCell ref="A7:B7"/>
    <mergeCell ref="A41:B41"/>
    <mergeCell ref="A5:F5"/>
    <mergeCell ref="A159:F159"/>
    <mergeCell ref="A27:B27"/>
    <mergeCell ref="A318:F318"/>
    <mergeCell ref="A323:F323"/>
    <mergeCell ref="A332:F332"/>
    <mergeCell ref="A33:B33"/>
    <mergeCell ref="A42:B42"/>
    <mergeCell ref="A258:F258"/>
    <mergeCell ref="A17:B17"/>
    <mergeCell ref="A22:B22"/>
    <mergeCell ref="A35:B35"/>
    <mergeCell ref="A226:F226"/>
    <mergeCell ref="A266:F266"/>
    <mergeCell ref="A107:F107"/>
    <mergeCell ref="A291:F291"/>
    <mergeCell ref="A19:B19"/>
    <mergeCell ref="A28:B28"/>
    <mergeCell ref="A9:B9"/>
    <mergeCell ref="A124:F124"/>
    <mergeCell ref="A39:B39"/>
    <mergeCell ref="A48:B48"/>
    <mergeCell ref="A31:B31"/>
    <mergeCell ref="A30:B30"/>
    <mergeCell ref="A292:F292"/>
    <mergeCell ref="A11:B11"/>
    <mergeCell ref="A45:B45"/>
    <mergeCell ref="A236:F236"/>
    <mergeCell ref="A306:F306"/>
    <mergeCell ref="A2:F2"/>
    <mergeCell ref="A213:F213"/>
    <mergeCell ref="A278:F278"/>
    <mergeCell ref="A151:F151"/>
    <mergeCell ref="A37:B37"/>
    <mergeCell ref="A46:B46"/>
    <mergeCell ref="A254:F254"/>
    <mergeCell ref="A206:F206"/>
    <mergeCell ref="A262:F262"/>
    <mergeCell ref="A26:B26"/>
    <mergeCell ref="A8:B8"/>
    <mergeCell ref="A142:F142"/>
    <mergeCell ref="A182:F182"/>
    <mergeCell ref="A191:F191"/>
    <mergeCell ref="A10:B10"/>
    <mergeCell ref="A61:F61"/>
    <mergeCell ref="A88:F88"/>
    <mergeCell ref="A218:F218"/>
    <mergeCell ref="A227:F227"/>
    <mergeCell ref="A34:B34"/>
    <mergeCell ref="A177:F177"/>
    <mergeCell ref="A330:F330"/>
    <mergeCell ref="A49:B49"/>
    <mergeCell ref="A36:B36"/>
    <mergeCell ref="A71:F71"/>
    <mergeCell ref="A129:F129"/>
    <mergeCell ref="A242:F242"/>
    <mergeCell ref="A116:F116"/>
    <mergeCell ref="A342:F342"/>
    <mergeCell ref="A53:F53"/>
    <mergeCell ref="A165:F165"/>
    <mergeCell ref="A12:B12"/>
    <mergeCell ref="A21:B21"/>
    <mergeCell ref="A299:F299"/>
    <mergeCell ref="A308:F308"/>
    <mergeCell ref="A102:F102"/>
    <mergeCell ref="A32:B32"/>
    <mergeCell ref="A14:B14"/>
    <mergeCell ref="A23:B23"/>
    <mergeCell ref="A270:F270"/>
    <mergeCell ref="A337:F337"/>
    <mergeCell ref="A38:B38"/>
    <mergeCell ref="A43:B43"/>
    <mergeCell ref="A1:F1"/>
    <mergeCell ref="A40:B40"/>
    <mergeCell ref="A271:F271"/>
    <mergeCell ref="A24:B24"/>
    <mergeCell ref="A316:F316"/>
    <mergeCell ref="A128:F128"/>
    <mergeCell ref="A80:F80"/>
    <mergeCell ref="A120:F120"/>
    <mergeCell ref="A192:F192"/>
    <mergeCell ref="A6:B6"/>
    <mergeCell ref="A297:F297"/>
    <mergeCell ref="A16:B16"/>
    <mergeCell ref="A247:F247"/>
    <mergeCell ref="A25:B25"/>
    <mergeCell ref="A18:B18"/>
    <mergeCell ref="A96:F96"/>
    <mergeCell ref="A50:B50"/>
    <mergeCell ref="A52:F52"/>
    <mergeCell ref="A47:B47"/>
    <mergeCell ref="A201:F201"/>
    <mergeCell ref="A20:B20"/>
    <mergeCell ref="A284:F284"/>
    <mergeCell ref="A222:F222"/>
    <mergeCell ref="A29:B29"/>
    <mergeCell ref="A325:F325"/>
    <mergeCell ref="A13:B13"/>
    <mergeCell ref="A44:B44"/>
    <mergeCell ref="A187:F187"/>
  </mergeCells>
  <hyperlinks>
    <hyperlink xmlns:r="http://schemas.openxmlformats.org/officeDocument/2006/relationships" ref="G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worksheet>
</file>

<file path=xl/worksheets/sheet21.xml><?xml version="1.0" encoding="utf-8"?>
<worksheet xmlns="http://schemas.openxmlformats.org/spreadsheetml/2006/main">
  <sheetPr>
    <tabColor rgb="00548235"/>
    <outlinePr summaryBelow="1" summaryRight="1"/>
    <pageSetUpPr fitToPage="1"/>
  </sheetPr>
  <dimension ref="A1:G168"/>
  <sheetViews>
    <sheetView showGridLines="0" workbookViewId="0">
      <pane ySplit="4" topLeftCell="A5" activePane="bottomLeft" state="frozen"/>
      <selection pane="bottomLeft" activeCell="A1" sqref="A1"/>
    </sheetView>
  </sheetViews>
  <sheetFormatPr baseColWidth="8" defaultRowHeight="15"/>
  <cols>
    <col width="8" customWidth="1" min="1" max="1"/>
    <col width="6" customWidth="1" min="2" max="2"/>
    <col width="44" customWidth="1" min="3" max="3"/>
    <col width="44" customWidth="1" min="4" max="4"/>
    <col width="34" customWidth="1" min="5" max="5"/>
    <col width="9" customWidth="1" min="6" max="6"/>
    <col width="13" customWidth="1" min="7" max="7"/>
  </cols>
  <sheetData>
    <row r="1" ht="34" customHeight="1">
      <c r="A1" s="1" t="inlineStr">
        <is>
          <t>11 · Career paths — how people move up, across and between tracks</t>
        </is>
      </c>
      <c r="G1" s="99" t="inlineStr">
        <is>
          <t>◂ Contents</t>
        </is>
      </c>
    </row>
    <row r="2" ht="32" customHeight="1">
      <c r="A2" s="3" t="inlineStr">
        <is>
          <t>Rules for promotion, track switches and lateral moves, then each job family's ladder as it stands today: the designations on the individual-contributor path and the manager path at every level.</t>
        </is>
      </c>
    </row>
    <row r="3">
      <c r="A3" s="4" t="inlineStr">
        <is>
          <t>IRIS · Job Architecture &amp; Job Design · Final v1.12 · October 2026 · Internal — Confidential</t>
        </is>
      </c>
    </row>
    <row r="4"/>
    <row r="5" ht="20" customHeight="1">
      <c r="A5" s="6" t="inlineStr">
        <is>
          <t>Career rules</t>
        </is>
      </c>
    </row>
    <row r="6" ht="15" customHeight="1">
      <c r="A6" s="7" t="inlineStr">
        <is>
          <t>ID</t>
        </is>
      </c>
      <c r="B6" s="7" t="inlineStr">
        <is>
          <t>Rule</t>
        </is>
      </c>
      <c r="C6" s="64" t="n"/>
      <c r="D6" s="64" t="n"/>
      <c r="E6" s="63" t="n"/>
      <c r="F6" s="7" t="inlineStr">
        <is>
          <t>Sources</t>
        </is>
      </c>
    </row>
    <row r="7" ht="28" customHeight="1">
      <c r="A7" s="17" t="inlineStr">
        <is>
          <t>G1</t>
        </is>
      </c>
      <c r="B7" s="9" t="inlineStr">
        <is>
          <r>
            <rPr>
              <rFont val="Calibri"/>
              <b val="1"/>
              <sz val="10"/>
            </rPr>
            <t>Promotion:</t>
          </r>
          <r>
            <rPr>
              <rFont val="Calibri"/>
              <sz val="10"/>
            </rPr>
            <t xml:space="preserve"> a role of the next level's scope exists; rating 4+ in two consecutive cycles; ≥ 90% of the next level's competency profile; six months already working at that scope.</t>
          </r>
        </is>
      </c>
      <c r="C7" s="64" t="n"/>
      <c r="D7" s="64" t="n"/>
      <c r="E7" s="63" t="n"/>
      <c r="F7" s="9" t="inlineStr">
        <is>
          <t>S05, S08</t>
        </is>
      </c>
    </row>
    <row r="8" ht="15" customHeight="1">
      <c r="A8" s="17" t="inlineStr">
        <is>
          <t>G2</t>
        </is>
      </c>
      <c r="B8" s="9" t="inlineStr">
        <is>
          <t>Track switch · IC ↔ Manager at the same grade, from B1 upward; trial period of one cycle; no pay cut.</t>
        </is>
      </c>
      <c r="C8" s="64" t="n"/>
      <c r="D8" s="64" t="n"/>
      <c r="E8" s="63" t="n"/>
      <c r="F8" s="9" t="inlineStr">
        <is>
          <t>S03, S37</t>
        </is>
      </c>
    </row>
    <row r="9" ht="15" customHeight="1">
      <c r="A9" s="17" t="inlineStr">
        <is>
          <t>G3</t>
        </is>
      </c>
      <c r="B9" s="9" t="inlineStr">
        <is>
          <r>
            <rPr>
              <rFont val="Calibri"/>
              <b val="1"/>
              <sz val="10"/>
            </rPr>
            <t>Lateral move:</t>
          </r>
          <r>
            <rPr>
              <rFont val="Calibri"/>
              <sz val="10"/>
            </rPr>
            <t xml:space="preserve"> both must-haves of the target family evidenced, ≥ 67% of its functional set, index ≥ 75%; 3–6 month plan.</t>
          </r>
        </is>
      </c>
      <c r="C9" s="64" t="n"/>
      <c r="D9" s="64" t="n"/>
      <c r="E9" s="63" t="n"/>
      <c r="F9" s="9" t="inlineStr">
        <is>
          <t>C5</t>
        </is>
      </c>
    </row>
    <row r="10" ht="28" customHeight="1">
      <c r="A10" s="17" t="inlineStr">
        <is>
          <t>G4</t>
        </is>
      </c>
      <c r="B10" s="9" t="inlineStr">
        <is>
          <r>
            <rPr>
              <rFont val="Calibri"/>
              <b val="1"/>
              <sz val="10"/>
            </rPr>
            <t>Campus entry:</t>
          </r>
          <r>
            <rPr>
              <rFont val="Calibri"/>
              <sz val="10"/>
            </rPr>
            <t xml:space="preserve"> interns and first-year trainees at A1; graduates at A2; postgraduates / professionally qualified may enter at A3 · campus tiers CT1–CT3.</t>
          </r>
        </is>
      </c>
      <c r="C10" s="64" t="n"/>
      <c r="D10" s="64" t="n"/>
      <c r="E10" s="63" t="n"/>
      <c r="F10" s="9" t="inlineStr">
        <is>
          <t>S38</t>
        </is>
      </c>
    </row>
    <row r="11" ht="15" customHeight="1">
      <c r="A11" s="17" t="inlineStr">
        <is>
          <t>G5</t>
        </is>
      </c>
      <c r="B11" s="9" t="inlineStr">
        <is>
          <t>Experienced hires are levelled by a panel independent of the hiring manager, using the same six factors.</t>
        </is>
      </c>
      <c r="C11" s="64" t="n"/>
      <c r="D11" s="64" t="n"/>
      <c r="E11" s="63" t="n"/>
      <c r="F11" s="9" t="inlineStr">
        <is>
          <t>S38</t>
        </is>
      </c>
    </row>
    <row r="12" ht="28" customHeight="1">
      <c r="A12" s="17" t="inlineStr">
        <is>
          <t>G6</t>
        </is>
      </c>
      <c r="B12" s="9" t="inlineStr">
        <is>
          <r>
            <rPr>
              <rFont val="Calibri"/>
              <b val="1"/>
              <sz val="10"/>
            </rPr>
            <t>Succession:</t>
          </r>
          <r>
            <rPr>
              <rFont val="Calibri"/>
              <sz val="10"/>
            </rPr>
            <t xml:space="preserve"> roles where "only I do this" plus a single holder at B2+ are succession-critical; each needs a named successor and KT plan.</t>
          </r>
        </is>
      </c>
      <c r="C12" s="64" t="n"/>
      <c r="D12" s="64" t="n"/>
      <c r="E12" s="63" t="n"/>
      <c r="F12" s="9" t="inlineStr">
        <is>
          <t>S41</t>
        </is>
      </c>
    </row>
    <row r="13" ht="15" customHeight="1"/>
    <row r="14" ht="20" customHeight="1">
      <c r="A14" s="6" t="inlineStr">
        <is>
          <t>Engineering &amp; Development — 179 people</t>
        </is>
      </c>
    </row>
    <row r="15" ht="15" customHeight="1">
      <c r="A15" s="7" t="inlineStr">
        <is>
          <t>Level</t>
        </is>
      </c>
      <c r="B15" s="7" t="inlineStr">
        <is>
          <t>Band</t>
        </is>
      </c>
      <c r="C15" s="7" t="inlineStr">
        <is>
          <t>Individual contributor / POD Lead path</t>
        </is>
      </c>
      <c r="D15" s="7" t="inlineStr">
        <is>
          <t>People manager path</t>
        </is>
      </c>
      <c r="E15" s="7" t="inlineStr">
        <is>
          <t>Player-Coach</t>
        </is>
      </c>
      <c r="F15" s="7" t="inlineStr">
        <is>
          <t>People</t>
        </is>
      </c>
    </row>
    <row r="16" ht="41" customHeight="1">
      <c r="A16" s="18" t="inlineStr">
        <is>
          <t>A1</t>
        </is>
      </c>
      <c r="B16" s="42" t="inlineStr">
        <is>
          <t>A</t>
        </is>
      </c>
      <c r="C16" s="19" t="inlineStr">
        <is>
          <t>Trainee Software Engineer ×7; Intern – Front-End / UI Development; Intern – Software Development; +1 more</t>
        </is>
      </c>
      <c r="D16" s="19" t="inlineStr">
        <is>
          <t>—</t>
        </is>
      </c>
      <c r="E16" s="19" t="inlineStr">
        <is>
          <t>—</t>
        </is>
      </c>
      <c r="F16" s="42" t="n">
        <v>10</v>
      </c>
    </row>
    <row r="17" ht="28" customHeight="1">
      <c r="A17" s="18" t="inlineStr">
        <is>
          <t>A2</t>
        </is>
      </c>
      <c r="B17" s="42" t="inlineStr">
        <is>
          <t>A</t>
        </is>
      </c>
      <c r="C17" s="19" t="inlineStr">
        <is>
          <t>Software Engineer ×11; UI Developer ×6; AI/ML Engineer ×3</t>
        </is>
      </c>
      <c r="D17" s="19" t="inlineStr">
        <is>
          <t>—</t>
        </is>
      </c>
      <c r="E17" s="19" t="inlineStr">
        <is>
          <t>—</t>
        </is>
      </c>
      <c r="F17" s="42" t="n">
        <v>20</v>
      </c>
    </row>
    <row r="18" ht="41" customHeight="1">
      <c r="A18" s="18" t="inlineStr">
        <is>
          <t>A3</t>
        </is>
      </c>
      <c r="B18" s="42" t="inlineStr">
        <is>
          <t>A</t>
        </is>
      </c>
      <c r="C18" s="19" t="inlineStr">
        <is>
          <t>Senior Software Engineer ×68; Senior UI Developer ×10; Senior AI/ML Engineer ×6; +4 more</t>
        </is>
      </c>
      <c r="D18" s="19" t="inlineStr">
        <is>
          <t>—</t>
        </is>
      </c>
      <c r="E18" s="19" t="inlineStr">
        <is>
          <t>—</t>
        </is>
      </c>
      <c r="F18" s="42" t="n">
        <v>96</v>
      </c>
    </row>
    <row r="19" ht="41" customHeight="1">
      <c r="A19" s="21" t="inlineStr">
        <is>
          <t>B1</t>
        </is>
      </c>
      <c r="B19" s="43" t="inlineStr">
        <is>
          <t>B</t>
        </is>
      </c>
      <c r="C19" s="22" t="inlineStr">
        <is>
          <t>Technical Specialist – POD Lead ×6; Technical Specialist ×5; AI/ML Specialist – POD Lead ×2; +4 more</t>
        </is>
      </c>
      <c r="D19" s="22" t="inlineStr">
        <is>
          <t>—</t>
        </is>
      </c>
      <c r="E19" s="22" t="inlineStr">
        <is>
          <t>—</t>
        </is>
      </c>
      <c r="F19" s="43" t="n">
        <v>18</v>
      </c>
    </row>
    <row r="20" ht="41" customHeight="1">
      <c r="A20" s="21" t="inlineStr">
        <is>
          <t>B2</t>
        </is>
      </c>
      <c r="B20" s="43" t="inlineStr">
        <is>
          <t>B</t>
        </is>
      </c>
      <c r="C20" s="22" t="inlineStr">
        <is>
          <t>Senior Technical Specialist – POD Lead ×4; Lead Software Engineer ×3; Lead Software Engineer – POD Lead ×2; +1 more</t>
        </is>
      </c>
      <c r="D20" s="22" t="inlineStr">
        <is>
          <t>Engineering Manager ×2</t>
        </is>
      </c>
      <c r="E20" s="22" t="inlineStr">
        <is>
          <t>—</t>
        </is>
      </c>
      <c r="F20" s="43" t="n">
        <v>12</v>
      </c>
    </row>
    <row r="21" ht="28" customHeight="1">
      <c r="A21" s="21" t="inlineStr">
        <is>
          <t>B3</t>
        </is>
      </c>
      <c r="B21" s="43" t="inlineStr">
        <is>
          <t>B</t>
        </is>
      </c>
      <c r="C21" s="22" t="inlineStr">
        <is>
          <t>Lead Software Engineer ×3; Lead Software Engineer – POD Lead ×2</t>
        </is>
      </c>
      <c r="D21" s="22" t="inlineStr">
        <is>
          <t>Senior Engineering Manager</t>
        </is>
      </c>
      <c r="E21" s="22" t="inlineStr">
        <is>
          <t>—</t>
        </is>
      </c>
      <c r="F21" s="43" t="n">
        <v>6</v>
      </c>
    </row>
    <row r="22" ht="15" customHeight="1">
      <c r="A22" s="27" t="inlineStr">
        <is>
          <t>C2</t>
        </is>
      </c>
      <c r="B22" s="45" t="inlineStr">
        <is>
          <t>C</t>
        </is>
      </c>
      <c r="C22" s="28" t="inlineStr">
        <is>
          <t>—</t>
        </is>
      </c>
      <c r="D22" s="28" t="inlineStr">
        <is>
          <t>Head – Product Engineering</t>
        </is>
      </c>
      <c r="E22" s="28" t="inlineStr">
        <is>
          <t>—</t>
        </is>
      </c>
      <c r="F22" s="45" t="n">
        <v>1</v>
      </c>
    </row>
    <row r="23" ht="28" customHeight="1">
      <c r="A23" s="39" t="inlineStr">
        <is>
          <t>X1</t>
        </is>
      </c>
      <c r="B23" s="49" t="inlineStr">
        <is>
          <t>X</t>
        </is>
      </c>
      <c r="C23" s="40" t="inlineStr">
        <is>
          <t>Associate Consultant – Software Development ×16</t>
        </is>
      </c>
      <c r="D23" s="40" t="inlineStr">
        <is>
          <t>—</t>
        </is>
      </c>
      <c r="E23" s="40" t="inlineStr">
        <is>
          <t>—</t>
        </is>
      </c>
      <c r="F23" s="49" t="n">
        <v>16</v>
      </c>
    </row>
    <row r="24" ht="15" customHeight="1"/>
    <row r="25" ht="20" customHeight="1">
      <c r="A25" s="6" t="inlineStr">
        <is>
          <t>Consulting &amp; Professional Services — 89 people</t>
        </is>
      </c>
    </row>
    <row r="26" ht="15" customHeight="1">
      <c r="A26" s="7" t="inlineStr">
        <is>
          <t>Level</t>
        </is>
      </c>
      <c r="B26" s="7" t="inlineStr">
        <is>
          <t>Band</t>
        </is>
      </c>
      <c r="C26" s="7" t="inlineStr">
        <is>
          <t>Individual contributor / POD Lead path</t>
        </is>
      </c>
      <c r="D26" s="7" t="inlineStr">
        <is>
          <t>People manager path</t>
        </is>
      </c>
      <c r="E26" s="7" t="inlineStr">
        <is>
          <t>Player-Coach</t>
        </is>
      </c>
      <c r="F26" s="7" t="inlineStr">
        <is>
          <t>People</t>
        </is>
      </c>
    </row>
    <row r="27" ht="15" customHeight="1">
      <c r="A27" s="18" t="inlineStr">
        <is>
          <t>A2</t>
        </is>
      </c>
      <c r="B27" s="42" t="inlineStr">
        <is>
          <t>A</t>
        </is>
      </c>
      <c r="C27" s="19" t="inlineStr">
        <is>
          <t>Financial Analyst ×4; Taxonomy Analyst ×2</t>
        </is>
      </c>
      <c r="D27" s="19" t="inlineStr">
        <is>
          <t>—</t>
        </is>
      </c>
      <c r="E27" s="19" t="inlineStr">
        <is>
          <t>—</t>
        </is>
      </c>
      <c r="F27" s="42" t="n">
        <v>6</v>
      </c>
    </row>
    <row r="28" ht="28" customHeight="1">
      <c r="A28" s="18" t="inlineStr">
        <is>
          <t>A3</t>
        </is>
      </c>
      <c r="B28" s="42" t="inlineStr">
        <is>
          <t>A</t>
        </is>
      </c>
      <c r="C28" s="19" t="inlineStr">
        <is>
          <t>Senior Financial Analyst ×36; Senior Taxonomy Analyst ×12; XBRL Specialist ×2; +2 more</t>
        </is>
      </c>
      <c r="D28" s="19" t="inlineStr">
        <is>
          <t>—</t>
        </is>
      </c>
      <c r="E28" s="19" t="inlineStr">
        <is>
          <t>—</t>
        </is>
      </c>
      <c r="F28" s="42" t="n">
        <v>53</v>
      </c>
    </row>
    <row r="29" ht="28" customHeight="1">
      <c r="A29" s="21" t="inlineStr">
        <is>
          <t>B1</t>
        </is>
      </c>
      <c r="B29" s="43" t="inlineStr">
        <is>
          <t>B</t>
        </is>
      </c>
      <c r="C29" s="22" t="inlineStr">
        <is>
          <t>XBRL Specialist ×8; XBRL Specialist – POD Lead ×2; Taxonomy Specialist ×2; +2 more</t>
        </is>
      </c>
      <c r="D29" s="22" t="inlineStr">
        <is>
          <t>Team Lead – Assisted Services ×2</t>
        </is>
      </c>
      <c r="E29" s="22" t="inlineStr">
        <is>
          <t>—</t>
        </is>
      </c>
      <c r="F29" s="43" t="n">
        <v>16</v>
      </c>
    </row>
    <row r="30" ht="41" customHeight="1">
      <c r="A30" s="21" t="inlineStr">
        <is>
          <t>B2</t>
        </is>
      </c>
      <c r="B30" s="43" t="inlineStr">
        <is>
          <t>B</t>
        </is>
      </c>
      <c r="C30" s="22" t="inlineStr">
        <is>
          <t>Senior Taxonomy Specialist ×3</t>
        </is>
      </c>
      <c r="D30" s="22" t="inlineStr">
        <is>
          <t>Manager – Assisted Services ×3; Senior Manager – Assisted Services; Senior Manager – Service Delivery; +2 more</t>
        </is>
      </c>
      <c r="E30" s="22" t="inlineStr">
        <is>
          <t>—</t>
        </is>
      </c>
      <c r="F30" s="43" t="n">
        <v>10</v>
      </c>
    </row>
    <row r="31" ht="28" customHeight="1">
      <c r="A31" s="27" t="inlineStr">
        <is>
          <t>C1</t>
        </is>
      </c>
      <c r="B31" s="45" t="inlineStr">
        <is>
          <t>C</t>
        </is>
      </c>
      <c r="C31" s="28" t="inlineStr">
        <is>
          <t>—</t>
        </is>
      </c>
      <c r="D31" s="28" t="inlineStr">
        <is>
          <t>Associate Head – XBRL Assisted Services; Associate Head – Assisted Services</t>
        </is>
      </c>
      <c r="E31" s="28" t="inlineStr">
        <is>
          <t>—</t>
        </is>
      </c>
      <c r="F31" s="45" t="n">
        <v>2</v>
      </c>
    </row>
    <row r="32" ht="15" customHeight="1">
      <c r="A32" s="27" t="inlineStr">
        <is>
          <t>C2</t>
        </is>
      </c>
      <c r="B32" s="45" t="inlineStr">
        <is>
          <t>C</t>
        </is>
      </c>
      <c r="C32" s="28" t="inlineStr">
        <is>
          <t>—</t>
        </is>
      </c>
      <c r="D32" s="28" t="inlineStr">
        <is>
          <t>Head – Consulting</t>
        </is>
      </c>
      <c r="E32" s="28" t="inlineStr">
        <is>
          <t>—</t>
        </is>
      </c>
      <c r="F32" s="45" t="n">
        <v>1</v>
      </c>
    </row>
    <row r="33" ht="28" customHeight="1">
      <c r="A33" s="39" t="inlineStr">
        <is>
          <t>X1</t>
        </is>
      </c>
      <c r="B33" s="49" t="inlineStr">
        <is>
          <t>X</t>
        </is>
      </c>
      <c r="C33" s="40" t="inlineStr">
        <is>
          <t>Associate Consultant – Taxonomy Design &amp; Regulatory Consulting</t>
        </is>
      </c>
      <c r="D33" s="40" t="inlineStr">
        <is>
          <t>—</t>
        </is>
      </c>
      <c r="E33" s="40" t="inlineStr">
        <is>
          <t>—</t>
        </is>
      </c>
      <c r="F33" s="49" t="n">
        <v>1</v>
      </c>
    </row>
    <row r="34" ht="15" customHeight="1"/>
    <row r="35" ht="20" customHeight="1">
      <c r="A35" s="6" t="inlineStr">
        <is>
          <t>Sales &amp; Business Development — 39 people</t>
        </is>
      </c>
    </row>
    <row r="36" ht="15" customHeight="1">
      <c r="A36" s="7" t="inlineStr">
        <is>
          <t>Level</t>
        </is>
      </c>
      <c r="B36" s="7" t="inlineStr">
        <is>
          <t>Band</t>
        </is>
      </c>
      <c r="C36" s="7" t="inlineStr">
        <is>
          <t>Individual contributor / POD Lead path</t>
        </is>
      </c>
      <c r="D36" s="7" t="inlineStr">
        <is>
          <t>People manager path</t>
        </is>
      </c>
      <c r="E36" s="7" t="inlineStr">
        <is>
          <t>Player-Coach</t>
        </is>
      </c>
      <c r="F36" s="7" t="inlineStr">
        <is>
          <t>People</t>
        </is>
      </c>
    </row>
    <row r="37" ht="15" customHeight="1">
      <c r="A37" s="18" t="inlineStr">
        <is>
          <t>A1</t>
        </is>
      </c>
      <c r="B37" s="42" t="inlineStr">
        <is>
          <t>A</t>
        </is>
      </c>
      <c r="C37" s="19" t="inlineStr">
        <is>
          <t>Intern – Sales Development &amp; Prospecting ×3</t>
        </is>
      </c>
      <c r="D37" s="19" t="inlineStr">
        <is>
          <t>—</t>
        </is>
      </c>
      <c r="E37" s="19" t="inlineStr">
        <is>
          <t>—</t>
        </is>
      </c>
      <c r="F37" s="42" t="n">
        <v>3</v>
      </c>
    </row>
    <row r="38" ht="28" customHeight="1">
      <c r="A38" s="18" t="inlineStr">
        <is>
          <t>A2</t>
        </is>
      </c>
      <c r="B38" s="42" t="inlineStr">
        <is>
          <t>A</t>
        </is>
      </c>
      <c r="C38" s="19" t="inlineStr">
        <is>
          <t>Sales Development Representative ×5; Program Executive ×2</t>
        </is>
      </c>
      <c r="D38" s="19" t="inlineStr">
        <is>
          <t>—</t>
        </is>
      </c>
      <c r="E38" s="19" t="inlineStr">
        <is>
          <t>—</t>
        </is>
      </c>
      <c r="F38" s="42" t="n">
        <v>7</v>
      </c>
    </row>
    <row r="39" ht="41" customHeight="1">
      <c r="A39" s="18" t="inlineStr">
        <is>
          <t>A3</t>
        </is>
      </c>
      <c r="B39" s="42" t="inlineStr">
        <is>
          <t>A</t>
        </is>
      </c>
      <c r="C39" s="19" t="inlineStr">
        <is>
          <t>Senior Sales Development Representative ×3; Senior Program Executive ×3; Senior Sales Operations Analyst; +1 more</t>
        </is>
      </c>
      <c r="D39" s="19" t="inlineStr">
        <is>
          <t>—</t>
        </is>
      </c>
      <c r="E39" s="19" t="inlineStr">
        <is>
          <t>—</t>
        </is>
      </c>
      <c r="F39" s="42" t="n">
        <v>8</v>
      </c>
    </row>
    <row r="40" ht="41" customHeight="1">
      <c r="A40" s="21" t="inlineStr">
        <is>
          <t>B1</t>
        </is>
      </c>
      <c r="B40" s="43" t="inlineStr">
        <is>
          <t>B</t>
        </is>
      </c>
      <c r="C40" s="22" t="inlineStr">
        <is>
          <t>Account Executive ×2; Sales Operations Specialist – POD Lead; Pre-Sales Specialist; +1 more</t>
        </is>
      </c>
      <c r="D40" s="22" t="inlineStr">
        <is>
          <t>Team Lead – Sales Development ×2</t>
        </is>
      </c>
      <c r="E40" s="22" t="inlineStr">
        <is>
          <t>—</t>
        </is>
      </c>
      <c r="F40" s="43" t="n">
        <v>7</v>
      </c>
    </row>
    <row r="41" ht="41" customHeight="1">
      <c r="A41" s="21" t="inlineStr">
        <is>
          <t>B2</t>
        </is>
      </c>
      <c r="B41" s="43" t="inlineStr">
        <is>
          <t>B</t>
        </is>
      </c>
      <c r="C41" s="22" t="inlineStr">
        <is>
          <t>Senior Account Executive – POD Lead ×2; Lead Account Executive; Senior Account Executive; +1 more</t>
        </is>
      </c>
      <c r="D41" s="22" t="inlineStr">
        <is>
          <t>Program Manager – Outreach</t>
        </is>
      </c>
      <c r="E41" s="22" t="inlineStr">
        <is>
          <t>—</t>
        </is>
      </c>
      <c r="F41" s="43" t="n">
        <v>6</v>
      </c>
    </row>
    <row r="42" ht="28" customHeight="1">
      <c r="A42" s="21" t="inlineStr">
        <is>
          <t>B3</t>
        </is>
      </c>
      <c r="B42" s="43" t="inlineStr">
        <is>
          <t>B</t>
        </is>
      </c>
      <c r="C42" s="22" t="inlineStr">
        <is>
          <t>Lead Account Executive; Lead Alliances Specialist – POD Lead</t>
        </is>
      </c>
      <c r="D42" s="22" t="inlineStr">
        <is>
          <t>—</t>
        </is>
      </c>
      <c r="E42" s="22" t="inlineStr">
        <is>
          <t>—</t>
        </is>
      </c>
      <c r="F42" s="43" t="n">
        <v>2</v>
      </c>
    </row>
    <row r="43" ht="28" customHeight="1">
      <c r="A43" s="27" t="inlineStr">
        <is>
          <t>C1</t>
        </is>
      </c>
      <c r="B43" s="45" t="inlineStr">
        <is>
          <t>C</t>
        </is>
      </c>
      <c r="C43" s="28" t="inlineStr">
        <is>
          <t>Principal – Enterprise Sales ×2; Principal – Sales</t>
        </is>
      </c>
      <c r="D43" s="28" t="inlineStr">
        <is>
          <t>—</t>
        </is>
      </c>
      <c r="E43" s="28" t="inlineStr">
        <is>
          <t>—</t>
        </is>
      </c>
      <c r="F43" s="45" t="n">
        <v>3</v>
      </c>
    </row>
    <row r="44" ht="15" customHeight="1">
      <c r="A44" s="27" t="inlineStr">
        <is>
          <t>C2</t>
        </is>
      </c>
      <c r="B44" s="45" t="inlineStr">
        <is>
          <t>C</t>
        </is>
      </c>
      <c r="C44" s="28" t="inlineStr">
        <is>
          <t>—</t>
        </is>
      </c>
      <c r="D44" s="28" t="inlineStr">
        <is>
          <t>Head – Sales</t>
        </is>
      </c>
      <c r="E44" s="28" t="inlineStr">
        <is>
          <t>—</t>
        </is>
      </c>
      <c r="F44" s="45" t="n">
        <v>1</v>
      </c>
    </row>
    <row r="45" ht="28" customHeight="1">
      <c r="A45" s="39" t="inlineStr">
        <is>
          <t>X2</t>
        </is>
      </c>
      <c r="B45" s="49" t="inlineStr">
        <is>
          <t>X</t>
        </is>
      </c>
      <c r="C45" s="40" t="inlineStr">
        <is>
          <t>Consultant – Enterprise Sales &amp; Account Management</t>
        </is>
      </c>
      <c r="D45" s="40" t="inlineStr">
        <is>
          <t>—</t>
        </is>
      </c>
      <c r="E45" s="40" t="inlineStr">
        <is>
          <t>—</t>
        </is>
      </c>
      <c r="F45" s="49" t="n">
        <v>1</v>
      </c>
    </row>
    <row r="46" ht="28" customHeight="1">
      <c r="A46" s="39" t="inlineStr">
        <is>
          <t>X3</t>
        </is>
      </c>
      <c r="B46" s="49" t="inlineStr">
        <is>
          <t>X</t>
        </is>
      </c>
      <c r="C46" s="40" t="inlineStr">
        <is>
          <t>Senior Consultant – Enterprise Sales &amp; Account Management</t>
        </is>
      </c>
      <c r="D46" s="40" t="inlineStr">
        <is>
          <t>—</t>
        </is>
      </c>
      <c r="E46" s="40" t="inlineStr">
        <is>
          <t>—</t>
        </is>
      </c>
      <c r="F46" s="49" t="n">
        <v>1</v>
      </c>
    </row>
    <row r="47" ht="15" customHeight="1"/>
    <row r="48" ht="20" customHeight="1">
      <c r="A48" s="6" t="inlineStr">
        <is>
          <t>Quality Assurance — 38 people</t>
        </is>
      </c>
    </row>
    <row r="49" ht="15" customHeight="1">
      <c r="A49" s="7" t="inlineStr">
        <is>
          <t>Level</t>
        </is>
      </c>
      <c r="B49" s="7" t="inlineStr">
        <is>
          <t>Band</t>
        </is>
      </c>
      <c r="C49" s="7" t="inlineStr">
        <is>
          <t>Individual contributor / POD Lead path</t>
        </is>
      </c>
      <c r="D49" s="7" t="inlineStr">
        <is>
          <t>People manager path</t>
        </is>
      </c>
      <c r="E49" s="7" t="inlineStr">
        <is>
          <t>Player-Coach</t>
        </is>
      </c>
      <c r="F49" s="7" t="inlineStr">
        <is>
          <t>People</t>
        </is>
      </c>
    </row>
    <row r="50" ht="28" customHeight="1">
      <c r="A50" s="18" t="inlineStr">
        <is>
          <t>A1</t>
        </is>
      </c>
      <c r="B50" s="42" t="inlineStr">
        <is>
          <t>A</t>
        </is>
      </c>
      <c r="C50" s="19" t="inlineStr">
        <is>
          <t>Trainee QA Automation Engineer ×2; Intern – Functional &amp; Domain Testing</t>
        </is>
      </c>
      <c r="D50" s="19" t="inlineStr">
        <is>
          <t>—</t>
        </is>
      </c>
      <c r="E50" s="19" t="inlineStr">
        <is>
          <t>—</t>
        </is>
      </c>
      <c r="F50" s="42" t="n">
        <v>3</v>
      </c>
    </row>
    <row r="51" ht="15" customHeight="1">
      <c r="A51" s="18" t="inlineStr">
        <is>
          <t>A2</t>
        </is>
      </c>
      <c r="B51" s="42" t="inlineStr">
        <is>
          <t>A</t>
        </is>
      </c>
      <c r="C51" s="19" t="inlineStr">
        <is>
          <t>QA Engineer</t>
        </is>
      </c>
      <c r="D51" s="19" t="inlineStr">
        <is>
          <t>—</t>
        </is>
      </c>
      <c r="E51" s="19" t="inlineStr">
        <is>
          <t>—</t>
        </is>
      </c>
      <c r="F51" s="42" t="n">
        <v>1</v>
      </c>
    </row>
    <row r="52" ht="28" customHeight="1">
      <c r="A52" s="18" t="inlineStr">
        <is>
          <t>A3</t>
        </is>
      </c>
      <c r="B52" s="42" t="inlineStr">
        <is>
          <t>A</t>
        </is>
      </c>
      <c r="C52" s="19" t="inlineStr">
        <is>
          <t>Senior QA Engineer ×19; Senior QA Automation Engineer ×6; QA Specialist</t>
        </is>
      </c>
      <c r="D52" s="19" t="inlineStr">
        <is>
          <t>—</t>
        </is>
      </c>
      <c r="E52" s="19" t="inlineStr">
        <is>
          <t>—</t>
        </is>
      </c>
      <c r="F52" s="42" t="n">
        <v>26</v>
      </c>
    </row>
    <row r="53" ht="15" customHeight="1">
      <c r="A53" s="21" t="inlineStr">
        <is>
          <t>B1</t>
        </is>
      </c>
      <c r="B53" s="43" t="inlineStr">
        <is>
          <t>B</t>
        </is>
      </c>
      <c r="C53" s="22" t="inlineStr">
        <is>
          <t>QA Specialist – POD Lead ×3</t>
        </is>
      </c>
      <c r="D53" s="22" t="inlineStr">
        <is>
          <t>QA Manager</t>
        </is>
      </c>
      <c r="E53" s="22" t="inlineStr">
        <is>
          <t>—</t>
        </is>
      </c>
      <c r="F53" s="43" t="n">
        <v>4</v>
      </c>
    </row>
    <row r="54" ht="15" customHeight="1">
      <c r="A54" s="21" t="inlineStr">
        <is>
          <t>B2</t>
        </is>
      </c>
      <c r="B54" s="43" t="inlineStr">
        <is>
          <t>B</t>
        </is>
      </c>
      <c r="C54" s="22" t="inlineStr">
        <is>
          <t>Senior QA Specialist – POD Lead ×2</t>
        </is>
      </c>
      <c r="D54" s="22" t="inlineStr">
        <is>
          <t>QA Manager; Senior QA Manager</t>
        </is>
      </c>
      <c r="E54" s="22" t="inlineStr">
        <is>
          <t>—</t>
        </is>
      </c>
      <c r="F54" s="43" t="n">
        <v>4</v>
      </c>
    </row>
    <row r="55" ht="15" customHeight="1"/>
    <row r="56" ht="20" customHeight="1">
      <c r="A56" s="6" t="inlineStr">
        <is>
          <t>Customer Success &amp; Support — 37 people</t>
        </is>
      </c>
    </row>
    <row r="57" ht="15" customHeight="1">
      <c r="A57" s="7" t="inlineStr">
        <is>
          <t>Level</t>
        </is>
      </c>
      <c r="B57" s="7" t="inlineStr">
        <is>
          <t>Band</t>
        </is>
      </c>
      <c r="C57" s="7" t="inlineStr">
        <is>
          <t>Individual contributor / POD Lead path</t>
        </is>
      </c>
      <c r="D57" s="7" t="inlineStr">
        <is>
          <t>People manager path</t>
        </is>
      </c>
      <c r="E57" s="7" t="inlineStr">
        <is>
          <t>Player-Coach</t>
        </is>
      </c>
      <c r="F57" s="7" t="inlineStr">
        <is>
          <t>People</t>
        </is>
      </c>
    </row>
    <row r="58" ht="15" customHeight="1">
      <c r="A58" s="18" t="inlineStr">
        <is>
          <t>A1</t>
        </is>
      </c>
      <c r="B58" s="42" t="inlineStr">
        <is>
          <t>A</t>
        </is>
      </c>
      <c r="C58" s="19" t="inlineStr">
        <is>
          <t>Intern – Application &amp; Product Support ×2</t>
        </is>
      </c>
      <c r="D58" s="19" t="inlineStr">
        <is>
          <t>—</t>
        </is>
      </c>
      <c r="E58" s="19" t="inlineStr">
        <is>
          <t>—</t>
        </is>
      </c>
      <c r="F58" s="42" t="n">
        <v>2</v>
      </c>
    </row>
    <row r="59" ht="15" customHeight="1">
      <c r="A59" s="18" t="inlineStr">
        <is>
          <t>A2</t>
        </is>
      </c>
      <c r="B59" s="42" t="inlineStr">
        <is>
          <t>A</t>
        </is>
      </c>
      <c r="C59" s="19" t="inlineStr">
        <is>
          <t>Support Executive ×2</t>
        </is>
      </c>
      <c r="D59" s="19" t="inlineStr">
        <is>
          <t>—</t>
        </is>
      </c>
      <c r="E59" s="19" t="inlineStr">
        <is>
          <t>—</t>
        </is>
      </c>
      <c r="F59" s="42" t="n">
        <v>2</v>
      </c>
    </row>
    <row r="60" ht="28" customHeight="1">
      <c r="A60" s="18" t="inlineStr">
        <is>
          <t>A3</t>
        </is>
      </c>
      <c r="B60" s="42" t="inlineStr">
        <is>
          <t>A</t>
        </is>
      </c>
      <c r="C60" s="19" t="inlineStr">
        <is>
          <t>Senior Support Executive ×16; Senior Customer Success Executive ×2; Support Specialist</t>
        </is>
      </c>
      <c r="D60" s="19" t="inlineStr">
        <is>
          <t>—</t>
        </is>
      </c>
      <c r="E60" s="19" t="inlineStr">
        <is>
          <t>—</t>
        </is>
      </c>
      <c r="F60" s="42" t="n">
        <v>19</v>
      </c>
    </row>
    <row r="61" ht="41" customHeight="1">
      <c r="A61" s="21" t="inlineStr">
        <is>
          <t>B1</t>
        </is>
      </c>
      <c r="B61" s="43" t="inlineStr">
        <is>
          <t>B</t>
        </is>
      </c>
      <c r="C61" s="22" t="inlineStr">
        <is>
          <t>Support Specialist ×2; Customer Enablement Specialist – POD Lead; Senior Customer Success Specialist – POD Lead; +2 more</t>
        </is>
      </c>
      <c r="D61" s="22" t="inlineStr">
        <is>
          <t>—</t>
        </is>
      </c>
      <c r="E61" s="22" t="inlineStr">
        <is>
          <t>—</t>
        </is>
      </c>
      <c r="F61" s="43" t="n">
        <v>6</v>
      </c>
    </row>
    <row r="62" ht="41" customHeight="1">
      <c r="A62" s="21" t="inlineStr">
        <is>
          <t>B2</t>
        </is>
      </c>
      <c r="B62" s="43" t="inlineStr">
        <is>
          <t>B</t>
        </is>
      </c>
      <c r="C62" s="22" t="inlineStr">
        <is>
          <t>Senior Customer Success Specialist ×3; Senior Customer Success Specialist – POD Lead; Customer Success Specialist</t>
        </is>
      </c>
      <c r="D62" s="22" t="inlineStr">
        <is>
          <t>Support Manager</t>
        </is>
      </c>
      <c r="E62" s="22" t="inlineStr">
        <is>
          <t>—</t>
        </is>
      </c>
      <c r="F62" s="43" t="n">
        <v>6</v>
      </c>
    </row>
    <row r="63" ht="15" customHeight="1">
      <c r="A63" s="27" t="inlineStr">
        <is>
          <t>C1</t>
        </is>
      </c>
      <c r="B63" s="45" t="inlineStr">
        <is>
          <t>C</t>
        </is>
      </c>
      <c r="C63" s="28" t="inlineStr">
        <is>
          <t>—</t>
        </is>
      </c>
      <c r="D63" s="28" t="inlineStr">
        <is>
          <t>Associate Head – Customer Success</t>
        </is>
      </c>
      <c r="E63" s="28" t="inlineStr">
        <is>
          <t>—</t>
        </is>
      </c>
      <c r="F63" s="45" t="n">
        <v>1</v>
      </c>
    </row>
    <row r="64" ht="28" customHeight="1">
      <c r="A64" s="39" t="inlineStr">
        <is>
          <t>X1</t>
        </is>
      </c>
      <c r="B64" s="49" t="inlineStr">
        <is>
          <t>X</t>
        </is>
      </c>
      <c r="C64" s="40" t="inlineStr">
        <is>
          <t>Associate Consultant – Customer Success &amp; Account Management</t>
        </is>
      </c>
      <c r="D64" s="40" t="inlineStr">
        <is>
          <t>—</t>
        </is>
      </c>
      <c r="E64" s="40" t="inlineStr">
        <is>
          <t>—</t>
        </is>
      </c>
      <c r="F64" s="49" t="n">
        <v>1</v>
      </c>
    </row>
    <row r="65" ht="15" customHeight="1"/>
    <row r="66" ht="20" customHeight="1">
      <c r="A66" s="6" t="inlineStr">
        <is>
          <t>Data Operations &amp; Digitization — 32 people</t>
        </is>
      </c>
    </row>
    <row r="67" ht="15" customHeight="1">
      <c r="A67" s="7" t="inlineStr">
        <is>
          <t>Level</t>
        </is>
      </c>
      <c r="B67" s="7" t="inlineStr">
        <is>
          <t>Band</t>
        </is>
      </c>
      <c r="C67" s="7" t="inlineStr">
        <is>
          <t>Individual contributor / POD Lead path</t>
        </is>
      </c>
      <c r="D67" s="7" t="inlineStr">
        <is>
          <t>People manager path</t>
        </is>
      </c>
      <c r="E67" s="7" t="inlineStr">
        <is>
          <t>Player-Coach</t>
        </is>
      </c>
      <c r="F67" s="7" t="inlineStr">
        <is>
          <t>People</t>
        </is>
      </c>
    </row>
    <row r="68" ht="15" customHeight="1">
      <c r="A68" s="18" t="inlineStr">
        <is>
          <t>A2</t>
        </is>
      </c>
      <c r="B68" s="42" t="inlineStr">
        <is>
          <t>A</t>
        </is>
      </c>
      <c r="C68" s="19" t="inlineStr">
        <is>
          <t>Digitization Associate ×4</t>
        </is>
      </c>
      <c r="D68" s="19" t="inlineStr">
        <is>
          <t>—</t>
        </is>
      </c>
      <c r="E68" s="19" t="inlineStr">
        <is>
          <t>—</t>
        </is>
      </c>
      <c r="F68" s="42" t="n">
        <v>4</v>
      </c>
    </row>
    <row r="69" ht="15" customHeight="1">
      <c r="A69" s="18" t="inlineStr">
        <is>
          <t>A3</t>
        </is>
      </c>
      <c r="B69" s="42" t="inlineStr">
        <is>
          <t>A</t>
        </is>
      </c>
      <c r="C69" s="19" t="inlineStr">
        <is>
          <t>Senior Digitization Associate ×20</t>
        </is>
      </c>
      <c r="D69" s="19" t="inlineStr">
        <is>
          <t>—</t>
        </is>
      </c>
      <c r="E69" s="19" t="inlineStr">
        <is>
          <t>—</t>
        </is>
      </c>
      <c r="F69" s="42" t="n">
        <v>20</v>
      </c>
    </row>
    <row r="70" ht="28" customHeight="1">
      <c r="A70" s="21" t="inlineStr">
        <is>
          <t>B1</t>
        </is>
      </c>
      <c r="B70" s="43" t="inlineStr">
        <is>
          <t>B</t>
        </is>
      </c>
      <c r="C70" s="22" t="inlineStr">
        <is>
          <t>Digitization Specialist – POD Lead ×3; Digitization Specialist</t>
        </is>
      </c>
      <c r="D70" s="22" t="inlineStr">
        <is>
          <t>Team Lead – Digitization</t>
        </is>
      </c>
      <c r="E70" s="22" t="inlineStr">
        <is>
          <t>—</t>
        </is>
      </c>
      <c r="F70" s="43" t="n">
        <v>5</v>
      </c>
    </row>
    <row r="71" ht="15" customHeight="1">
      <c r="A71" s="21" t="inlineStr">
        <is>
          <t>B2</t>
        </is>
      </c>
      <c r="B71" s="43" t="inlineStr">
        <is>
          <t>B</t>
        </is>
      </c>
      <c r="C71" s="22" t="inlineStr">
        <is>
          <t>—</t>
        </is>
      </c>
      <c r="D71" s="22" t="inlineStr">
        <is>
          <t>Digitization Manager ×2</t>
        </is>
      </c>
      <c r="E71" s="22" t="inlineStr">
        <is>
          <t>—</t>
        </is>
      </c>
      <c r="F71" s="43" t="n">
        <v>2</v>
      </c>
    </row>
    <row r="72" ht="15" customHeight="1">
      <c r="A72" s="27" t="inlineStr">
        <is>
          <t>C1</t>
        </is>
      </c>
      <c r="B72" s="45" t="inlineStr">
        <is>
          <t>C</t>
        </is>
      </c>
      <c r="C72" s="28" t="inlineStr">
        <is>
          <t>—</t>
        </is>
      </c>
      <c r="D72" s="28" t="inlineStr">
        <is>
          <t>Associate Head – Digitization</t>
        </is>
      </c>
      <c r="E72" s="28" t="inlineStr">
        <is>
          <t>—</t>
        </is>
      </c>
      <c r="F72" s="45" t="n">
        <v>1</v>
      </c>
    </row>
    <row r="73" ht="15" customHeight="1"/>
    <row r="74" ht="20" customHeight="1">
      <c r="A74" s="6" t="inlineStr">
        <is>
          <t>Business Analysis — 29 people</t>
        </is>
      </c>
    </row>
    <row r="75" ht="15" customHeight="1">
      <c r="A75" s="7" t="inlineStr">
        <is>
          <t>Level</t>
        </is>
      </c>
      <c r="B75" s="7" t="inlineStr">
        <is>
          <t>Band</t>
        </is>
      </c>
      <c r="C75" s="7" t="inlineStr">
        <is>
          <t>Individual contributor / POD Lead path</t>
        </is>
      </c>
      <c r="D75" s="7" t="inlineStr">
        <is>
          <t>People manager path</t>
        </is>
      </c>
      <c r="E75" s="7" t="inlineStr">
        <is>
          <t>Player-Coach</t>
        </is>
      </c>
      <c r="F75" s="7" t="inlineStr">
        <is>
          <t>People</t>
        </is>
      </c>
    </row>
    <row r="76" ht="15" customHeight="1">
      <c r="A76" s="18" t="inlineStr">
        <is>
          <t>A1</t>
        </is>
      </c>
      <c r="B76" s="42" t="inlineStr">
        <is>
          <t>A</t>
        </is>
      </c>
      <c r="C76" s="19" t="inlineStr">
        <is>
          <t>Trainee Business Analyst</t>
        </is>
      </c>
      <c r="D76" s="19" t="inlineStr">
        <is>
          <t>—</t>
        </is>
      </c>
      <c r="E76" s="19" t="inlineStr">
        <is>
          <t>—</t>
        </is>
      </c>
      <c r="F76" s="42" t="n">
        <v>1</v>
      </c>
    </row>
    <row r="77" ht="15" customHeight="1">
      <c r="A77" s="18" t="inlineStr">
        <is>
          <t>A2</t>
        </is>
      </c>
      <c r="B77" s="42" t="inlineStr">
        <is>
          <t>A</t>
        </is>
      </c>
      <c r="C77" s="19" t="inlineStr">
        <is>
          <t>Business Analyst ×2</t>
        </is>
      </c>
      <c r="D77" s="19" t="inlineStr">
        <is>
          <t>—</t>
        </is>
      </c>
      <c r="E77" s="19" t="inlineStr">
        <is>
          <t>—</t>
        </is>
      </c>
      <c r="F77" s="42" t="n">
        <v>2</v>
      </c>
    </row>
    <row r="78" ht="28" customHeight="1">
      <c r="A78" s="18" t="inlineStr">
        <is>
          <t>A3</t>
        </is>
      </c>
      <c r="B78" s="42" t="inlineStr">
        <is>
          <t>A</t>
        </is>
      </c>
      <c r="C78" s="19" t="inlineStr">
        <is>
          <t>Senior Business Analyst ×15; Business Analysis Specialist</t>
        </is>
      </c>
      <c r="D78" s="19" t="inlineStr">
        <is>
          <t>—</t>
        </is>
      </c>
      <c r="E78" s="19" t="inlineStr">
        <is>
          <t>—</t>
        </is>
      </c>
      <c r="F78" s="42" t="n">
        <v>16</v>
      </c>
    </row>
    <row r="79" ht="41" customHeight="1">
      <c r="A79" s="21" t="inlineStr">
        <is>
          <t>B1</t>
        </is>
      </c>
      <c r="B79" s="43" t="inlineStr">
        <is>
          <t>B</t>
        </is>
      </c>
      <c r="C79" s="22" t="inlineStr">
        <is>
          <t>Business Analysis Specialist ×5; Business Analysis Specialist – POD Lead; Senior Business Analysis Specialist</t>
        </is>
      </c>
      <c r="D79" s="22" t="inlineStr">
        <is>
          <t>Team Lead – Business Analysis ×2</t>
        </is>
      </c>
      <c r="E79" s="22" t="inlineStr">
        <is>
          <t>—</t>
        </is>
      </c>
      <c r="F79" s="43" t="n">
        <v>9</v>
      </c>
    </row>
    <row r="80" ht="28" customHeight="1">
      <c r="A80" s="21" t="inlineStr">
        <is>
          <t>B2</t>
        </is>
      </c>
      <c r="B80" s="43" t="inlineStr">
        <is>
          <t>B</t>
        </is>
      </c>
      <c r="C80" s="22" t="inlineStr">
        <is>
          <t>Senior Business Analysis Specialist – POD Lead</t>
        </is>
      </c>
      <c r="D80" s="22" t="inlineStr">
        <is>
          <t>—</t>
        </is>
      </c>
      <c r="E80" s="22" t="inlineStr">
        <is>
          <t>—</t>
        </is>
      </c>
      <c r="F80" s="43" t="n">
        <v>1</v>
      </c>
    </row>
    <row r="81" ht="15" customHeight="1"/>
    <row r="82" ht="20" customHeight="1">
      <c r="A82" s="6" t="inlineStr">
        <is>
          <t>Marketing &amp; Communications — 23 people</t>
        </is>
      </c>
    </row>
    <row r="83" ht="15" customHeight="1">
      <c r="A83" s="7" t="inlineStr">
        <is>
          <t>Level</t>
        </is>
      </c>
      <c r="B83" s="7" t="inlineStr">
        <is>
          <t>Band</t>
        </is>
      </c>
      <c r="C83" s="7" t="inlineStr">
        <is>
          <t>Individual contributor / POD Lead path</t>
        </is>
      </c>
      <c r="D83" s="7" t="inlineStr">
        <is>
          <t>People manager path</t>
        </is>
      </c>
      <c r="E83" s="7" t="inlineStr">
        <is>
          <t>Player-Coach</t>
        </is>
      </c>
      <c r="F83" s="7" t="inlineStr">
        <is>
          <t>People</t>
        </is>
      </c>
    </row>
    <row r="84" ht="28" customHeight="1">
      <c r="A84" s="18" t="inlineStr">
        <is>
          <t>A2</t>
        </is>
      </c>
      <c r="B84" s="42" t="inlineStr">
        <is>
          <t>A</t>
        </is>
      </c>
      <c r="C84" s="19" t="inlineStr">
        <is>
          <t>Content Marketing Associate ×5; Marketing Operations Associate ×3; Marketing Associate</t>
        </is>
      </c>
      <c r="D84" s="19" t="inlineStr">
        <is>
          <t>—</t>
        </is>
      </c>
      <c r="E84" s="19" t="inlineStr">
        <is>
          <t>—</t>
        </is>
      </c>
      <c r="F84" s="42" t="n">
        <v>9</v>
      </c>
    </row>
    <row r="85" ht="41" customHeight="1">
      <c r="A85" s="18" t="inlineStr">
        <is>
          <t>A3</t>
        </is>
      </c>
      <c r="B85" s="42" t="inlineStr">
        <is>
          <t>A</t>
        </is>
      </c>
      <c r="C85" s="19" t="inlineStr">
        <is>
          <t>Senior Marketing Operations Associate ×3; Senior Digital Marketing Associate ×2; Senior Content Marketing Associate ×2</t>
        </is>
      </c>
      <c r="D85" s="19" t="inlineStr">
        <is>
          <t>—</t>
        </is>
      </c>
      <c r="E85" s="19" t="inlineStr">
        <is>
          <t>—</t>
        </is>
      </c>
      <c r="F85" s="42" t="n">
        <v>7</v>
      </c>
    </row>
    <row r="86" ht="15" customHeight="1">
      <c r="A86" s="21" t="inlineStr">
        <is>
          <t>B1</t>
        </is>
      </c>
      <c r="B86" s="43" t="inlineStr">
        <is>
          <t>B</t>
        </is>
      </c>
      <c r="C86" s="22" t="inlineStr">
        <is>
          <t>—</t>
        </is>
      </c>
      <c r="D86" s="22" t="inlineStr">
        <is>
          <t>Team Lead – Product Marketing</t>
        </is>
      </c>
      <c r="E86" s="22" t="inlineStr">
        <is>
          <t>—</t>
        </is>
      </c>
      <c r="F86" s="43" t="n">
        <v>1</v>
      </c>
    </row>
    <row r="87" ht="41" customHeight="1">
      <c r="A87" s="21" t="inlineStr">
        <is>
          <t>B2</t>
        </is>
      </c>
      <c r="B87" s="43" t="inlineStr">
        <is>
          <t>B</t>
        </is>
      </c>
      <c r="C87" s="22" t="inlineStr">
        <is>
          <t>Senior Marketing Specialist – POD Lead; Marketing Specialist – POD Lead; Senior Content Marketing Specialist</t>
        </is>
      </c>
      <c r="D87" s="22" t="inlineStr">
        <is>
          <t>Marketing Manager</t>
        </is>
      </c>
      <c r="E87" s="22" t="inlineStr">
        <is>
          <t>—</t>
        </is>
      </c>
      <c r="F87" s="43" t="n">
        <v>4</v>
      </c>
    </row>
    <row r="88" ht="15" customHeight="1">
      <c r="A88" s="21" t="inlineStr">
        <is>
          <t>B3</t>
        </is>
      </c>
      <c r="B88" s="43" t="inlineStr">
        <is>
          <t>B</t>
        </is>
      </c>
      <c r="C88" s="22" t="inlineStr">
        <is>
          <t>—</t>
        </is>
      </c>
      <c r="D88" s="22" t="inlineStr">
        <is>
          <t>Senior Marketing Manager</t>
        </is>
      </c>
      <c r="E88" s="22" t="inlineStr">
        <is>
          <t>—</t>
        </is>
      </c>
      <c r="F88" s="43" t="n">
        <v>1</v>
      </c>
    </row>
    <row r="89" ht="28" customHeight="1">
      <c r="A89" s="39" t="inlineStr">
        <is>
          <t>X1</t>
        </is>
      </c>
      <c r="B89" s="49" t="inlineStr">
        <is>
          <t>X</t>
        </is>
      </c>
      <c r="C89" s="40" t="inlineStr">
        <is>
          <t>Associate Consultant – Demand Generation, Brand &amp; Events</t>
        </is>
      </c>
      <c r="D89" s="40" t="inlineStr">
        <is>
          <t>—</t>
        </is>
      </c>
      <c r="E89" s="40" t="inlineStr">
        <is>
          <t>—</t>
        </is>
      </c>
      <c r="F89" s="49" t="n">
        <v>1</v>
      </c>
    </row>
    <row r="90" ht="15" customHeight="1"/>
    <row r="91" ht="20" customHeight="1">
      <c r="A91" s="6" t="inlineStr">
        <is>
          <t>Project &amp; Program Management — 18 people</t>
        </is>
      </c>
    </row>
    <row r="92" ht="15" customHeight="1">
      <c r="A92" s="7" t="inlineStr">
        <is>
          <t>Level</t>
        </is>
      </c>
      <c r="B92" s="7" t="inlineStr">
        <is>
          <t>Band</t>
        </is>
      </c>
      <c r="C92" s="7" t="inlineStr">
        <is>
          <t>Individual contributor / POD Lead path</t>
        </is>
      </c>
      <c r="D92" s="7" t="inlineStr">
        <is>
          <t>People manager path</t>
        </is>
      </c>
      <c r="E92" s="7" t="inlineStr">
        <is>
          <t>Player-Coach</t>
        </is>
      </c>
      <c r="F92" s="7" t="inlineStr">
        <is>
          <t>People</t>
        </is>
      </c>
    </row>
    <row r="93" ht="41" customHeight="1">
      <c r="A93" s="21" t="inlineStr">
        <is>
          <t>B1</t>
        </is>
      </c>
      <c r="B93" s="43" t="inlineStr">
        <is>
          <t>B</t>
        </is>
      </c>
      <c r="C93" s="22" t="inlineStr">
        <is>
          <t>Associate Project Manager ×2; Associate Project Manager – POD Lead; Project Manager – POD Lead</t>
        </is>
      </c>
      <c r="D93" s="22" t="inlineStr">
        <is>
          <t>—</t>
        </is>
      </c>
      <c r="E93" s="22" t="inlineStr">
        <is>
          <t>—</t>
        </is>
      </c>
      <c r="F93" s="43" t="n">
        <v>4</v>
      </c>
    </row>
    <row r="94" ht="28" customHeight="1">
      <c r="A94" s="21" t="inlineStr">
        <is>
          <t>B2</t>
        </is>
      </c>
      <c r="B94" s="43" t="inlineStr">
        <is>
          <t>B</t>
        </is>
      </c>
      <c r="C94" s="22" t="inlineStr">
        <is>
          <t>Project Manager ×2</t>
        </is>
      </c>
      <c r="D94" s="22" t="inlineStr">
        <is>
          <t>Delivery Manager ×4; Project Manager ×3; PMO Manager</t>
        </is>
      </c>
      <c r="E94" s="22" t="inlineStr">
        <is>
          <t>—</t>
        </is>
      </c>
      <c r="F94" s="43" t="n">
        <v>10</v>
      </c>
    </row>
    <row r="95" ht="15" customHeight="1">
      <c r="A95" s="21" t="inlineStr">
        <is>
          <t>B3</t>
        </is>
      </c>
      <c r="B95" s="43" t="inlineStr">
        <is>
          <t>B</t>
        </is>
      </c>
      <c r="C95" s="22" t="inlineStr">
        <is>
          <t>Program Manager; Agile Coach</t>
        </is>
      </c>
      <c r="D95" s="22" t="inlineStr">
        <is>
          <t>—</t>
        </is>
      </c>
      <c r="E95" s="22" t="inlineStr">
        <is>
          <t>—</t>
        </is>
      </c>
      <c r="F95" s="43" t="n">
        <v>2</v>
      </c>
    </row>
    <row r="96" ht="28" customHeight="1">
      <c r="A96" s="24" t="inlineStr">
        <is>
          <t>B+</t>
        </is>
      </c>
      <c r="B96" s="44" t="inlineStr">
        <is>
          <t>B+</t>
        </is>
      </c>
      <c r="C96" s="25" t="inlineStr">
        <is>
          <t>—</t>
        </is>
      </c>
      <c r="D96" s="25" t="inlineStr">
        <is>
          <t>—</t>
        </is>
      </c>
      <c r="E96" s="25" t="inlineStr">
        <is>
          <t>Practice Lead – Project &amp; Program Delivery · Player-Coach</t>
        </is>
      </c>
      <c r="F96" s="44" t="n">
        <v>1</v>
      </c>
    </row>
    <row r="97" ht="15" customHeight="1">
      <c r="A97" s="27" t="inlineStr">
        <is>
          <t>C2</t>
        </is>
      </c>
      <c r="B97" s="45" t="inlineStr">
        <is>
          <t>C</t>
        </is>
      </c>
      <c r="C97" s="28" t="inlineStr">
        <is>
          <t>—</t>
        </is>
      </c>
      <c r="D97" s="28" t="inlineStr">
        <is>
          <t>Head – Delivery</t>
        </is>
      </c>
      <c r="E97" s="28" t="inlineStr">
        <is>
          <t>—</t>
        </is>
      </c>
      <c r="F97" s="45" t="n">
        <v>1</v>
      </c>
    </row>
    <row r="98" ht="15" customHeight="1"/>
    <row r="99" ht="20" customHeight="1">
      <c r="A99" s="6" t="inlineStr">
        <is>
          <t>Product Management — 15 people</t>
        </is>
      </c>
    </row>
    <row r="100" ht="15" customHeight="1">
      <c r="A100" s="7" t="inlineStr">
        <is>
          <t>Level</t>
        </is>
      </c>
      <c r="B100" s="7" t="inlineStr">
        <is>
          <t>Band</t>
        </is>
      </c>
      <c r="C100" s="7" t="inlineStr">
        <is>
          <t>Individual contributor / POD Lead path</t>
        </is>
      </c>
      <c r="D100" s="7" t="inlineStr">
        <is>
          <t>People manager path</t>
        </is>
      </c>
      <c r="E100" s="7" t="inlineStr">
        <is>
          <t>Player-Coach</t>
        </is>
      </c>
      <c r="F100" s="7" t="inlineStr">
        <is>
          <t>People</t>
        </is>
      </c>
    </row>
    <row r="101" ht="15" customHeight="1">
      <c r="A101" s="18" t="inlineStr">
        <is>
          <t>A1</t>
        </is>
      </c>
      <c r="B101" s="42" t="inlineStr">
        <is>
          <t>A</t>
        </is>
      </c>
      <c r="C101" s="19" t="inlineStr">
        <is>
          <t>Intern – Product Operations &amp; Research</t>
        </is>
      </c>
      <c r="D101" s="19" t="inlineStr">
        <is>
          <t>—</t>
        </is>
      </c>
      <c r="E101" s="19" t="inlineStr">
        <is>
          <t>—</t>
        </is>
      </c>
      <c r="F101" s="42" t="n">
        <v>1</v>
      </c>
    </row>
    <row r="102" ht="28" customHeight="1">
      <c r="A102" s="18" t="inlineStr">
        <is>
          <t>A3</t>
        </is>
      </c>
      <c r="B102" s="42" t="inlineStr">
        <is>
          <t>A</t>
        </is>
      </c>
      <c r="C102" s="19" t="inlineStr">
        <is>
          <t>Senior Product Associate; Senior Product Analyst</t>
        </is>
      </c>
      <c r="D102" s="19" t="inlineStr">
        <is>
          <t>—</t>
        </is>
      </c>
      <c r="E102" s="19" t="inlineStr">
        <is>
          <t>—</t>
        </is>
      </c>
      <c r="F102" s="42" t="n">
        <v>2</v>
      </c>
    </row>
    <row r="103" ht="28" customHeight="1">
      <c r="A103" s="21" t="inlineStr">
        <is>
          <t>B1</t>
        </is>
      </c>
      <c r="B103" s="43" t="inlineStr">
        <is>
          <t>B</t>
        </is>
      </c>
      <c r="C103" s="22" t="inlineStr">
        <is>
          <t>Associate Product Manager – POD Lead ×3; Associate Product Manager ×2</t>
        </is>
      </c>
      <c r="D103" s="22" t="inlineStr">
        <is>
          <t>—</t>
        </is>
      </c>
      <c r="E103" s="22" t="inlineStr">
        <is>
          <t>—</t>
        </is>
      </c>
      <c r="F103" s="43" t="n">
        <v>5</v>
      </c>
    </row>
    <row r="104" ht="15" customHeight="1">
      <c r="A104" s="21" t="inlineStr">
        <is>
          <t>B2</t>
        </is>
      </c>
      <c r="B104" s="43" t="inlineStr">
        <is>
          <t>B</t>
        </is>
      </c>
      <c r="C104" s="22" t="inlineStr">
        <is>
          <t>Product Manager ×2</t>
        </is>
      </c>
      <c r="D104" s="22" t="inlineStr">
        <is>
          <t>Product Manager ×4</t>
        </is>
      </c>
      <c r="E104" s="22" t="inlineStr">
        <is>
          <t>—</t>
        </is>
      </c>
      <c r="F104" s="43" t="n">
        <v>6</v>
      </c>
    </row>
    <row r="105" ht="15" customHeight="1">
      <c r="A105" s="21" t="inlineStr">
        <is>
          <t>B3</t>
        </is>
      </c>
      <c r="B105" s="43" t="inlineStr">
        <is>
          <t>B</t>
        </is>
      </c>
      <c r="C105" s="22" t="inlineStr">
        <is>
          <t>Senior Product Manager</t>
        </is>
      </c>
      <c r="D105" s="22" t="inlineStr">
        <is>
          <t>—</t>
        </is>
      </c>
      <c r="E105" s="22" t="inlineStr">
        <is>
          <t>—</t>
        </is>
      </c>
      <c r="F105" s="43" t="n">
        <v>1</v>
      </c>
    </row>
    <row r="106" ht="15" customHeight="1"/>
    <row r="107" ht="20" customHeight="1">
      <c r="A107" s="6" t="inlineStr">
        <is>
          <t>IT &amp; Infrastructure — 13 people</t>
        </is>
      </c>
    </row>
    <row r="108" ht="15" customHeight="1">
      <c r="A108" s="7" t="inlineStr">
        <is>
          <t>Level</t>
        </is>
      </c>
      <c r="B108" s="7" t="inlineStr">
        <is>
          <t>Band</t>
        </is>
      </c>
      <c r="C108" s="7" t="inlineStr">
        <is>
          <t>Individual contributor / POD Lead path</t>
        </is>
      </c>
      <c r="D108" s="7" t="inlineStr">
        <is>
          <t>People manager path</t>
        </is>
      </c>
      <c r="E108" s="7" t="inlineStr">
        <is>
          <t>Player-Coach</t>
        </is>
      </c>
      <c r="F108" s="7" t="inlineStr">
        <is>
          <t>People</t>
        </is>
      </c>
    </row>
    <row r="109" ht="41" customHeight="1">
      <c r="A109" s="18" t="inlineStr">
        <is>
          <t>A3</t>
        </is>
      </c>
      <c r="B109" s="42" t="inlineStr">
        <is>
          <t>A</t>
        </is>
      </c>
      <c r="C109" s="19" t="inlineStr">
        <is>
          <t>Senior System Administrator ×7; Infrastructure Specialist; Senior Desktop Support Engineer</t>
        </is>
      </c>
      <c r="D109" s="19" t="inlineStr">
        <is>
          <t>—</t>
        </is>
      </c>
      <c r="E109" s="19" t="inlineStr">
        <is>
          <t>—</t>
        </is>
      </c>
      <c r="F109" s="42" t="n">
        <v>9</v>
      </c>
    </row>
    <row r="110" ht="28" customHeight="1">
      <c r="A110" s="21" t="inlineStr">
        <is>
          <t>B1</t>
        </is>
      </c>
      <c r="B110" s="43" t="inlineStr">
        <is>
          <t>B</t>
        </is>
      </c>
      <c r="C110" s="22" t="inlineStr">
        <is>
          <t>Infrastructure Specialist; Infrastructure Specialist – POD Lead</t>
        </is>
      </c>
      <c r="D110" s="22" t="inlineStr">
        <is>
          <t>IT Infrastructure Manager</t>
        </is>
      </c>
      <c r="E110" s="22" t="inlineStr">
        <is>
          <t>—</t>
        </is>
      </c>
      <c r="F110" s="43" t="n">
        <v>3</v>
      </c>
    </row>
    <row r="111" ht="15" customHeight="1">
      <c r="A111" s="21" t="inlineStr">
        <is>
          <t>B2</t>
        </is>
      </c>
      <c r="B111" s="43" t="inlineStr">
        <is>
          <t>B</t>
        </is>
      </c>
      <c r="C111" s="22" t="inlineStr">
        <is>
          <t>—</t>
        </is>
      </c>
      <c r="D111" s="22" t="inlineStr">
        <is>
          <t>Senior IT Manager</t>
        </is>
      </c>
      <c r="E111" s="22" t="inlineStr">
        <is>
          <t>—</t>
        </is>
      </c>
      <c r="F111" s="43" t="n">
        <v>1</v>
      </c>
    </row>
    <row r="112" ht="15" customHeight="1"/>
    <row r="113" ht="20" customHeight="1">
      <c r="A113" s="6" t="inlineStr">
        <is>
          <t>Data &amp; Analytics — 11 people</t>
        </is>
      </c>
    </row>
    <row r="114" ht="15" customHeight="1">
      <c r="A114" s="7" t="inlineStr">
        <is>
          <t>Level</t>
        </is>
      </c>
      <c r="B114" s="7" t="inlineStr">
        <is>
          <t>Band</t>
        </is>
      </c>
      <c r="C114" s="7" t="inlineStr">
        <is>
          <t>Individual contributor / POD Lead path</t>
        </is>
      </c>
      <c r="D114" s="7" t="inlineStr">
        <is>
          <t>People manager path</t>
        </is>
      </c>
      <c r="E114" s="7" t="inlineStr">
        <is>
          <t>Player-Coach</t>
        </is>
      </c>
      <c r="F114" s="7" t="inlineStr">
        <is>
          <t>People</t>
        </is>
      </c>
    </row>
    <row r="115" ht="15" customHeight="1">
      <c r="A115" s="18" t="inlineStr">
        <is>
          <t>A2</t>
        </is>
      </c>
      <c r="B115" s="42" t="inlineStr">
        <is>
          <t>A</t>
        </is>
      </c>
      <c r="C115" s="19" t="inlineStr">
        <is>
          <t>MIS Associate</t>
        </is>
      </c>
      <c r="D115" s="19" t="inlineStr">
        <is>
          <t>—</t>
        </is>
      </c>
      <c r="E115" s="19" t="inlineStr">
        <is>
          <t>—</t>
        </is>
      </c>
      <c r="F115" s="42" t="n">
        <v>1</v>
      </c>
    </row>
    <row r="116" ht="15" customHeight="1">
      <c r="A116" s="18" t="inlineStr">
        <is>
          <t>A3</t>
        </is>
      </c>
      <c r="B116" s="42" t="inlineStr">
        <is>
          <t>A</t>
        </is>
      </c>
      <c r="C116" s="19" t="inlineStr">
        <is>
          <t>Senior Data Analyst ×7; MIS Specialist</t>
        </is>
      </c>
      <c r="D116" s="19" t="inlineStr">
        <is>
          <t>—</t>
        </is>
      </c>
      <c r="E116" s="19" t="inlineStr">
        <is>
          <t>—</t>
        </is>
      </c>
      <c r="F116" s="42" t="n">
        <v>8</v>
      </c>
    </row>
    <row r="117" ht="15" customHeight="1">
      <c r="A117" s="21" t="inlineStr">
        <is>
          <t>B1</t>
        </is>
      </c>
      <c r="B117" s="43" t="inlineStr">
        <is>
          <t>B</t>
        </is>
      </c>
      <c r="C117" s="22" t="inlineStr">
        <is>
          <t>Data Specialist</t>
        </is>
      </c>
      <c r="D117" s="22" t="inlineStr">
        <is>
          <t>—</t>
        </is>
      </c>
      <c r="E117" s="22" t="inlineStr">
        <is>
          <t>—</t>
        </is>
      </c>
      <c r="F117" s="43" t="n">
        <v>1</v>
      </c>
    </row>
    <row r="118" ht="15" customHeight="1">
      <c r="A118" s="21" t="inlineStr">
        <is>
          <t>B2</t>
        </is>
      </c>
      <c r="B118" s="43" t="inlineStr">
        <is>
          <t>B</t>
        </is>
      </c>
      <c r="C118" s="22" t="inlineStr">
        <is>
          <t>—</t>
        </is>
      </c>
      <c r="D118" s="22" t="inlineStr">
        <is>
          <t>Data Operations Manager</t>
        </is>
      </c>
      <c r="E118" s="22" t="inlineStr">
        <is>
          <t>—</t>
        </is>
      </c>
      <c r="F118" s="43" t="n">
        <v>1</v>
      </c>
    </row>
    <row r="119" ht="15" customHeight="1"/>
    <row r="120" ht="20" customHeight="1">
      <c r="A120" s="6" t="inlineStr">
        <is>
          <t>Executive Leadership — 11 people</t>
        </is>
      </c>
    </row>
    <row r="121" ht="15" customHeight="1">
      <c r="A121" s="7" t="inlineStr">
        <is>
          <t>Level</t>
        </is>
      </c>
      <c r="B121" s="7" t="inlineStr">
        <is>
          <t>Band</t>
        </is>
      </c>
      <c r="C121" s="7" t="inlineStr">
        <is>
          <t>Individual contributor / POD Lead path</t>
        </is>
      </c>
      <c r="D121" s="7" t="inlineStr">
        <is>
          <t>People manager path</t>
        </is>
      </c>
      <c r="E121" s="7" t="inlineStr">
        <is>
          <t>Player-Coach</t>
        </is>
      </c>
      <c r="F121" s="7" t="inlineStr">
        <is>
          <t>People</t>
        </is>
      </c>
    </row>
    <row r="122" ht="28" customHeight="1">
      <c r="A122" s="33" t="inlineStr">
        <is>
          <t>D1</t>
        </is>
      </c>
      <c r="B122" s="47" t="inlineStr">
        <is>
          <t>D</t>
        </is>
      </c>
      <c r="C122" s="34" t="inlineStr">
        <is>
          <t>—</t>
        </is>
      </c>
      <c r="D122" s="34" t="inlineStr">
        <is>
          <t>Senior Vice President – Customer Experience; Business Head – iDEAL</t>
        </is>
      </c>
      <c r="E122" s="34" t="inlineStr">
        <is>
          <t>—</t>
        </is>
      </c>
      <c r="F122" s="47" t="n">
        <v>2</v>
      </c>
    </row>
    <row r="123" ht="28" customHeight="1">
      <c r="A123" s="33" t="inlineStr">
        <is>
          <t>D2</t>
        </is>
      </c>
      <c r="B123" s="47" t="inlineStr">
        <is>
          <t>D</t>
        </is>
      </c>
      <c r="C123" s="34" t="inlineStr">
        <is>
          <t>—</t>
        </is>
      </c>
      <c r="D123" s="34" t="inlineStr">
        <is>
          <t>Business Head; Business Head – SupTech &amp; Bank-RegTech; Business Head – DataTech</t>
        </is>
      </c>
      <c r="E123" s="34" t="inlineStr">
        <is>
          <t>—</t>
        </is>
      </c>
      <c r="F123" s="47" t="n">
        <v>3</v>
      </c>
    </row>
    <row r="124" ht="28" customHeight="1">
      <c r="A124" s="36" t="inlineStr">
        <is>
          <t>E1</t>
        </is>
      </c>
      <c r="B124" s="48" t="inlineStr">
        <is>
          <t>E</t>
        </is>
      </c>
      <c r="C124" s="37" t="inlineStr">
        <is>
          <t>—</t>
        </is>
      </c>
      <c r="D124" s="37" t="inlineStr">
        <is>
          <t>Chief Revenue Officer; Chief Financial Officer; Chief Operating Officer; +1 more</t>
        </is>
      </c>
      <c r="E124" s="37" t="inlineStr">
        <is>
          <t>—</t>
        </is>
      </c>
      <c r="F124" s="48" t="n">
        <v>4</v>
      </c>
    </row>
    <row r="125" ht="15" customHeight="1">
      <c r="A125" s="36" t="inlineStr">
        <is>
          <t>E2</t>
        </is>
      </c>
      <c r="B125" s="48" t="inlineStr">
        <is>
          <t>E</t>
        </is>
      </c>
      <c r="C125" s="37" t="inlineStr">
        <is>
          <t>—</t>
        </is>
      </c>
      <c r="D125" s="37" t="inlineStr">
        <is>
          <t>Chief Executive Officer</t>
        </is>
      </c>
      <c r="E125" s="37" t="inlineStr">
        <is>
          <t>—</t>
        </is>
      </c>
      <c r="F125" s="48" t="n">
        <v>1</v>
      </c>
    </row>
    <row r="126" ht="15" customHeight="1">
      <c r="A126" s="39" t="inlineStr">
        <is>
          <t>X3</t>
        </is>
      </c>
      <c r="B126" s="49" t="inlineStr">
        <is>
          <t>X</t>
        </is>
      </c>
      <c r="C126" s="40" t="inlineStr">
        <is>
          <t>Senior Consultant – Enterprise Leadership</t>
        </is>
      </c>
      <c r="D126" s="40" t="inlineStr">
        <is>
          <t>—</t>
        </is>
      </c>
      <c r="E126" s="40" t="inlineStr">
        <is>
          <t>—</t>
        </is>
      </c>
      <c r="F126" s="49" t="n">
        <v>1</v>
      </c>
    </row>
    <row r="127" ht="15" customHeight="1"/>
    <row r="128" ht="20" customHeight="1">
      <c r="A128" s="6" t="inlineStr">
        <is>
          <t>Finance &amp; Accounts — 10 people</t>
        </is>
      </c>
    </row>
    <row r="129" ht="15" customHeight="1">
      <c r="A129" s="7" t="inlineStr">
        <is>
          <t>Level</t>
        </is>
      </c>
      <c r="B129" s="7" t="inlineStr">
        <is>
          <t>Band</t>
        </is>
      </c>
      <c r="C129" s="7" t="inlineStr">
        <is>
          <t>Individual contributor / POD Lead path</t>
        </is>
      </c>
      <c r="D129" s="7" t="inlineStr">
        <is>
          <t>People manager path</t>
        </is>
      </c>
      <c r="E129" s="7" t="inlineStr">
        <is>
          <t>Player-Coach</t>
        </is>
      </c>
      <c r="F129" s="7" t="inlineStr">
        <is>
          <t>People</t>
        </is>
      </c>
    </row>
    <row r="130" ht="15" customHeight="1">
      <c r="A130" s="18" t="inlineStr">
        <is>
          <t>A3</t>
        </is>
      </c>
      <c r="B130" s="42" t="inlineStr">
        <is>
          <t>A</t>
        </is>
      </c>
      <c r="C130" s="19" t="inlineStr">
        <is>
          <t>Senior Accounts Executive ×2</t>
        </is>
      </c>
      <c r="D130" s="19" t="inlineStr">
        <is>
          <t>—</t>
        </is>
      </c>
      <c r="E130" s="19" t="inlineStr">
        <is>
          <t>—</t>
        </is>
      </c>
      <c r="F130" s="42" t="n">
        <v>2</v>
      </c>
    </row>
    <row r="131" ht="41" customHeight="1">
      <c r="A131" s="21" t="inlineStr">
        <is>
          <t>B1</t>
        </is>
      </c>
      <c r="B131" s="43" t="inlineStr">
        <is>
          <t>B</t>
        </is>
      </c>
      <c r="C131" s="22" t="inlineStr">
        <is>
          <t>Finance Specialist ×2; Accounts Specialist – POD Lead ×2; Finance Specialist – POD Lead</t>
        </is>
      </c>
      <c r="D131" s="22" t="inlineStr">
        <is>
          <t>—</t>
        </is>
      </c>
      <c r="E131" s="22" t="inlineStr">
        <is>
          <t>—</t>
        </is>
      </c>
      <c r="F131" s="43" t="n">
        <v>5</v>
      </c>
    </row>
    <row r="132" ht="15" customHeight="1">
      <c r="A132" s="21" t="inlineStr">
        <is>
          <t>B2</t>
        </is>
      </c>
      <c r="B132" s="43" t="inlineStr">
        <is>
          <t>B</t>
        </is>
      </c>
      <c r="C132" s="22" t="inlineStr">
        <is>
          <t>Senior Finance Specialist – POD Lead</t>
        </is>
      </c>
      <c r="D132" s="22" t="inlineStr">
        <is>
          <t>—</t>
        </is>
      </c>
      <c r="E132" s="22" t="inlineStr">
        <is>
          <t>—</t>
        </is>
      </c>
      <c r="F132" s="43" t="n">
        <v>1</v>
      </c>
    </row>
    <row r="133" ht="28" customHeight="1">
      <c r="A133" s="27" t="inlineStr">
        <is>
          <t>C1</t>
        </is>
      </c>
      <c r="B133" s="45" t="inlineStr">
        <is>
          <t>C</t>
        </is>
      </c>
      <c r="C133" s="28" t="inlineStr">
        <is>
          <t>—</t>
        </is>
      </c>
      <c r="D133" s="28" t="inlineStr">
        <is>
          <t>Associate Head – Admin &amp; Internal Audit; Associate Head – Finance &amp; Accounts</t>
        </is>
      </c>
      <c r="E133" s="28" t="inlineStr">
        <is>
          <t>—</t>
        </is>
      </c>
      <c r="F133" s="45" t="n">
        <v>2</v>
      </c>
    </row>
    <row r="134" ht="15" customHeight="1"/>
    <row r="135" ht="20" customHeight="1">
      <c r="A135" s="6" t="inlineStr">
        <is>
          <t>Engineering &amp; Architecture — 10 people</t>
        </is>
      </c>
    </row>
    <row r="136" ht="15" customHeight="1">
      <c r="A136" s="7" t="inlineStr">
        <is>
          <t>Level</t>
        </is>
      </c>
      <c r="B136" s="7" t="inlineStr">
        <is>
          <t>Band</t>
        </is>
      </c>
      <c r="C136" s="7" t="inlineStr">
        <is>
          <t>Individual contributor / POD Lead path</t>
        </is>
      </c>
      <c r="D136" s="7" t="inlineStr">
        <is>
          <t>People manager path</t>
        </is>
      </c>
      <c r="E136" s="7" t="inlineStr">
        <is>
          <t>Player-Coach</t>
        </is>
      </c>
      <c r="F136" s="7" t="inlineStr">
        <is>
          <t>People</t>
        </is>
      </c>
    </row>
    <row r="137" ht="41" customHeight="1">
      <c r="A137" s="21" t="inlineStr">
        <is>
          <t>B3</t>
        </is>
      </c>
      <c r="B137" s="43" t="inlineStr">
        <is>
          <t>B</t>
        </is>
      </c>
      <c r="C137" s="22" t="inlineStr">
        <is>
          <t>Technical Architect; Associate Technical Architect – POD Lead; Associate Technical Architect</t>
        </is>
      </c>
      <c r="D137" s="22" t="inlineStr">
        <is>
          <t>—</t>
        </is>
      </c>
      <c r="E137" s="22" t="inlineStr">
        <is>
          <t>—</t>
        </is>
      </c>
      <c r="F137" s="43" t="n">
        <v>3</v>
      </c>
    </row>
    <row r="138" ht="41" customHeight="1">
      <c r="A138" s="24" t="inlineStr">
        <is>
          <t>B+</t>
        </is>
      </c>
      <c r="B138" s="44" t="inlineStr">
        <is>
          <t>B+</t>
        </is>
      </c>
      <c r="C138" s="25" t="inlineStr">
        <is>
          <t>—</t>
        </is>
      </c>
      <c r="D138" s="25" t="inlineStr">
        <is>
          <t>—</t>
        </is>
      </c>
      <c r="E138" s="25" t="inlineStr">
        <is>
          <t>Practice Lead – Solution &amp; Technical Architecture · Player-Coach ×5</t>
        </is>
      </c>
      <c r="F138" s="44" t="n">
        <v>5</v>
      </c>
    </row>
    <row r="139" ht="15" customHeight="1">
      <c r="A139" s="27" t="inlineStr">
        <is>
          <t>C1</t>
        </is>
      </c>
      <c r="B139" s="45" t="inlineStr">
        <is>
          <t>C</t>
        </is>
      </c>
      <c r="C139" s="28" t="inlineStr">
        <is>
          <t>Technical Architect; Solution Architect</t>
        </is>
      </c>
      <c r="D139" s="28" t="inlineStr">
        <is>
          <t>—</t>
        </is>
      </c>
      <c r="E139" s="28" t="inlineStr">
        <is>
          <t>—</t>
        </is>
      </c>
      <c r="F139" s="45" t="n">
        <v>2</v>
      </c>
    </row>
    <row r="140" ht="15" customHeight="1"/>
    <row r="141" ht="20" customHeight="1">
      <c r="A141" s="6" t="inlineStr">
        <is>
          <t>Administration, Legal &amp; Secretarial — 9 people</t>
        </is>
      </c>
    </row>
    <row r="142" ht="15" customHeight="1">
      <c r="A142" s="7" t="inlineStr">
        <is>
          <t>Level</t>
        </is>
      </c>
      <c r="B142" s="7" t="inlineStr">
        <is>
          <t>Band</t>
        </is>
      </c>
      <c r="C142" s="7" t="inlineStr">
        <is>
          <t>Individual contributor / POD Lead path</t>
        </is>
      </c>
      <c r="D142" s="7" t="inlineStr">
        <is>
          <t>People manager path</t>
        </is>
      </c>
      <c r="E142" s="7" t="inlineStr">
        <is>
          <t>Player-Coach</t>
        </is>
      </c>
      <c r="F142" s="7" t="inlineStr">
        <is>
          <t>People</t>
        </is>
      </c>
    </row>
    <row r="143" ht="15" customHeight="1">
      <c r="A143" s="18" t="inlineStr">
        <is>
          <t>A1</t>
        </is>
      </c>
      <c r="B143" s="42" t="inlineStr">
        <is>
          <t>A</t>
        </is>
      </c>
      <c r="C143" s="19" t="inlineStr">
        <is>
          <t>Intern – Company Secretarial &amp; Legal</t>
        </is>
      </c>
      <c r="D143" s="19" t="inlineStr">
        <is>
          <t>—</t>
        </is>
      </c>
      <c r="E143" s="19" t="inlineStr">
        <is>
          <t>—</t>
        </is>
      </c>
      <c r="F143" s="42" t="n">
        <v>1</v>
      </c>
    </row>
    <row r="144" ht="28" customHeight="1">
      <c r="A144" s="18" t="inlineStr">
        <is>
          <t>A3</t>
        </is>
      </c>
      <c r="B144" s="42" t="inlineStr">
        <is>
          <t>A</t>
        </is>
      </c>
      <c r="C144" s="19" t="inlineStr">
        <is>
          <t>Senior Administration Executive ×4; Senior Secretarial Executive</t>
        </is>
      </c>
      <c r="D144" s="19" t="inlineStr">
        <is>
          <t>—</t>
        </is>
      </c>
      <c r="E144" s="19" t="inlineStr">
        <is>
          <t>—</t>
        </is>
      </c>
      <c r="F144" s="42" t="n">
        <v>5</v>
      </c>
    </row>
    <row r="145" ht="15" customHeight="1">
      <c r="A145" s="21" t="inlineStr">
        <is>
          <t>B2</t>
        </is>
      </c>
      <c r="B145" s="43" t="inlineStr">
        <is>
          <t>B</t>
        </is>
      </c>
      <c r="C145" s="22" t="inlineStr">
        <is>
          <t>—</t>
        </is>
      </c>
      <c r="D145" s="22" t="inlineStr">
        <is>
          <t>Manager – Administration</t>
        </is>
      </c>
      <c r="E145" s="22" t="inlineStr">
        <is>
          <t>—</t>
        </is>
      </c>
      <c r="F145" s="43" t="n">
        <v>1</v>
      </c>
    </row>
    <row r="146" ht="15" customHeight="1">
      <c r="A146" s="27" t="inlineStr">
        <is>
          <t>C1</t>
        </is>
      </c>
      <c r="B146" s="45" t="inlineStr">
        <is>
          <t>C</t>
        </is>
      </c>
      <c r="C146" s="28" t="inlineStr">
        <is>
          <t>Company Secretary – POD Lead</t>
        </is>
      </c>
      <c r="D146" s="28" t="inlineStr">
        <is>
          <t>—</t>
        </is>
      </c>
      <c r="E146" s="28" t="inlineStr">
        <is>
          <t>—</t>
        </is>
      </c>
      <c r="F146" s="45" t="n">
        <v>1</v>
      </c>
    </row>
    <row r="147" ht="28" customHeight="1">
      <c r="A147" s="39" t="inlineStr">
        <is>
          <t>X1</t>
        </is>
      </c>
      <c r="B147" s="49" t="inlineStr">
        <is>
          <t>X</t>
        </is>
      </c>
      <c r="C147" s="40" t="inlineStr">
        <is>
          <t>Associate Consultant – Administration &amp; Facilities</t>
        </is>
      </c>
      <c r="D147" s="40" t="inlineStr">
        <is>
          <t>—</t>
        </is>
      </c>
      <c r="E147" s="40" t="inlineStr">
        <is>
          <t>—</t>
        </is>
      </c>
      <c r="F147" s="49" t="n">
        <v>1</v>
      </c>
    </row>
    <row r="148" ht="15" customHeight="1"/>
    <row r="149" ht="20" customHeight="1">
      <c r="A149" s="6" t="inlineStr">
        <is>
          <t>Human Resources — 8 people</t>
        </is>
      </c>
    </row>
    <row r="150" ht="15" customHeight="1">
      <c r="A150" s="7" t="inlineStr">
        <is>
          <t>Level</t>
        </is>
      </c>
      <c r="B150" s="7" t="inlineStr">
        <is>
          <t>Band</t>
        </is>
      </c>
      <c r="C150" s="7" t="inlineStr">
        <is>
          <t>Individual contributor / POD Lead path</t>
        </is>
      </c>
      <c r="D150" s="7" t="inlineStr">
        <is>
          <t>People manager path</t>
        </is>
      </c>
      <c r="E150" s="7" t="inlineStr">
        <is>
          <t>Player-Coach</t>
        </is>
      </c>
      <c r="F150" s="7" t="inlineStr">
        <is>
          <t>People</t>
        </is>
      </c>
    </row>
    <row r="151" ht="15" customHeight="1">
      <c r="A151" s="18" t="inlineStr">
        <is>
          <t>A2</t>
        </is>
      </c>
      <c r="B151" s="42" t="inlineStr">
        <is>
          <t>A</t>
        </is>
      </c>
      <c r="C151" s="19" t="inlineStr">
        <is>
          <t>HR Executive</t>
        </is>
      </c>
      <c r="D151" s="19" t="inlineStr">
        <is>
          <t>—</t>
        </is>
      </c>
      <c r="E151" s="19" t="inlineStr">
        <is>
          <t>—</t>
        </is>
      </c>
      <c r="F151" s="42" t="n">
        <v>1</v>
      </c>
    </row>
    <row r="152" ht="15" customHeight="1">
      <c r="A152" s="18" t="inlineStr">
        <is>
          <t>A3</t>
        </is>
      </c>
      <c r="B152" s="42" t="inlineStr">
        <is>
          <t>A</t>
        </is>
      </c>
      <c r="C152" s="19" t="inlineStr">
        <is>
          <t>Senior Talent Acquisition Executive ×2</t>
        </is>
      </c>
      <c r="D152" s="19" t="inlineStr">
        <is>
          <t>—</t>
        </is>
      </c>
      <c r="E152" s="19" t="inlineStr">
        <is>
          <t>—</t>
        </is>
      </c>
      <c r="F152" s="42" t="n">
        <v>2</v>
      </c>
    </row>
    <row r="153" ht="15" customHeight="1">
      <c r="A153" s="21" t="inlineStr">
        <is>
          <t>B1</t>
        </is>
      </c>
      <c r="B153" s="43" t="inlineStr">
        <is>
          <t>B</t>
        </is>
      </c>
      <c r="C153" s="22" t="inlineStr">
        <is>
          <t>HR Specialist; HR Specialist – POD Lead</t>
        </is>
      </c>
      <c r="D153" s="22" t="inlineStr">
        <is>
          <t>—</t>
        </is>
      </c>
      <c r="E153" s="22" t="inlineStr">
        <is>
          <t>—</t>
        </is>
      </c>
      <c r="F153" s="43" t="n">
        <v>2</v>
      </c>
    </row>
    <row r="154" ht="15" customHeight="1">
      <c r="A154" s="21" t="inlineStr">
        <is>
          <t>B2</t>
        </is>
      </c>
      <c r="B154" s="43" t="inlineStr">
        <is>
          <t>B</t>
        </is>
      </c>
      <c r="C154" s="22" t="inlineStr">
        <is>
          <t>Senior Talent Acquisition Specialist</t>
        </is>
      </c>
      <c r="D154" s="22" t="inlineStr">
        <is>
          <t>—</t>
        </is>
      </c>
      <c r="E154" s="22" t="inlineStr">
        <is>
          <t>—</t>
        </is>
      </c>
      <c r="F154" s="43" t="n">
        <v>1</v>
      </c>
    </row>
    <row r="155" ht="15" customHeight="1">
      <c r="A155" s="21" t="inlineStr">
        <is>
          <t>B3</t>
        </is>
      </c>
      <c r="B155" s="43" t="inlineStr">
        <is>
          <t>B</t>
        </is>
      </c>
      <c r="C155" s="22" t="inlineStr">
        <is>
          <t>Lead HR Specialist – Transformation &amp; OD</t>
        </is>
      </c>
      <c r="D155" s="22" t="inlineStr">
        <is>
          <t>—</t>
        </is>
      </c>
      <c r="E155" s="22" t="inlineStr">
        <is>
          <t>—</t>
        </is>
      </c>
      <c r="F155" s="43" t="n">
        <v>1</v>
      </c>
    </row>
    <row r="156" ht="15" customHeight="1">
      <c r="A156" s="33" t="inlineStr">
        <is>
          <t>D2</t>
        </is>
      </c>
      <c r="B156" s="47" t="inlineStr">
        <is>
          <t>D</t>
        </is>
      </c>
      <c r="C156" s="34" t="inlineStr">
        <is>
          <t>—</t>
        </is>
      </c>
      <c r="D156" s="34" t="inlineStr">
        <is>
          <t>Vice President – Human Resources</t>
        </is>
      </c>
      <c r="E156" s="34" t="inlineStr">
        <is>
          <t>—</t>
        </is>
      </c>
      <c r="F156" s="47" t="n">
        <v>1</v>
      </c>
    </row>
    <row r="157" ht="15" customHeight="1"/>
    <row r="158" ht="20" customHeight="1">
      <c r="A158" s="6" t="inlineStr">
        <is>
          <t>Solution Consulting &amp; Implementation — 7 people</t>
        </is>
      </c>
    </row>
    <row r="159" ht="15" customHeight="1">
      <c r="A159" s="7" t="inlineStr">
        <is>
          <t>Level</t>
        </is>
      </c>
      <c r="B159" s="7" t="inlineStr">
        <is>
          <t>Band</t>
        </is>
      </c>
      <c r="C159" s="7" t="inlineStr">
        <is>
          <t>Individual contributor / POD Lead path</t>
        </is>
      </c>
      <c r="D159" s="7" t="inlineStr">
        <is>
          <t>People manager path</t>
        </is>
      </c>
      <c r="E159" s="7" t="inlineStr">
        <is>
          <t>Player-Coach</t>
        </is>
      </c>
      <c r="F159" s="7" t="inlineStr">
        <is>
          <t>People</t>
        </is>
      </c>
    </row>
    <row r="160" ht="15" customHeight="1">
      <c r="A160" s="18" t="inlineStr">
        <is>
          <t>A3</t>
        </is>
      </c>
      <c r="B160" s="42" t="inlineStr">
        <is>
          <t>A</t>
        </is>
      </c>
      <c r="C160" s="19" t="inlineStr">
        <is>
          <t>Senior Functional Analyst</t>
        </is>
      </c>
      <c r="D160" s="19" t="inlineStr">
        <is>
          <t>—</t>
        </is>
      </c>
      <c r="E160" s="19" t="inlineStr">
        <is>
          <t>—</t>
        </is>
      </c>
      <c r="F160" s="42" t="n">
        <v>1</v>
      </c>
    </row>
    <row r="161" ht="28" customHeight="1">
      <c r="A161" s="21" t="inlineStr">
        <is>
          <t>B1</t>
        </is>
      </c>
      <c r="B161" s="43" t="inlineStr">
        <is>
          <t>B</t>
        </is>
      </c>
      <c r="C161" s="22" t="inlineStr">
        <is>
          <t>Functional Specialist ×4; Functional Specialist – POD Lead</t>
        </is>
      </c>
      <c r="D161" s="22" t="inlineStr">
        <is>
          <t>—</t>
        </is>
      </c>
      <c r="E161" s="22" t="inlineStr">
        <is>
          <t>—</t>
        </is>
      </c>
      <c r="F161" s="43" t="n">
        <v>5</v>
      </c>
    </row>
    <row r="162" ht="15" customHeight="1">
      <c r="A162" s="21" t="inlineStr">
        <is>
          <t>B2</t>
        </is>
      </c>
      <c r="B162" s="43" t="inlineStr">
        <is>
          <t>B</t>
        </is>
      </c>
      <c r="C162" s="22" t="inlineStr">
        <is>
          <t>Senior Functional Specialist</t>
        </is>
      </c>
      <c r="D162" s="22" t="inlineStr">
        <is>
          <t>—</t>
        </is>
      </c>
      <c r="E162" s="22" t="inlineStr">
        <is>
          <t>—</t>
        </is>
      </c>
      <c r="F162" s="43" t="n">
        <v>1</v>
      </c>
    </row>
    <row r="163" ht="15" customHeight="1"/>
    <row r="164" ht="20" customHeight="1">
      <c r="A164" s="6" t="inlineStr">
        <is>
          <t>Design &amp; Creative — 6 people</t>
        </is>
      </c>
    </row>
    <row r="165" ht="15" customHeight="1">
      <c r="A165" s="7" t="inlineStr">
        <is>
          <t>Level</t>
        </is>
      </c>
      <c r="B165" s="7" t="inlineStr">
        <is>
          <t>Band</t>
        </is>
      </c>
      <c r="C165" s="7" t="inlineStr">
        <is>
          <t>Individual contributor / POD Lead path</t>
        </is>
      </c>
      <c r="D165" s="7" t="inlineStr">
        <is>
          <t>People manager path</t>
        </is>
      </c>
      <c r="E165" s="7" t="inlineStr">
        <is>
          <t>Player-Coach</t>
        </is>
      </c>
      <c r="F165" s="7" t="inlineStr">
        <is>
          <t>People</t>
        </is>
      </c>
    </row>
    <row r="166" ht="15" customHeight="1">
      <c r="A166" s="18" t="inlineStr">
        <is>
          <t>A2</t>
        </is>
      </c>
      <c r="B166" s="42" t="inlineStr">
        <is>
          <t>A</t>
        </is>
      </c>
      <c r="C166" s="19" t="inlineStr">
        <is>
          <t>Designer</t>
        </is>
      </c>
      <c r="D166" s="19" t="inlineStr">
        <is>
          <t>—</t>
        </is>
      </c>
      <c r="E166" s="19" t="inlineStr">
        <is>
          <t>—</t>
        </is>
      </c>
      <c r="F166" s="42" t="n">
        <v>1</v>
      </c>
    </row>
    <row r="167" ht="28" customHeight="1">
      <c r="A167" s="18" t="inlineStr">
        <is>
          <t>A3</t>
        </is>
      </c>
      <c r="B167" s="42" t="inlineStr">
        <is>
          <t>A</t>
        </is>
      </c>
      <c r="C167" s="19" t="inlineStr">
        <is>
          <t>Senior Designer ×2; Senior Product Designer ×2</t>
        </is>
      </c>
      <c r="D167" s="19" t="inlineStr">
        <is>
          <t>—</t>
        </is>
      </c>
      <c r="E167" s="19" t="inlineStr">
        <is>
          <t>—</t>
        </is>
      </c>
      <c r="F167" s="42" t="n">
        <v>4</v>
      </c>
    </row>
    <row r="168" ht="15" customHeight="1">
      <c r="A168" s="21" t="inlineStr">
        <is>
          <t>B1</t>
        </is>
      </c>
      <c r="B168" s="43" t="inlineStr">
        <is>
          <t>B</t>
        </is>
      </c>
      <c r="C168" s="22" t="inlineStr">
        <is>
          <t>Design Specialist – POD Lead</t>
        </is>
      </c>
      <c r="D168" s="22" t="inlineStr">
        <is>
          <t>—</t>
        </is>
      </c>
      <c r="E168" s="22" t="inlineStr">
        <is>
          <t>—</t>
        </is>
      </c>
      <c r="F168" s="43" t="n">
        <v>1</v>
      </c>
    </row>
  </sheetData>
  <mergeCells count="30">
    <mergeCell ref="B9:E9"/>
    <mergeCell ref="A99:F99"/>
    <mergeCell ref="A128:F128"/>
    <mergeCell ref="A66:F66"/>
    <mergeCell ref="A164:F164"/>
    <mergeCell ref="B6:E6"/>
    <mergeCell ref="A120:F120"/>
    <mergeCell ref="A158:F158"/>
    <mergeCell ref="A74:F74"/>
    <mergeCell ref="A149:F149"/>
    <mergeCell ref="A56:F56"/>
    <mergeCell ref="A3:F3"/>
    <mergeCell ref="A113:F113"/>
    <mergeCell ref="A2:F2"/>
    <mergeCell ref="A14:F14"/>
    <mergeCell ref="A5:F5"/>
    <mergeCell ref="A141:F141"/>
    <mergeCell ref="B7:E7"/>
    <mergeCell ref="A135:F135"/>
    <mergeCell ref="A35:F35"/>
    <mergeCell ref="A91:F91"/>
    <mergeCell ref="B12:E12"/>
    <mergeCell ref="B11:E11"/>
    <mergeCell ref="A48:F48"/>
    <mergeCell ref="A107:F107"/>
    <mergeCell ref="A82:F82"/>
    <mergeCell ref="B8:E8"/>
    <mergeCell ref="A1:F1"/>
    <mergeCell ref="B10:E10"/>
    <mergeCell ref="A25:F25"/>
  </mergeCells>
  <hyperlinks>
    <hyperlink xmlns:r="http://schemas.openxmlformats.org/officeDocument/2006/relationships" ref="G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worksheet>
</file>

<file path=xl/worksheets/sheet22.xml><?xml version="1.0" encoding="utf-8"?>
<worksheet xmlns="http://schemas.openxmlformats.org/spreadsheetml/2006/main">
  <sheetPr>
    <tabColor rgb="00595959"/>
    <outlinePr summaryBelow="1" summaryRight="1"/>
    <pageSetUpPr fitToPage="1"/>
  </sheetPr>
  <dimension ref="A1:D46"/>
  <sheetViews>
    <sheetView showGridLines="0" workbookViewId="0">
      <pane ySplit="4" topLeftCell="A5" activePane="bottomLeft" state="frozen"/>
      <selection pane="bottomLeft" activeCell="A1" sqref="A1"/>
    </sheetView>
  </sheetViews>
  <sheetFormatPr baseColWidth="8" defaultRowHeight="15"/>
  <cols>
    <col width="8" customWidth="1" min="1" max="1"/>
    <col width="30" customWidth="1" min="2" max="2"/>
    <col width="90" customWidth="1" min="3" max="3"/>
    <col width="13" customWidth="1" min="4" max="4"/>
  </cols>
  <sheetData>
    <row r="1" ht="34" customHeight="1">
      <c r="A1" s="1" t="inlineStr">
        <is>
          <t>12 · Governance and change — who decides, how inputs come in, how the model changes</t>
        </is>
      </c>
      <c r="D1" s="99" t="inlineStr">
        <is>
          <t>◂ Contents</t>
        </is>
      </c>
    </row>
    <row r="2" ht="30" customHeight="1">
      <c r="A2" s="3" t="inlineStr">
        <is>
          <t>How the framework is owned, validated and kept current, and how pay will be attached once survey data is bought.</t>
        </is>
      </c>
    </row>
    <row r="3">
      <c r="A3" s="4" t="inlineStr">
        <is>
          <t>IRIS · Job Architecture &amp; Job Design · Final v1.12 · October 2026 · Internal — Confidential</t>
        </is>
      </c>
    </row>
    <row r="4"/>
    <row r="5" ht="20" customHeight="1">
      <c r="A5" s="6" t="inlineStr">
        <is>
          <t>Governance</t>
        </is>
      </c>
    </row>
    <row r="6" ht="15" customHeight="1">
      <c r="A6" s="7" t="inlineStr">
        <is>
          <t>ID</t>
        </is>
      </c>
      <c r="B6" s="7" t="inlineStr">
        <is>
          <t>Topic</t>
        </is>
      </c>
      <c r="C6" s="7" t="inlineStr">
        <is>
          <t>Rule</t>
        </is>
      </c>
    </row>
    <row r="7" ht="28" customHeight="1">
      <c r="A7" s="17" t="inlineStr">
        <is>
          <t>V1</t>
        </is>
      </c>
      <c r="B7" s="9" t="inlineStr">
        <is>
          <t>Owner</t>
        </is>
      </c>
      <c r="C7" s="9" t="inlineStr">
        <is>
          <t>HR · Head – HR owns the framework; function heads own their families' content; CEO approves changes to levels, weights and rules.</t>
        </is>
      </c>
    </row>
    <row r="8" ht="28" customHeight="1">
      <c r="A8" s="17" t="inlineStr">
        <is>
          <t>V2</t>
        </is>
      </c>
      <c r="B8" s="9" t="inlineStr">
        <is>
          <t>Validation</t>
        </is>
      </c>
      <c r="C8" s="9" t="inlineStr">
        <is>
          <t>Manager validates each placement · Agree / Change / Discuss; HR decides; changes need evidence and a rule ID.</t>
        </is>
      </c>
    </row>
    <row r="9" ht="54" customHeight="1">
      <c r="A9" s="17" t="inlineStr">
        <is>
          <t>V3</t>
        </is>
      </c>
      <c r="B9" s="9" t="inlineStr">
        <is>
          <t>Calibration</t>
        </is>
      </c>
      <c r="C9" s="9" t="inlineStr">
        <is>
          <t>Cross-business panel reviews close calls · score within ±0.05 of a rounding point where the score decided the level, people near a gate · a rule set the level and its threshold is within a quarter-point, Player-Coach placements made within tolerance, moves down, senior titles without teams and all C+ placements.</t>
        </is>
      </c>
    </row>
    <row r="10" ht="15" customHeight="1">
      <c r="A10" s="17" t="inlineStr">
        <is>
          <t>V4</t>
        </is>
      </c>
      <c r="B10" s="9" t="inlineStr">
        <is>
          <t>Protection</t>
        </is>
      </c>
      <c r="C10" s="9" t="inlineStr">
        <is>
          <t>Any move down is pay- and title-protected for one cycle with a review date.</t>
        </is>
      </c>
    </row>
    <row r="11" ht="41" customHeight="1">
      <c r="A11" s="17" t="inlineStr">
        <is>
          <t>V5</t>
        </is>
      </c>
      <c r="B11" s="9" t="inlineStr">
        <is>
          <t>Cadence</t>
        </is>
      </c>
      <c r="C11" s="9" t="inlineStr">
        <is>
          <t>Placements reviewed at each appraisal cycle; framework · levels, weights, competencies, market crosswalk reviewed annually; future-skills list refreshed annually from WEF / SFIA updates.</t>
        </is>
      </c>
    </row>
    <row r="12" ht="28" customHeight="1">
      <c r="A12" s="17" t="inlineStr">
        <is>
          <t>V6</t>
        </is>
      </c>
      <c r="B12" s="9" t="inlineStr">
        <is>
          <t>Change control</t>
        </is>
      </c>
      <c r="C12" s="9" t="inlineStr">
        <is>
          <t>Every change is versioned with date, author, rule / section changed and reason. Weights change only through the base + tilt model, never per person.</t>
        </is>
      </c>
    </row>
    <row r="13" ht="15" customHeight="1"/>
    <row r="14" ht="20" customHeight="1">
      <c r="A14" s="6" t="inlineStr">
        <is>
          <t>Data rules</t>
        </is>
      </c>
    </row>
    <row r="15" ht="15" customHeight="1">
      <c r="A15" s="7" t="inlineStr">
        <is>
          <t>ID</t>
        </is>
      </c>
      <c r="B15" s="7" t="inlineStr">
        <is>
          <t>Rule</t>
        </is>
      </c>
      <c r="C15" s="7" t="inlineStr">
        <is>
          <t>Sources</t>
        </is>
      </c>
    </row>
    <row r="16" ht="80" customHeight="1">
      <c r="A16" s="17" t="inlineStr">
        <is>
          <t>D1</t>
        </is>
      </c>
      <c r="B16" s="9" t="inlineStr">
        <is>
          <t>HRIS is the master for identity, department, manager, dates, experience and qualification; the newest Employee Master wins, the older one fills gaps.</t>
        </is>
      </c>
      <c r="C16" s="9" t="inlineStr">
        <is>
          <t>S40</t>
        </is>
      </c>
    </row>
    <row r="17" ht="67" customHeight="1">
      <c r="A17" s="17" t="inlineStr">
        <is>
          <t>D2</t>
        </is>
      </c>
      <c r="B17" s="9" t="inlineStr">
        <is>
          <t>Survey answers and KRAs are evidence of the work. Generic or mismatched answers are recorded but not used to move a rating.</t>
        </is>
      </c>
      <c r="C17" s="9" t="inlineStr">
        <is>
          <t>S41, S42</t>
        </is>
      </c>
    </row>
    <row r="18" ht="67" customHeight="1">
      <c r="A18" s="17" t="inlineStr">
        <is>
          <t>D3</t>
        </is>
      </c>
      <c r="B18" s="9" t="inlineStr">
        <is>
          <t>Missing data is never guessed. The cell names who must supply it, and the level is marked provisional where it matters.</t>
        </is>
      </c>
      <c r="C18" s="9" t="inlineStr">
        <is>
          <t>—</t>
        </is>
      </c>
    </row>
    <row r="19" ht="15" customHeight="1"/>
    <row r="20" ht="20" customHeight="1">
      <c r="A20" s="6" t="inlineStr">
        <is>
          <t>Validation, in order</t>
        </is>
      </c>
    </row>
    <row r="21" ht="15" customHeight="1">
      <c r="A21" s="7" t="inlineStr">
        <is>
          <t>Step</t>
        </is>
      </c>
      <c r="B21" s="7" t="inlineStr">
        <is>
          <t>Who</t>
        </is>
      </c>
      <c r="C21" s="7" t="inlineStr">
        <is>
          <t>What</t>
        </is>
      </c>
    </row>
    <row r="22" ht="28" customHeight="1">
      <c r="A22" s="17" t="inlineStr">
        <is>
          <t>1</t>
        </is>
      </c>
      <c r="B22" s="9" t="inlineStr">
        <is>
          <t>Manager</t>
        </is>
      </c>
      <c r="C22" s="9" t="inlineStr">
        <is>
          <t>Validates each placement on sheet 2 of their simplified product edition: agree, change or discuss. A change needs evidence and a rule ID.</t>
        </is>
      </c>
    </row>
    <row r="23" ht="28" customHeight="1">
      <c r="A23" s="17" t="inlineStr">
        <is>
          <t>2</t>
        </is>
      </c>
      <c r="B23" s="9" t="inlineStr">
        <is>
          <t>HR</t>
        </is>
      </c>
      <c r="C23" s="9" t="inlineStr">
        <is>
          <r>
            <rPr>
              <rFont val="Calibri"/>
              <b val="1"/>
              <sz val="10"/>
            </rPr>
            <t>Clears the red cells:</t>
          </r>
          <r>
            <rPr>
              <rFont val="Calibri"/>
              <sz val="10"/>
            </rPr>
            <t xml:space="preserve"> pay, experience corrections, provisional placements, missing HRIS fields.</t>
          </r>
        </is>
      </c>
    </row>
    <row r="24" ht="28" customHeight="1">
      <c r="A24" s="17" t="inlineStr">
        <is>
          <t>3</t>
        </is>
      </c>
      <c r="B24" s="9" t="inlineStr">
        <is>
          <t>Calibration panel</t>
        </is>
      </c>
      <c r="C24" s="9" t="inlineStr">
        <is>
          <t>Decides Player-Coach cases, close calls, moves down, title checks and all C+ placements.</t>
        </is>
      </c>
    </row>
    <row r="25" ht="28" customHeight="1">
      <c r="A25" s="17" t="inlineStr">
        <is>
          <t>4</t>
        </is>
      </c>
      <c r="B25" s="9" t="inlineStr">
        <is>
          <t>HR</t>
        </is>
      </c>
      <c r="C25" s="9" t="inlineStr">
        <is>
          <t>Records each confirmed value in build/inputs/overrides.csv and rebuilds the workbooks; nothing is typed over a generated cell.</t>
        </is>
      </c>
    </row>
    <row r="26" ht="28" customHeight="1">
      <c r="A26" s="17" t="inlineStr">
        <is>
          <t>5</t>
        </is>
      </c>
      <c r="B26" s="9" t="inlineStr">
        <is>
          <t>HR, CEO</t>
        </is>
      </c>
      <c r="C26" s="9" t="inlineStr">
        <is>
          <t>HR decides; the CEO approves any change to levels, weights or rules. Moves down are protected for one cycle.</t>
        </is>
      </c>
    </row>
    <row r="27" ht="15" customHeight="1"/>
    <row r="28" ht="20" customHeight="1">
      <c r="A28" s="6" t="inlineStr">
        <is>
          <t>Pay architecture principles · to apply when survey data is bought</t>
        </is>
      </c>
    </row>
    <row r="29" ht="15" customHeight="1">
      <c r="A29" s="7" t="inlineStr">
        <is>
          <t>Topic</t>
        </is>
      </c>
      <c r="B29" s="7" t="inlineStr">
        <is>
          <t>Principle</t>
        </is>
      </c>
      <c r="C29" s="7" t="inlineStr">
        <is>
          <t>Sources</t>
        </is>
      </c>
    </row>
    <row r="30" ht="54" customHeight="1">
      <c r="A30" s="14" t="inlineStr">
        <is>
          <t>Structure type</t>
        </is>
      </c>
      <c r="B30" s="9" t="inlineStr">
        <is>
          <r>
            <rPr>
              <rFont val="Calibri"/>
              <b val="1"/>
              <sz val="10"/>
            </rPr>
            <t>Market-based graded structure:</t>
          </r>
          <r>
            <rPr>
              <rFont val="Calibri"/>
              <sz val="10"/>
            </rPr>
            <t xml:space="preserve"> one range per level, with ranges overlapping between adjacent levels.</t>
          </r>
        </is>
      </c>
      <c r="C30" s="9" t="inlineStr">
        <is>
          <t>S11</t>
        </is>
      </c>
    </row>
    <row r="31" ht="93" customHeight="1">
      <c r="A31" s="14" t="inlineStr">
        <is>
          <t>Range spread</t>
        </is>
      </c>
      <c r="B31" s="9" t="inlineStr">
        <is>
          <r>
            <rPr>
              <rFont val="Calibri"/>
              <b val="1"/>
              <sz val="10"/>
            </rPr>
            <t>Working assumption until a survey is bought:</t>
          </r>
          <r>
            <rPr>
              <rFont val="Calibri"/>
              <sz val="10"/>
            </rPr>
            <t xml:space="preserve"> A1–A3: 40–50% · B1–B3 IC: 50–60% · B1–B3 Manager: 50–60% · C1–C2: 60–75% · D1–E2: 70–100%. Set the final spreads from the purchased survey.</t>
          </r>
        </is>
      </c>
      <c r="C31" s="9" t="inlineStr">
        <is>
          <t>IRIS assumption · S11 gives the concept, not these figures</t>
        </is>
      </c>
    </row>
    <row r="32" ht="67" customHeight="1">
      <c r="A32" s="14" t="inlineStr">
        <is>
          <t>Midpoint progression</t>
        </is>
      </c>
      <c r="B32" s="9" t="inlineStr">
        <is>
          <r>
            <rPr>
              <rFont val="Calibri"/>
              <b val="1"/>
              <sz val="10"/>
            </rPr>
            <t>Working assumption until a survey is bought:</t>
          </r>
          <r>
            <rPr>
              <rFont val="Calibri"/>
              <sz val="10"/>
            </rPr>
            <t xml:space="preserve"> 8–15% between adjacent levels · 8–10% within Band A, 10–12% in Band B, 12–15% from C1 up.</t>
          </r>
        </is>
      </c>
      <c r="C32" s="9" t="inlineStr">
        <is>
          <t>IRIS assumption · S11 gives the concept, not these figures</t>
        </is>
      </c>
    </row>
    <row r="33" ht="93" customHeight="1">
      <c r="A33" s="14" t="inlineStr">
        <is>
          <t>Market position</t>
        </is>
      </c>
      <c r="B33" s="9" t="inlineStr">
        <is>
          <t>Midpoint = market median of the matched Radford / Mercer code for the India tech / product peer group. Hot skills · AI / ML, cloud, XBRL taxonomy can carry a premium of up to P75.</t>
        </is>
      </c>
      <c r="C33" s="9" t="inlineStr">
        <is>
          <t>S01, S02</t>
        </is>
      </c>
    </row>
    <row r="34" ht="67" customHeight="1">
      <c r="A34" s="14" t="inlineStr">
        <is>
          <t>Peer group for the survey</t>
        </is>
      </c>
      <c r="B34" s="9" t="inlineStr">
        <is>
          <t>India product and SaaS companies, Indian IT services · Infosys, TCS, Accenture, XBRL / filing peers · DataTracks, Toppan Merrill, DFIN.</t>
        </is>
      </c>
      <c r="C34" s="9" t="inlineStr">
        <is>
          <t>S30–S36</t>
        </is>
      </c>
    </row>
    <row r="35" ht="67" customHeight="1">
      <c r="A35" s="14" t="inlineStr">
        <is>
          <t>Status</t>
        </is>
      </c>
      <c r="B35" s="9" t="inlineStr">
        <is>
          <t>To apply once a paid survey is bought. No pay data has been used in placements.</t>
        </is>
      </c>
      <c r="C35" s="9" t="inlineStr">
        <is>
          <t>—</t>
        </is>
      </c>
    </row>
    <row r="36" ht="15" customHeight="1"/>
    <row r="37" ht="20" customHeight="1">
      <c r="A37" s="6" t="inlineStr">
        <is>
          <t>Changing the model</t>
        </is>
      </c>
    </row>
    <row r="38" ht="15" customHeight="1">
      <c r="A38" s="7" t="inlineStr">
        <is>
          <t>What</t>
        </is>
      </c>
      <c r="B38" s="7" t="inlineStr">
        <is>
          <t>Where</t>
        </is>
      </c>
      <c r="C38" s="7" t="inlineStr">
        <is>
          <t>How</t>
        </is>
      </c>
    </row>
    <row r="39" ht="54" customHeight="1">
      <c r="A39" s="14" t="inlineStr">
        <is>
          <t>A person's data or rating</t>
        </is>
      </c>
      <c r="B39" s="9" t="inlineStr">
        <is>
          <t>build/inputs/overrides.csv</t>
        </is>
      </c>
      <c r="C39" s="9" t="inlineStr">
        <is>
          <t>One row per change, with reason, source and date; rebuild</t>
        </is>
      </c>
    </row>
    <row r="40" ht="15" customHeight="1">
      <c r="A40" s="14" t="inlineStr">
        <is>
          <t>Weights</t>
        </is>
      </c>
      <c r="B40" s="9" t="inlineStr">
        <is>
          <t>engine.BASE, engine.TILT</t>
        </is>
      </c>
      <c r="C40" s="9" t="inlineStr">
        <is>
          <t>Change the base or the tilt, never a single person's weights; raise the version</t>
        </is>
      </c>
    </row>
    <row r="41" ht="41" customHeight="1">
      <c r="A41" s="14" t="inlineStr">
        <is>
          <t>A rule or threshold</t>
        </is>
      </c>
      <c r="B41" s="9" t="inlineStr">
        <is>
          <t>engine.place, RULE_TEXT, BRIDGE_RULES</t>
        </is>
      </c>
      <c r="C41" s="9" t="inlineStr">
        <is>
          <t>Write the plain-English sentence too; run build/verify.py</t>
        </is>
      </c>
    </row>
    <row r="42" ht="28" customHeight="1">
      <c r="A42" s="14" t="inlineStr">
        <is>
          <t>Titles</t>
        </is>
      </c>
      <c r="B42" s="9" t="inlineStr">
        <is>
          <t>results.load; title rules N1–N5</t>
        </is>
      </c>
      <c r="C42" s="9" t="inlineStr">
        <is>
          <t>Designations follow the final level</t>
        </is>
      </c>
    </row>
    <row r="43" ht="28" customHeight="1">
      <c r="A43" s="14" t="inlineStr">
        <is>
          <t>Competencies</t>
        </is>
      </c>
      <c r="B43" s="9" t="inlineStr">
        <is>
          <t>v1 competency sheet; content.DEPT_COMPETENCIES</t>
        </is>
      </c>
      <c r="C43" s="9" t="inlineStr">
        <is>
          <t>Add to the family or department set; required proficiency by level</t>
        </is>
      </c>
    </row>
    <row r="44" ht="28" customHeight="1">
      <c r="A44" s="14" t="inlineStr">
        <is>
          <t>Benchmarks</t>
        </is>
      </c>
      <c r="B44" s="9" t="inlineStr">
        <is>
          <t>peers.py; master_content.SOURCES</t>
        </is>
      </c>
      <c r="C44" s="9" t="inlineStr">
        <is>
          <t>Every peer title cites a source ID and an evidence grade</t>
        </is>
      </c>
    </row>
    <row r="45" ht="15" customHeight="1"/>
    <row r="46" ht="28" customHeight="1">
      <c r="A46" s="12" t="inlineStr">
        <is>
          <r>
            <rPr>
              <rFont val="Calibri"/>
              <b val="1"/>
              <i val="1"/>
              <color rgb="00595959"/>
              <sz val="10"/>
            </rPr>
            <t>Version:</t>
          </r>
          <r>
            <rPr>
              <rFont val="Calibri"/>
              <i val="1"/>
              <color rgb="00595959"/>
              <sz val="10"/>
            </rPr>
            <t xml:space="preserve"> Final v1.12 · October 2026. Full system documentation: 2_Documentation/SYSTEM_DOCUMENTATION.md in the delivery package.</t>
          </r>
        </is>
      </c>
    </row>
  </sheetData>
  <mergeCells count="9">
    <mergeCell ref="A28:C28"/>
    <mergeCell ref="A1:C1"/>
    <mergeCell ref="A5:C5"/>
    <mergeCell ref="A46:C46"/>
    <mergeCell ref="A37:C37"/>
    <mergeCell ref="A14:C14"/>
    <mergeCell ref="A3:C3"/>
    <mergeCell ref="A20:C20"/>
    <mergeCell ref="A2:C2"/>
  </mergeCells>
  <hyperlinks>
    <hyperlink xmlns:r="http://schemas.openxmlformats.org/officeDocument/2006/relationships" ref="D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worksheet>
</file>

<file path=xl/worksheets/sheet23.xml><?xml version="1.0" encoding="utf-8"?>
<worksheet xmlns="http://schemas.openxmlformats.org/spreadsheetml/2006/main">
  <sheetPr>
    <tabColor rgb="001F3864"/>
    <outlinePr summaryBelow="1" summaryRight="1"/>
    <pageSetUpPr fitToPage="1"/>
  </sheetPr>
  <dimension ref="A1:C23"/>
  <sheetViews>
    <sheetView showGridLines="0" workbookViewId="0">
      <pane ySplit="4" topLeftCell="A5" activePane="bottomLeft" state="frozen"/>
      <selection pane="bottomLeft" activeCell="A1" sqref="A1"/>
    </sheetView>
  </sheetViews>
  <sheetFormatPr baseColWidth="8" defaultRowHeight="15"/>
  <cols>
    <col width="28" customWidth="1" min="1" max="1"/>
    <col width="100" customWidth="1" min="2" max="2"/>
    <col width="13" customWidth="1" min="3" max="3"/>
  </cols>
  <sheetData>
    <row r="1" ht="34" customHeight="1">
      <c r="A1" s="1" t="inlineStr">
        <is>
          <t>13 · Glossary</t>
        </is>
      </c>
      <c r="C1" s="99" t="inlineStr">
        <is>
          <t>◂ Contents</t>
        </is>
      </c>
    </row>
    <row r="2" ht="30" customHeight="1">
      <c r="A2" s="3" t="inlineStr">
        <is>
          <t>The terms used across the framework, the workbooks and this guide.</t>
        </is>
      </c>
    </row>
    <row r="3">
      <c r="A3" s="4" t="inlineStr">
        <is>
          <t>IRIS · Job Architecture &amp; Job Design · Final v1.12 · October 2026 · Internal — Confidential</t>
        </is>
      </c>
    </row>
    <row r="4"/>
    <row r="5" ht="15" customHeight="1">
      <c r="A5" s="7" t="inlineStr">
        <is>
          <t>Term</t>
        </is>
      </c>
      <c r="B5" s="7" t="inlineStr">
        <is>
          <t>Meaning</t>
        </is>
      </c>
    </row>
    <row r="6" ht="28" customHeight="1">
      <c r="A6" s="14" t="inlineStr">
        <is>
          <t>Band</t>
        </is>
      </c>
      <c r="B6" s="9" t="inlineStr">
        <is>
          <r>
            <rPr>
              <rFont val="Calibri"/>
              <b val="1"/>
              <sz val="10"/>
            </rPr>
            <t>A group of levels with the same kind of contribution:</t>
          </r>
          <r>
            <rPr>
              <rFont val="Calibri"/>
              <sz val="10"/>
            </rPr>
            <t xml:space="preserve"> A Practitioner · B Specialist / Manager · C Principal / Head · D Business leadership · E Enterprise leadership · X Consultant.</t>
          </r>
        </is>
      </c>
    </row>
    <row r="7" ht="15" customHeight="1">
      <c r="A7" s="14" t="inlineStr">
        <is>
          <t>Close call</t>
        </is>
      </c>
      <c r="B7" s="9" t="inlineStr">
        <is>
          <t>The score decided the level and sits within ±0.05 of a rounding point — goes to calibration.</t>
        </is>
      </c>
    </row>
    <row r="8" ht="15" customHeight="1">
      <c r="A8" s="14" t="inlineStr">
        <is>
          <t>Final level</t>
        </is>
      </c>
      <c r="B8" s="9" t="inlineStr">
        <is>
          <t>The level after all ten rules.</t>
        </is>
      </c>
    </row>
    <row r="9" ht="15" customHeight="1">
      <c r="A9" s="14" t="inlineStr">
        <is>
          <t>Indicated level</t>
        </is>
      </c>
      <c r="B9" s="9" t="inlineStr">
        <is>
          <t>The level the weighted score points to, rounded to the nearest whole level.</t>
        </is>
      </c>
    </row>
    <row r="10" ht="15" customHeight="1">
      <c r="A10" s="14" t="inlineStr">
        <is>
          <t>Job family / sub-family</t>
        </is>
      </c>
      <c r="B10" s="9" t="inlineStr">
        <is>
          <t>A discipline / the actual work done inside it.</t>
        </is>
      </c>
    </row>
    <row r="11" ht="15" customHeight="1">
      <c r="A11" s="14" t="inlineStr">
        <is>
          <t>Level</t>
        </is>
      </c>
      <c r="B11" s="9" t="inlineStr">
        <is>
          <t>The size of the role on a ladder scale · A1 = 1 … E2 = 12.</t>
        </is>
      </c>
    </row>
    <row r="12" ht="15" customHeight="1">
      <c r="A12" s="14" t="inlineStr">
        <is>
          <t>Market code</t>
        </is>
      </c>
      <c r="B12" s="9" t="inlineStr">
        <is>
          <t>Radford / Mercer survey level used for pay benchmarking.</t>
        </is>
      </c>
    </row>
    <row r="13" ht="15" customHeight="1">
      <c r="A13" s="14" t="inlineStr">
        <is>
          <t>Move down</t>
        </is>
      </c>
      <c r="B13" s="9" t="inlineStr">
        <is>
          <t>A final level below the current one; pay and title are protected for one cycle.</t>
        </is>
      </c>
    </row>
    <row r="14" ht="28" customHeight="1">
      <c r="A14" s="14" t="inlineStr">
        <is>
          <t>Near a gate</t>
        </is>
      </c>
      <c r="B14" s="9" t="inlineStr">
        <is>
          <t>A rule set the level, and the number behind that rule is within a quarter-point of flipping it — goes to calibration.</t>
        </is>
      </c>
    </row>
    <row r="15" ht="15" customHeight="1">
      <c r="A15" s="14" t="inlineStr">
        <is>
          <t>Overrides file</t>
        </is>
      </c>
      <c r="B15" s="9" t="inlineStr">
        <is>
          <t>build/inputs/overrides.csv: confirmed corrections applied before the engine runs.</t>
        </is>
      </c>
    </row>
    <row r="16" ht="28" customHeight="1">
      <c r="A16" s="14" t="inlineStr">
        <is>
          <t>Player-Coach · B+, C+</t>
        </is>
      </c>
      <c r="B16" s="9" t="inlineStr">
        <is>
          <t>A Player-Coach transition step between bands for people who both play · deliver hands-on expert work and coach · lead people: B+ between B3 and C1, C+ between C2 and D1.</t>
        </is>
      </c>
    </row>
    <row r="17" ht="15" customHeight="1">
      <c r="A17" s="14" t="inlineStr">
        <is>
          <t>POD Lead</t>
        </is>
      </c>
      <c r="B17" s="9" t="inlineStr">
        <is>
          <t>An expert leading 1–3 people while staying an IC.</t>
        </is>
      </c>
    </row>
    <row r="18" ht="15" customHeight="1">
      <c r="A18" s="14" t="inlineStr">
        <is>
          <t>Role</t>
        </is>
      </c>
      <c r="B18" s="9" t="inlineStr">
        <is>
          <t>A designation at a level within a department.</t>
        </is>
      </c>
    </row>
    <row r="19" ht="15" customHeight="1">
      <c r="A19" s="14" t="inlineStr">
        <is>
          <t>Rule ID</t>
        </is>
      </c>
      <c r="B19" s="9" t="inlineStr">
        <is>
          <t>R1–R10 placement rules, applied in order; listed for every person on sheet 2.</t>
        </is>
      </c>
    </row>
    <row r="20" ht="28" customHeight="1">
      <c r="A20" s="14" t="inlineStr">
        <is>
          <t>Tolerance · Player-Coach</t>
        </is>
      </c>
      <c r="B20" s="9" t="inlineStr">
        <is>
          <t>A shortfall of up to 0.15 on a Player-Coach threshold is accepted; a span outside the norm is flagged, never blocking. Both are confirmed in calibration.</t>
        </is>
      </c>
    </row>
    <row r="21" ht="15" customHeight="1">
      <c r="A21" s="14" t="inlineStr">
        <is>
          <t>Type of work</t>
        </is>
      </c>
      <c r="B21" s="9" t="inlineStr">
        <is>
          <t>The department's dominant work profile, which selects the weight tilt.</t>
        </is>
      </c>
    </row>
    <row r="22" ht="15" customHeight="1">
      <c r="A22" s="14" t="inlineStr">
        <is>
          <t>Weight set</t>
        </is>
      </c>
      <c r="B22" s="9" t="inlineStr">
        <is>
          <t>The six factor weights for a department × role group, edited on the Weightage Matrix.</t>
        </is>
      </c>
    </row>
    <row r="23" ht="15" customHeight="1">
      <c r="A23" s="14" t="inlineStr">
        <is>
          <t>Weighted score</t>
        </is>
      </c>
      <c r="B23" s="9" t="inlineStr">
        <is>
          <t>The sum of rating × weight over the six factors.</t>
        </is>
      </c>
    </row>
  </sheetData>
  <mergeCells count="3">
    <mergeCell ref="A3:B3"/>
    <mergeCell ref="A2:B2"/>
    <mergeCell ref="A1:B1"/>
  </mergeCells>
  <hyperlinks>
    <hyperlink xmlns:r="http://schemas.openxmlformats.org/officeDocument/2006/relationships" ref="C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worksheet>
</file>

<file path=xl/worksheets/sheet24.xml><?xml version="1.0" encoding="utf-8"?>
<worksheet xmlns="http://schemas.openxmlformats.org/spreadsheetml/2006/main">
  <sheetPr>
    <tabColor rgb="001F3864"/>
    <outlinePr summaryBelow="1" summaryRight="1"/>
    <pageSetUpPr fitToPage="1"/>
  </sheetPr>
  <dimension ref="A1:O691"/>
  <sheetViews>
    <sheetView showGridLines="0" workbookViewId="0">
      <pane ySplit="4" topLeftCell="A5" activePane="bottomLeft" state="frozen"/>
      <selection pane="bottomLeft" activeCell="A1" sqref="A1"/>
    </sheetView>
  </sheetViews>
  <sheetFormatPr baseColWidth="8" defaultRowHeight="15"/>
  <cols>
    <col width="16"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s>
  <sheetData>
    <row r="1" ht="34" customHeight="1">
      <c r="A1" s="1" t="inlineStr">
        <is>
          <t>IRIS Job Architecture &amp; Job Design — Master Framework and Model</t>
        </is>
      </c>
      <c r="O1" s="99" t="inlineStr">
        <is>
          <t>◂ Contents</t>
        </is>
      </c>
    </row>
    <row r="2" ht="32" customHeight="1">
      <c r="A2" s="3" t="inlineStr">
        <is>
          <t>Final v1.12 · October 2026 · One reference for how IRIS classifies, sizes, levels, titles, benchmarks, develops and governs every role. Every element has an ID · P, T, K, F, E, W, R, N, C, G, V and cites the sources behind it. The HR Super Master, the Product Masters and the simplified product editions apply this model step by step.</t>
        </is>
      </c>
    </row>
    <row r="3">
      <c r="A3" s="4" t="inlineStr">
        <is>
          <t>IRIS · Job Architecture &amp; Job Design · Final v1.12 · October 2026 · Internal — Confidential</t>
        </is>
      </c>
    </row>
    <row r="4" ht="15" customHeight="1"/>
    <row r="5" ht="20" customHeight="1">
      <c r="A5" s="6" t="inlineStr">
        <is>
          <t>M0. Contents — read top to bottom; the model runs in the same order</t>
        </is>
      </c>
    </row>
    <row r="6" ht="15" customHeight="1">
      <c r="A6" s="7" t="inlineStr">
        <is>
          <t>Section</t>
        </is>
      </c>
      <c r="B6" s="64" t="n"/>
      <c r="C6" s="63" t="n"/>
      <c r="D6" s="7" t="inlineStr">
        <is>
          <t>What it answers</t>
        </is>
      </c>
      <c r="E6" s="64" t="n"/>
      <c r="F6" s="64" t="n"/>
      <c r="G6" s="64" t="n"/>
      <c r="H6" s="64" t="n"/>
      <c r="I6" s="64" t="n"/>
      <c r="J6" s="64" t="n"/>
      <c r="K6" s="64" t="n"/>
      <c r="L6" s="64" t="n"/>
      <c r="M6" s="64" t="n"/>
      <c r="N6" s="63" t="n"/>
    </row>
    <row r="7" ht="15" customHeight="1">
      <c r="A7" s="65" t="inlineStr">
        <is>
          <t>M1 Principles</t>
        </is>
      </c>
      <c r="B7" s="64" t="n"/>
      <c r="C7" s="63" t="n"/>
      <c r="D7" s="9" t="inlineStr">
        <is>
          <t>The 12 design principles that every rule below follows</t>
        </is>
      </c>
      <c r="E7" s="64" t="n"/>
      <c r="F7" s="64" t="n"/>
      <c r="G7" s="64" t="n"/>
      <c r="H7" s="64" t="n"/>
      <c r="I7" s="64" t="n"/>
      <c r="J7" s="64" t="n"/>
      <c r="K7" s="64" t="n"/>
      <c r="L7" s="64" t="n"/>
      <c r="M7" s="64" t="n"/>
      <c r="N7" s="63" t="n"/>
    </row>
    <row r="8" ht="15" customHeight="1">
      <c r="A8" s="65" t="inlineStr">
        <is>
          <t>M2 The model in 12 steps</t>
        </is>
      </c>
      <c r="B8" s="64" t="n"/>
      <c r="C8" s="63" t="n"/>
      <c r="D8" s="9" t="inlineStr">
        <is>
          <t>The linear flow from inputs to an approved level, and where each step sits in the workbooks</t>
        </is>
      </c>
      <c r="E8" s="64" t="n"/>
      <c r="F8" s="64" t="n"/>
      <c r="G8" s="64" t="n"/>
      <c r="H8" s="64" t="n"/>
      <c r="I8" s="64" t="n"/>
      <c r="J8" s="64" t="n"/>
      <c r="K8" s="64" t="n"/>
      <c r="L8" s="64" t="n"/>
      <c r="M8" s="64" t="n"/>
      <c r="N8" s="63" t="n"/>
    </row>
    <row r="9" ht="15" customHeight="1">
      <c r="A9" s="65" t="inlineStr">
        <is>
          <t>M3 Architecture &amp; taxonomy</t>
        </is>
      </c>
      <c r="B9" s="64" t="n"/>
      <c r="C9" s="63" t="n"/>
      <c r="D9" s="9" t="inlineStr">
        <is>
          <t>Layers, how families and sub-families are formed, the family catalogue anchored to ISCO-08</t>
        </is>
      </c>
      <c r="E9" s="64" t="n"/>
      <c r="F9" s="64" t="n"/>
      <c r="G9" s="64" t="n"/>
      <c r="H9" s="64" t="n"/>
      <c r="I9" s="64" t="n"/>
      <c r="J9" s="64" t="n"/>
      <c r="K9" s="64" t="n"/>
      <c r="L9" s="64" t="n"/>
      <c r="M9" s="64" t="n"/>
      <c r="N9" s="63" t="n"/>
    </row>
    <row r="10" ht="15" customHeight="1">
      <c r="A10" s="14" t="inlineStr">
        <is>
          <t>M3b Family boundaries</t>
        </is>
      </c>
      <c r="B10" s="64" t="n"/>
      <c r="C10" s="63" t="n"/>
      <c r="D10" s="9" t="inlineStr">
        <is>
          <t>Each family's purpose, what it includes and excludes · Career Architecture V2</t>
        </is>
      </c>
      <c r="E10" s="64" t="n"/>
      <c r="F10" s="64" t="n"/>
      <c r="G10" s="64" t="n"/>
      <c r="H10" s="64" t="n"/>
      <c r="I10" s="64" t="n"/>
      <c r="J10" s="64" t="n"/>
      <c r="K10" s="64" t="n"/>
      <c r="L10" s="64" t="n"/>
      <c r="M10" s="64" t="n"/>
      <c r="N10" s="63" t="n"/>
    </row>
    <row r="11" ht="15" customHeight="1">
      <c r="A11" s="65" t="inlineStr">
        <is>
          <t>M4 Level model</t>
        </is>
      </c>
      <c r="B11" s="64" t="n"/>
      <c r="C11" s="63" t="n"/>
      <c r="D11" s="9" t="inlineStr">
        <is>
          <t>12 levels in 5 bands + Player-Coach transition steps B+ · B+ and C+ · C+ + X for consultants: what each level owns, expects and maps to</t>
        </is>
      </c>
      <c r="E11" s="64" t="n"/>
      <c r="F11" s="64" t="n"/>
      <c r="G11" s="64" t="n"/>
      <c r="H11" s="64" t="n"/>
      <c r="I11" s="64" t="n"/>
      <c r="J11" s="64" t="n"/>
      <c r="K11" s="64" t="n"/>
      <c r="L11" s="64" t="n"/>
      <c r="M11" s="64" t="n"/>
      <c r="N11" s="63" t="n"/>
    </row>
    <row r="12" ht="28" customHeight="1">
      <c r="A12" s="65" t="inlineStr">
        <is>
          <t>M5 Track model</t>
        </is>
      </c>
      <c r="B12" s="64" t="n"/>
      <c r="C12" s="63" t="n"/>
      <c r="D12" s="9" t="inlineStr">
        <is>
          <t>Individual Contributor, POD Lead, Player-Coach · Player-Coach transition steps B+ and C+, People Manager, Consultant — rules and where they split</t>
        </is>
      </c>
      <c r="E12" s="64" t="n"/>
      <c r="F12" s="64" t="n"/>
      <c r="G12" s="64" t="n"/>
      <c r="H12" s="64" t="n"/>
      <c r="I12" s="64" t="n"/>
      <c r="J12" s="64" t="n"/>
      <c r="K12" s="64" t="n"/>
      <c r="L12" s="64" t="n"/>
      <c r="M12" s="64" t="n"/>
      <c r="N12" s="63" t="n"/>
    </row>
    <row r="13" ht="15" customHeight="1">
      <c r="A13" s="65" t="inlineStr">
        <is>
          <t>M6 Factor model</t>
        </is>
      </c>
      <c r="B13" s="64" t="n"/>
      <c r="C13" s="63" t="n"/>
      <c r="D13" s="9" t="inlineStr">
        <is>
          <t>The six factors, their market equivalents, evidence rules, the experience scale and qualification adjustment</t>
        </is>
      </c>
      <c r="E13" s="64" t="n"/>
      <c r="F13" s="64" t="n"/>
      <c r="G13" s="64" t="n"/>
      <c r="H13" s="64" t="n"/>
      <c r="I13" s="64" t="n"/>
      <c r="J13" s="64" t="n"/>
      <c r="K13" s="64" t="n"/>
      <c r="L13" s="64" t="n"/>
      <c r="M13" s="64" t="n"/>
      <c r="N13" s="63" t="n"/>
    </row>
    <row r="14" ht="15" customHeight="1">
      <c r="A14" s="14" t="inlineStr">
        <is>
          <t>M6b Panel factor anchors</t>
        </is>
      </c>
      <c r="B14" s="64" t="n"/>
      <c r="C14" s="63" t="n"/>
      <c r="D14" s="9" t="inlineStr">
        <is>
          <t>Seven 1–5 job-demand scales and anti-double-counting rules for the calibration panel</t>
        </is>
      </c>
      <c r="E14" s="64" t="n"/>
      <c r="F14" s="64" t="n"/>
      <c r="G14" s="64" t="n"/>
      <c r="H14" s="64" t="n"/>
      <c r="I14" s="64" t="n"/>
      <c r="J14" s="64" t="n"/>
      <c r="K14" s="64" t="n"/>
      <c r="L14" s="64" t="n"/>
      <c r="M14" s="64" t="n"/>
      <c r="N14" s="63" t="n"/>
    </row>
    <row r="15" ht="15" customHeight="1">
      <c r="A15" s="65" t="inlineStr">
        <is>
          <t>M7 Weight model</t>
        </is>
      </c>
      <c r="B15" s="64" t="n"/>
      <c r="C15" s="63" t="n"/>
      <c r="D15" s="9" t="inlineStr">
        <is>
          <t>Base weights by band × tilt by type of work = every weight set · live formulas. Nothing is set per person.</t>
        </is>
      </c>
      <c r="E15" s="64" t="n"/>
      <c r="F15" s="64" t="n"/>
      <c r="G15" s="64" t="n"/>
      <c r="H15" s="64" t="n"/>
      <c r="I15" s="64" t="n"/>
      <c r="J15" s="64" t="n"/>
      <c r="K15" s="64" t="n"/>
      <c r="L15" s="64" t="n"/>
      <c r="M15" s="64" t="n"/>
      <c r="N15" s="63" t="n"/>
    </row>
    <row r="16" ht="15" customHeight="1">
      <c r="A16" s="65" t="inlineStr">
        <is>
          <t>M8 Placement rules</t>
        </is>
      </c>
      <c r="B16" s="64" t="n"/>
      <c r="C16" s="63" t="n"/>
      <c r="D16" s="9" t="inlineStr">
        <is>
          <t>R1–R10 in the order applied · R10 = Player-Coach transition step, with how often each was used</t>
        </is>
      </c>
      <c r="E16" s="64" t="n"/>
      <c r="F16" s="64" t="n"/>
      <c r="G16" s="64" t="n"/>
      <c r="H16" s="64" t="n"/>
      <c r="I16" s="64" t="n"/>
      <c r="J16" s="64" t="n"/>
      <c r="K16" s="64" t="n"/>
      <c r="L16" s="64" t="n"/>
      <c r="M16" s="64" t="n"/>
      <c r="N16" s="63" t="n"/>
    </row>
    <row r="17" ht="15" customHeight="1">
      <c r="A17" s="65" t="inlineStr">
        <is>
          <t>M9 Title model</t>
        </is>
      </c>
      <c r="B17" s="64" t="n"/>
      <c r="C17" s="63" t="n"/>
      <c r="D17" s="9" t="inlineStr">
        <is>
          <t>How titles are built; family title ladders</t>
        </is>
      </c>
      <c r="E17" s="64" t="n"/>
      <c r="F17" s="64" t="n"/>
      <c r="G17" s="64" t="n"/>
      <c r="H17" s="64" t="n"/>
      <c r="I17" s="64" t="n"/>
      <c r="J17" s="64" t="n"/>
      <c r="K17" s="64" t="n"/>
      <c r="L17" s="64" t="n"/>
      <c r="M17" s="64" t="n"/>
      <c r="N17" s="63" t="n"/>
    </row>
    <row r="18" ht="15" customHeight="1">
      <c r="A18" s="65" t="inlineStr">
        <is>
          <t>M10 Spans &amp; layers</t>
        </is>
      </c>
      <c r="B18" s="64" t="n"/>
      <c r="C18" s="63" t="n"/>
      <c r="D18" s="9" t="inlineStr">
        <is>
          <t>Span of control by manager archetype; maximum layers</t>
        </is>
      </c>
      <c r="E18" s="64" t="n"/>
      <c r="F18" s="64" t="n"/>
      <c r="G18" s="64" t="n"/>
      <c r="H18" s="64" t="n"/>
      <c r="I18" s="64" t="n"/>
      <c r="J18" s="64" t="n"/>
      <c r="K18" s="64" t="n"/>
      <c r="L18" s="64" t="n"/>
      <c r="M18" s="64" t="n"/>
      <c r="N18" s="63" t="n"/>
    </row>
    <row r="19" ht="15" customHeight="1">
      <c r="A19" s="65" t="inlineStr">
        <is>
          <t>M11 Competency model</t>
        </is>
      </c>
      <c r="B19" s="64" t="n"/>
      <c r="C19" s="63" t="n"/>
      <c r="D19" s="9" t="inlineStr">
        <is>
          <t>Clusters, proficiency scale, required proficiency by level, source mapping of each competency</t>
        </is>
      </c>
      <c r="E19" s="64" t="n"/>
      <c r="F19" s="64" t="n"/>
      <c r="G19" s="64" t="n"/>
      <c r="H19" s="64" t="n"/>
      <c r="I19" s="64" t="n"/>
      <c r="J19" s="64" t="n"/>
      <c r="K19" s="64" t="n"/>
      <c r="L19" s="64" t="n"/>
      <c r="M19" s="64" t="n"/>
      <c r="N19" s="63" t="n"/>
    </row>
    <row r="20" ht="15" customHeight="1">
      <c r="A20" s="65" t="inlineStr">
        <is>
          <t>M12 Career &amp; mobility</t>
        </is>
      </c>
      <c r="B20" s="64" t="n"/>
      <c r="C20" s="63" t="n"/>
      <c r="D20" s="9" t="inlineStr">
        <is>
          <t>Promotion, track switch, lateral moves, entry, experienced hires, succession</t>
        </is>
      </c>
      <c r="E20" s="64" t="n"/>
      <c r="F20" s="64" t="n"/>
      <c r="G20" s="64" t="n"/>
      <c r="H20" s="64" t="n"/>
      <c r="I20" s="64" t="n"/>
      <c r="J20" s="64" t="n"/>
      <c r="K20" s="64" t="n"/>
      <c r="L20" s="64" t="n"/>
      <c r="M20" s="64" t="n"/>
      <c r="N20" s="63" t="n"/>
    </row>
    <row r="21" ht="15" customHeight="1">
      <c r="A21" s="65" t="inlineStr">
        <is>
          <t>M13 Market benchmarking</t>
        </is>
      </c>
      <c r="B21" s="64" t="n"/>
      <c r="C21" s="63" t="n"/>
      <c r="D21" s="9" t="inlineStr">
        <is>
          <t>Methods compared, level crosswalk to 13 market references, experience triangulation</t>
        </is>
      </c>
      <c r="E21" s="64" t="n"/>
      <c r="F21" s="64" t="n"/>
      <c r="G21" s="64" t="n"/>
      <c r="H21" s="64" t="n"/>
      <c r="I21" s="64" t="n"/>
      <c r="J21" s="64" t="n"/>
      <c r="K21" s="64" t="n"/>
      <c r="L21" s="64" t="n"/>
      <c r="M21" s="64" t="n"/>
      <c r="N21" s="63" t="n"/>
    </row>
    <row r="22" ht="15" customHeight="1">
      <c r="A22" s="14" t="inlineStr">
        <is>
          <t>M13b Scope cross-check</t>
        </is>
      </c>
      <c r="B22" s="64" t="n"/>
      <c r="C22" s="63" t="n"/>
      <c r="D22" s="9" t="inlineStr">
        <is>
          <t>IRIS levels against the V2 reference levels J1–J8 · cross-check only</t>
        </is>
      </c>
      <c r="E22" s="64" t="n"/>
      <c r="F22" s="64" t="n"/>
      <c r="G22" s="64" t="n"/>
      <c r="H22" s="64" t="n"/>
      <c r="I22" s="64" t="n"/>
      <c r="J22" s="64" t="n"/>
      <c r="K22" s="64" t="n"/>
      <c r="L22" s="64" t="n"/>
      <c r="M22" s="64" t="n"/>
      <c r="N22" s="63" t="n"/>
    </row>
    <row r="23" ht="15" customHeight="1">
      <c r="A23" s="65" t="inlineStr">
        <is>
          <t>M14 Pay architecture</t>
        </is>
      </c>
      <c r="B23" s="64" t="n"/>
      <c r="C23" s="63" t="n"/>
      <c r="D23" s="9" t="inlineStr">
        <is>
          <t>Principles for pay ranges once survey data is bought</t>
        </is>
      </c>
      <c r="E23" s="64" t="n"/>
      <c r="F23" s="64" t="n"/>
      <c r="G23" s="64" t="n"/>
      <c r="H23" s="64" t="n"/>
      <c r="I23" s="64" t="n"/>
      <c r="J23" s="64" t="n"/>
      <c r="K23" s="64" t="n"/>
      <c r="L23" s="64" t="n"/>
      <c r="M23" s="64" t="n"/>
      <c r="N23" s="63" t="n"/>
    </row>
    <row r="24" ht="15" customHeight="1">
      <c r="A24" s="65" t="inlineStr">
        <is>
          <t>M15 Governance</t>
        </is>
      </c>
      <c r="B24" s="64" t="n"/>
      <c r="C24" s="63" t="n"/>
      <c r="D24" s="9" t="inlineStr">
        <is>
          <t>Owners, validation, calibration, protection, cadence, change control</t>
        </is>
      </c>
      <c r="E24" s="64" t="n"/>
      <c r="F24" s="64" t="n"/>
      <c r="G24" s="64" t="n"/>
      <c r="H24" s="64" t="n"/>
      <c r="I24" s="64" t="n"/>
      <c r="J24" s="64" t="n"/>
      <c r="K24" s="64" t="n"/>
      <c r="L24" s="64" t="n"/>
      <c r="M24" s="64" t="n"/>
      <c r="N24" s="63" t="n"/>
    </row>
    <row r="25" ht="15" customHeight="1">
      <c r="A25" s="65" t="inlineStr">
        <is>
          <t>M16 Source register</t>
        </is>
      </c>
      <c r="B25" s="64" t="n"/>
      <c r="C25" s="63" t="n"/>
      <c r="D25" s="9" t="inlineStr">
        <is>
          <t>Every source with ID, contribution, link and evidence grade</t>
        </is>
      </c>
      <c r="E25" s="64" t="n"/>
      <c r="F25" s="64" t="n"/>
      <c r="G25" s="64" t="n"/>
      <c r="H25" s="64" t="n"/>
      <c r="I25" s="64" t="n"/>
      <c r="J25" s="64" t="n"/>
      <c r="K25" s="64" t="n"/>
      <c r="L25" s="64" t="n"/>
      <c r="M25" s="64" t="n"/>
      <c r="N25" s="63" t="n"/>
    </row>
    <row r="26" ht="15" customHeight="1">
      <c r="A26" s="14" t="inlineStr">
        <is>
          <t>M16b V2 evidence register</t>
        </is>
      </c>
      <c r="B26" s="64" t="n"/>
      <c r="C26" s="63" t="n"/>
      <c r="D26" s="9" t="inlineStr">
        <is>
          <t>The 58 sources of the Career Architecture V2 research, with transfer limits</t>
        </is>
      </c>
      <c r="E26" s="64" t="n"/>
      <c r="F26" s="64" t="n"/>
      <c r="G26" s="64" t="n"/>
      <c r="H26" s="64" t="n"/>
      <c r="I26" s="64" t="n"/>
      <c r="J26" s="64" t="n"/>
      <c r="K26" s="64" t="n"/>
      <c r="L26" s="64" t="n"/>
      <c r="M26" s="64" t="n"/>
      <c r="N26" s="63" t="n"/>
    </row>
    <row r="27" ht="15" customHeight="1">
      <c r="A27" s="65" t="inlineStr">
        <is>
          <t>M17 Glossary</t>
        </is>
      </c>
      <c r="B27" s="64" t="n"/>
      <c r="C27" s="63" t="n"/>
      <c r="D27" s="9" t="inlineStr">
        <is>
          <t>Terms used</t>
        </is>
      </c>
      <c r="E27" s="64" t="n"/>
      <c r="F27" s="64" t="n"/>
      <c r="G27" s="64" t="n"/>
      <c r="H27" s="64" t="n"/>
      <c r="I27" s="64" t="n"/>
      <c r="J27" s="64" t="n"/>
      <c r="K27" s="64" t="n"/>
      <c r="L27" s="64" t="n"/>
      <c r="M27" s="64" t="n"/>
      <c r="N27" s="63" t="n"/>
    </row>
    <row r="28" ht="28" customHeight="1">
      <c r="A28" s="14" t="inlineStr">
        <is>
          <t>Tab 2 · References &amp; Benchmarks</t>
        </is>
      </c>
      <c r="B28" s="64" t="n"/>
      <c r="C28" s="63" t="n"/>
      <c r="D28" s="9" t="inlineStr">
        <is>
          <t>20 benchmark companies · direct competitors, regtech / suptech leaders, SaaS leaders, the professional standard for every family, a department × level competitor matrix, databases and every website used</t>
        </is>
      </c>
      <c r="E28" s="64" t="n"/>
      <c r="F28" s="64" t="n"/>
      <c r="G28" s="64" t="n"/>
      <c r="H28" s="64" t="n"/>
      <c r="I28" s="64" t="n"/>
      <c r="J28" s="64" t="n"/>
      <c r="K28" s="64" t="n"/>
      <c r="L28" s="64" t="n"/>
      <c r="M28" s="64" t="n"/>
      <c r="N28" s="63" t="n"/>
    </row>
    <row r="29" ht="15" customHeight="1"/>
    <row r="30" ht="20" customHeight="1">
      <c r="A30" s="6" t="inlineStr">
        <is>
          <t>How a role's level is worked out — in four steps · the detail is in M6–M8</t>
        </is>
      </c>
    </row>
    <row r="31" ht="28" customHeight="1">
      <c r="A31" s="12" t="inlineStr">
        <is>
          <t>The score measures the size of the role, not how well the person performs, and it is not linked to pay. It uses the same scale as the ladder · A1 = 1, A2 = 2 … B1 = 4 … E2 = 12, so a score reads as a level.</t>
        </is>
      </c>
    </row>
    <row r="32" ht="15" customHeight="1">
      <c r="A32" s="7" t="inlineStr">
        <is>
          <t>Step</t>
        </is>
      </c>
      <c r="B32" s="7" t="inlineStr">
        <is>
          <t>What happens</t>
        </is>
      </c>
      <c r="C32" s="64" t="n"/>
      <c r="D32" s="64" t="n"/>
      <c r="E32" s="64" t="n"/>
      <c r="F32" s="64" t="n"/>
      <c r="G32" s="63" t="n"/>
      <c r="H32" s="7" t="inlineStr">
        <is>
          <t>In plain words</t>
        </is>
      </c>
      <c r="I32" s="64" t="n"/>
      <c r="J32" s="64" t="n"/>
      <c r="K32" s="64" t="n"/>
      <c r="L32" s="64" t="n"/>
      <c r="M32" s="64" t="n"/>
      <c r="N32" s="63" t="n"/>
    </row>
    <row r="33" ht="54" customHeight="1">
      <c r="A33" s="14" t="inlineStr">
        <is>
          <t>1 · Rate</t>
        </is>
      </c>
      <c r="B33" s="9" t="inlineStr">
        <is>
          <r>
            <rPr>
              <rFont val="Calibri"/>
              <b val="1"/>
              <sz val="10"/>
            </rPr>
            <t>Six factors are each rated:</t>
          </r>
          <r>
            <rPr>
              <rFont val="Calibri"/>
              <sz val="10"/>
            </rPr>
            <t xml:space="preserve"> Complexity, Autonomy, Accountability, Leadership, Experience &amp; Qualification, Business Impact. Each rating starts from the designation and reporting line; survey or KRA evidence can move it by up to one level.</t>
          </r>
        </is>
      </c>
      <c r="C33" s="64" t="n"/>
      <c r="D33" s="64" t="n"/>
      <c r="E33" s="64" t="n"/>
      <c r="F33" s="64" t="n"/>
      <c r="G33" s="63" t="n"/>
      <c r="H33" s="9" t="inlineStr">
        <is>
          <t>How hard the work is, how freely the person decides, what the role answers for, how much it leads others, the experience it needs and its impact on the business.</t>
        </is>
      </c>
      <c r="I33" s="64" t="n"/>
      <c r="J33" s="64" t="n"/>
      <c r="K33" s="64" t="n"/>
      <c r="L33" s="64" t="n"/>
      <c r="M33" s="64" t="n"/>
      <c r="N33" s="63" t="n"/>
    </row>
    <row r="34" ht="41" customHeight="1">
      <c r="A34" s="14" t="inlineStr">
        <is>
          <t>2 · Weigh</t>
        </is>
      </c>
      <c r="B34" s="9" t="inlineStr">
        <is>
          <t>Each factor has a weight; the six weights add to 100%. They depend on the band and track and the department's type of work, and leaders can edit them on the Weightage Matrix.</t>
        </is>
      </c>
      <c r="C34" s="64" t="n"/>
      <c r="D34" s="64" t="n"/>
      <c r="E34" s="64" t="n"/>
      <c r="F34" s="64" t="n"/>
      <c r="G34" s="63" t="n"/>
      <c r="H34" s="9" t="inlineStr">
        <is>
          <t>Junior roles count the work itself most · Leadership counts 0% in Band A. Senior roles count accountability, leadership and business impact most. Experience counts little.</t>
        </is>
      </c>
      <c r="I34" s="64" t="n"/>
      <c r="J34" s="64" t="n"/>
      <c r="K34" s="64" t="n"/>
      <c r="L34" s="64" t="n"/>
      <c r="M34" s="64" t="n"/>
      <c r="N34" s="63" t="n"/>
    </row>
    <row r="35" ht="28" customHeight="1">
      <c r="A35" s="14" t="inlineStr">
        <is>
          <t>3 · Score</t>
        </is>
      </c>
      <c r="B35" s="9" t="inlineStr">
        <is>
          <t>Score = the six ratings × their weights, added up. Rounded to the nearest whole number ·.5 rounds up, it gives the indicated level.</t>
        </is>
      </c>
      <c r="C35" s="64" t="n"/>
      <c r="D35" s="64" t="n"/>
      <c r="E35" s="64" t="n"/>
      <c r="F35" s="64" t="n"/>
      <c r="G35" s="63" t="n"/>
      <c r="H35" s="9" t="inlineStr">
        <is>
          <t>A weighted average rating — so 4.73 means 'between B1 and B2, nearer B2', which rounds to B2.</t>
        </is>
      </c>
      <c r="I35" s="64" t="n"/>
      <c r="J35" s="64" t="n"/>
      <c r="K35" s="64" t="n"/>
      <c r="L35" s="64" t="n"/>
      <c r="M35" s="64" t="n"/>
      <c r="N35" s="63" t="n"/>
    </row>
    <row r="36" ht="54" customHeight="1">
      <c r="A36" s="14" t="inlineStr">
        <is>
          <t>4 · Check</t>
        </is>
      </c>
      <c r="B36" s="9" t="inlineStr">
        <is>
          <r>
            <rPr>
              <rFont val="Calibri"/>
              <b val="1"/>
              <sz val="10"/>
            </rPr>
            <t>Rules confirm or adjust the indicated level:</t>
          </r>
          <r>
            <rPr>
              <rFont val="Calibri"/>
              <sz val="10"/>
            </rPr>
            <t xml:space="preserve"> the work itself must support it, senior levels need the structure in the org chart, experience limits apply in Bands A–B, POD Leads and managers start at B1, and Player-Coaches can sit on a Player-Coach transition step.</t>
          </r>
        </is>
      </c>
      <c r="C36" s="64" t="n"/>
      <c r="D36" s="64" t="n"/>
      <c r="E36" s="64" t="n"/>
      <c r="F36" s="64" t="n"/>
      <c r="G36" s="63" t="n"/>
      <c r="H36" s="9" t="inlineStr">
        <is>
          <t>The score proposes; the rules make sure the role really carries that level. Any change is named, with its numbers, on sheet 2 of the HR Super Master.</t>
        </is>
      </c>
      <c r="I36" s="64" t="n"/>
      <c r="J36" s="64" t="n"/>
      <c r="K36" s="64" t="n"/>
      <c r="L36" s="64" t="n"/>
      <c r="M36" s="64" t="n"/>
      <c r="N36" s="63" t="n"/>
    </row>
    <row r="37" ht="15" customHeight="1"/>
    <row r="38" ht="15" customHeight="1">
      <c r="A38" s="16" t="inlineStr">
        <is>
          <t>Worked example · invented numbers — a Band B individual contributor doing technology work:</t>
        </is>
      </c>
    </row>
    <row r="39" ht="15" customHeight="1">
      <c r="A39" s="7" t="inlineStr">
        <is>
          <t>Factor</t>
        </is>
      </c>
      <c r="B39" s="7" t="inlineStr">
        <is>
          <t>Complexity</t>
        </is>
      </c>
      <c r="C39" s="63" t="n"/>
      <c r="D39" s="7" t="inlineStr">
        <is>
          <t>Autonomy</t>
        </is>
      </c>
      <c r="E39" s="63" t="n"/>
      <c r="F39" s="7" t="inlineStr">
        <is>
          <t>Accountability</t>
        </is>
      </c>
      <c r="G39" s="63" t="n"/>
      <c r="H39" s="7" t="inlineStr">
        <is>
          <t>Leadership</t>
        </is>
      </c>
      <c r="I39" s="63" t="n"/>
      <c r="J39" s="7" t="inlineStr">
        <is>
          <t>Experience</t>
        </is>
      </c>
      <c r="K39" s="63" t="n"/>
      <c r="L39" s="7" t="inlineStr">
        <is>
          <t>Bus. Impact</t>
        </is>
      </c>
      <c r="M39" s="63" t="n"/>
      <c r="N39" s="7" t="inlineStr">
        <is>
          <t>Score</t>
        </is>
      </c>
    </row>
    <row r="40" ht="15" customHeight="1">
      <c r="A40" s="14" t="inlineStr">
        <is>
          <t>Rating</t>
        </is>
      </c>
      <c r="B40" s="8" t="inlineStr">
        <is>
          <t>5</t>
        </is>
      </c>
      <c r="C40" s="63" t="n"/>
      <c r="D40" s="8" t="inlineStr">
        <is>
          <t>4</t>
        </is>
      </c>
      <c r="E40" s="63" t="n"/>
      <c r="F40" s="8" t="inlineStr">
        <is>
          <t>5</t>
        </is>
      </c>
      <c r="G40" s="63" t="n"/>
      <c r="H40" s="8" t="inlineStr">
        <is>
          <t>3</t>
        </is>
      </c>
      <c r="I40" s="63" t="n"/>
      <c r="J40" s="8" t="inlineStr">
        <is>
          <t>5</t>
        </is>
      </c>
      <c r="K40" s="63" t="n"/>
      <c r="L40" s="8" t="inlineStr">
        <is>
          <t>5</t>
        </is>
      </c>
      <c r="M40" s="63" t="n"/>
      <c r="N40" s="8" t="n"/>
    </row>
    <row r="41" ht="15" customHeight="1">
      <c r="A41" s="14" t="inlineStr">
        <is>
          <t>Weight</t>
        </is>
      </c>
      <c r="B41" s="8" t="inlineStr">
        <is>
          <t>56%</t>
        </is>
      </c>
      <c r="C41" s="63" t="n"/>
      <c r="D41" s="8" t="inlineStr">
        <is>
          <t>17%</t>
        </is>
      </c>
      <c r="E41" s="63" t="n"/>
      <c r="F41" s="8" t="inlineStr">
        <is>
          <t>5%</t>
        </is>
      </c>
      <c r="G41" s="63" t="n"/>
      <c r="H41" s="8" t="inlineStr">
        <is>
          <t>5%</t>
        </is>
      </c>
      <c r="I41" s="63" t="n"/>
      <c r="J41" s="8" t="inlineStr">
        <is>
          <t>10%</t>
        </is>
      </c>
      <c r="K41" s="63" t="n"/>
      <c r="L41" s="8" t="inlineStr">
        <is>
          <t>7%</t>
        </is>
      </c>
      <c r="M41" s="63" t="n"/>
      <c r="N41" s="8" t="inlineStr">
        <is>
          <t>100%</t>
        </is>
      </c>
    </row>
    <row r="42" ht="15" customHeight="1">
      <c r="A42" s="14" t="inlineStr">
        <is>
          <t>Rating × weight</t>
        </is>
      </c>
      <c r="B42" s="8" t="inlineStr">
        <is>
          <t>2.80</t>
        </is>
      </c>
      <c r="C42" s="63" t="n"/>
      <c r="D42" s="8" t="inlineStr">
        <is>
          <t>0.68</t>
        </is>
      </c>
      <c r="E42" s="63" t="n"/>
      <c r="F42" s="8" t="inlineStr">
        <is>
          <t>0.25</t>
        </is>
      </c>
      <c r="G42" s="63" t="n"/>
      <c r="H42" s="8" t="inlineStr">
        <is>
          <t>0.15</t>
        </is>
      </c>
      <c r="I42" s="63" t="n"/>
      <c r="J42" s="8" t="inlineStr">
        <is>
          <t>0.50</t>
        </is>
      </c>
      <c r="K42" s="63" t="n"/>
      <c r="L42" s="8" t="inlineStr">
        <is>
          <t>0.35</t>
        </is>
      </c>
      <c r="M42" s="63" t="n"/>
      <c r="N42" s="8" t="inlineStr">
        <is>
          <t>4.73 → B2</t>
        </is>
      </c>
    </row>
    <row r="43" ht="15" customHeight="1"/>
    <row r="44" ht="15" customHeight="1">
      <c r="A44" s="16" t="inlineStr">
        <is>
          <t>What the numbers mean — all businesses</t>
        </is>
      </c>
    </row>
    <row r="45" ht="15" customHeight="1">
      <c r="A45" s="7" t="inlineStr">
        <is>
          <t>Term</t>
        </is>
      </c>
      <c r="B45" s="7" t="inlineStr">
        <is>
          <t>Meaning</t>
        </is>
      </c>
      <c r="C45" s="64" t="n"/>
      <c r="D45" s="64" t="n"/>
      <c r="E45" s="64" t="n"/>
      <c r="F45" s="64" t="n"/>
      <c r="G45" s="64" t="n"/>
      <c r="H45" s="64" t="n"/>
      <c r="I45" s="64" t="n"/>
      <c r="J45" s="64" t="n"/>
      <c r="K45" s="64" t="n"/>
      <c r="L45" s="63" t="n"/>
      <c r="M45" s="7" t="inlineStr">
        <is>
          <t>People</t>
        </is>
      </c>
      <c r="N45" s="63" t="n"/>
    </row>
    <row r="46" ht="15" customHeight="1">
      <c r="A46" s="14" t="inlineStr">
        <is>
          <t>Score</t>
        </is>
      </c>
      <c r="B46" s="9" t="inlineStr">
        <is>
          <t>The size of the role in level units. Not performance, not pay.</t>
        </is>
      </c>
      <c r="C46" s="64" t="n"/>
      <c r="D46" s="64" t="n"/>
      <c r="E46" s="64" t="n"/>
      <c r="F46" s="64" t="n"/>
      <c r="G46" s="64" t="n"/>
      <c r="H46" s="64" t="n"/>
      <c r="I46" s="64" t="n"/>
      <c r="J46" s="64" t="n"/>
      <c r="K46" s="64" t="n"/>
      <c r="L46" s="63" t="n"/>
      <c r="M46" s="8" t="n">
        <v>540</v>
      </c>
      <c r="N46" s="63" t="n"/>
    </row>
    <row r="47" ht="15" customHeight="1">
      <c r="A47" s="14" t="inlineStr">
        <is>
          <t>Indicated level</t>
        </is>
      </c>
      <c r="B47" s="9" t="inlineStr">
        <is>
          <t>The score rounded to the nearest level.</t>
        </is>
      </c>
      <c r="C47" s="64" t="n"/>
      <c r="D47" s="64" t="n"/>
      <c r="E47" s="64" t="n"/>
      <c r="F47" s="64" t="n"/>
      <c r="G47" s="64" t="n"/>
      <c r="H47" s="64" t="n"/>
      <c r="I47" s="64" t="n"/>
      <c r="J47" s="64" t="n"/>
      <c r="K47" s="64" t="n"/>
      <c r="L47" s="63" t="n"/>
      <c r="M47" s="8" t="n">
        <v>540</v>
      </c>
      <c r="N47" s="63" t="n"/>
    </row>
    <row r="48" ht="15" customHeight="1">
      <c r="A48" s="14" t="inlineStr">
        <is>
          <t>Final level</t>
        </is>
      </c>
      <c r="B48" s="9" t="inlineStr">
        <is>
          <t>The level after the rules. Where it differs from the indicated level, a rule moved it and the reason is recorded.</t>
        </is>
      </c>
      <c r="C48" s="64" t="n"/>
      <c r="D48" s="64" t="n"/>
      <c r="E48" s="64" t="n"/>
      <c r="F48" s="64" t="n"/>
      <c r="G48" s="64" t="n"/>
      <c r="H48" s="64" t="n"/>
      <c r="I48" s="64" t="n"/>
      <c r="J48" s="64" t="n"/>
      <c r="K48" s="64" t="n"/>
      <c r="L48" s="63" t="n"/>
      <c r="M48" s="8" t="inlineStr">
        <is>
          <t>134 differ</t>
        </is>
      </c>
      <c r="N48" s="63" t="n"/>
    </row>
    <row r="49" ht="15" customHeight="1">
      <c r="A49" s="14" t="inlineStr">
        <is>
          <t>Close call</t>
        </is>
      </c>
      <c r="B49" s="9" t="inlineStr">
        <is>
          <t>The score decided the level and sits within ±0.05 of a rounding point. Sent to the calibration panel.</t>
        </is>
      </c>
      <c r="C49" s="64" t="n"/>
      <c r="D49" s="64" t="n"/>
      <c r="E49" s="64" t="n"/>
      <c r="F49" s="64" t="n"/>
      <c r="G49" s="64" t="n"/>
      <c r="H49" s="64" t="n"/>
      <c r="I49" s="64" t="n"/>
      <c r="J49" s="64" t="n"/>
      <c r="K49" s="64" t="n"/>
      <c r="L49" s="63" t="n"/>
      <c r="M49" s="8" t="n">
        <v>38</v>
      </c>
      <c r="N49" s="63" t="n"/>
    </row>
    <row r="50" ht="15" customHeight="1">
      <c r="A50" s="14" t="inlineStr">
        <is>
          <t>Near a gate</t>
        </is>
      </c>
      <c r="B50" s="9" t="inlineStr">
        <is>
          <t>A rule set the level, and the number behind that rule is within a quarter-point of flipping it. Sent to the calibration panel.</t>
        </is>
      </c>
      <c r="C50" s="64" t="n"/>
      <c r="D50" s="64" t="n"/>
      <c r="E50" s="64" t="n"/>
      <c r="F50" s="64" t="n"/>
      <c r="G50" s="64" t="n"/>
      <c r="H50" s="64" t="n"/>
      <c r="I50" s="64" t="n"/>
      <c r="J50" s="64" t="n"/>
      <c r="K50" s="64" t="n"/>
      <c r="L50" s="63" t="n"/>
      <c r="M50" s="8" t="n">
        <v>30</v>
      </c>
      <c r="N50" s="63" t="n"/>
    </row>
    <row r="51" ht="15" customHeight="1">
      <c r="A51" s="14" t="inlineStr">
        <is>
          <t>Not scored</t>
        </is>
      </c>
      <c r="B51" s="9" t="inlineStr">
        <is>
          <t>Interns and first-year trainees, consultants and anyone with incomplete ratings are placed by rule.</t>
        </is>
      </c>
      <c r="C51" s="64" t="n"/>
      <c r="D51" s="64" t="n"/>
      <c r="E51" s="64" t="n"/>
      <c r="F51" s="64" t="n"/>
      <c r="G51" s="64" t="n"/>
      <c r="H51" s="64" t="n"/>
      <c r="I51" s="64" t="n"/>
      <c r="J51" s="64" t="n"/>
      <c r="K51" s="64" t="n"/>
      <c r="L51" s="63" t="n"/>
      <c r="M51" s="8" t="n">
        <v>46</v>
      </c>
      <c r="N51" s="63" t="n"/>
    </row>
    <row r="52" ht="15" customHeight="1"/>
    <row r="53" ht="20" customHeight="1">
      <c r="A53" s="6" t="inlineStr">
        <is>
          <t>M1. Design principles</t>
        </is>
      </c>
    </row>
    <row r="54" ht="15" customHeight="1">
      <c r="A54" s="7" t="inlineStr">
        <is>
          <t>ID</t>
        </is>
      </c>
      <c r="B54" s="7" t="inlineStr">
        <is>
          <t>Principle</t>
        </is>
      </c>
      <c r="C54" s="64" t="n"/>
      <c r="D54" s="63" t="n"/>
      <c r="E54" s="7" t="inlineStr">
        <is>
          <t>What it means at IRIS</t>
        </is>
      </c>
      <c r="F54" s="64" t="n"/>
      <c r="G54" s="64" t="n"/>
      <c r="H54" s="64" t="n"/>
      <c r="I54" s="64" t="n"/>
      <c r="J54" s="64" t="n"/>
      <c r="K54" s="64" t="n"/>
      <c r="L54" s="63" t="n"/>
      <c r="M54" s="7" t="inlineStr">
        <is>
          <t>Sources</t>
        </is>
      </c>
      <c r="N54" s="63" t="n"/>
    </row>
    <row r="55" ht="15" customHeight="1">
      <c r="A55" s="14" t="inlineStr">
        <is>
          <t>P1</t>
        </is>
      </c>
      <c r="B55" s="9" t="inlineStr">
        <is>
          <t>Size the role, not the person</t>
        </is>
      </c>
      <c r="C55" s="64" t="n"/>
      <c r="D55" s="63" t="n"/>
      <c r="E55" s="9" t="inlineStr">
        <is>
          <t>The level measures the work the role carries. Tenure, title and pay history do not decide it.</t>
        </is>
      </c>
      <c r="F55" s="64" t="n"/>
      <c r="G55" s="64" t="n"/>
      <c r="H55" s="64" t="n"/>
      <c r="I55" s="64" t="n"/>
      <c r="J55" s="64" t="n"/>
      <c r="K55" s="64" t="n"/>
      <c r="L55" s="63" t="n"/>
      <c r="M55" s="9" t="inlineStr">
        <is>
          <t>S04, S05, S07</t>
        </is>
      </c>
      <c r="N55" s="63" t="n"/>
    </row>
    <row r="56" ht="15" customHeight="1">
      <c r="A56" s="14" t="inlineStr">
        <is>
          <t>P2</t>
        </is>
      </c>
      <c r="B56" s="9" t="inlineStr">
        <is>
          <t>One ladder for every family</t>
        </is>
      </c>
      <c r="C56" s="64" t="n"/>
      <c r="D56" s="63" t="n"/>
      <c r="E56" s="9" t="inlineStr">
        <is>
          <t>All families share the same 12 levels, so an A3 in Finance is the same size as an A3 in Engineering.</t>
        </is>
      </c>
      <c r="F56" s="64" t="n"/>
      <c r="G56" s="64" t="n"/>
      <c r="H56" s="64" t="n"/>
      <c r="I56" s="64" t="n"/>
      <c r="J56" s="64" t="n"/>
      <c r="K56" s="64" t="n"/>
      <c r="L56" s="63" t="n"/>
      <c r="M56" s="9" t="inlineStr">
        <is>
          <t>S01, S02, S03</t>
        </is>
      </c>
      <c r="N56" s="63" t="n"/>
    </row>
    <row r="57" ht="28" customHeight="1">
      <c r="A57" s="14" t="inlineStr">
        <is>
          <t>P3</t>
        </is>
      </c>
      <c r="B57" s="9" t="inlineStr">
        <is>
          <t>Two equal career tracks</t>
        </is>
      </c>
      <c r="C57" s="64" t="n"/>
      <c r="D57" s="63" t="n"/>
      <c r="E57" s="9" t="inlineStr">
        <is>
          <t>Individual Contributors and People Managers progress at equal grades from B1. Experts do not have to manage to grow.</t>
        </is>
      </c>
      <c r="F57" s="64" t="n"/>
      <c r="G57" s="64" t="n"/>
      <c r="H57" s="64" t="n"/>
      <c r="I57" s="64" t="n"/>
      <c r="J57" s="64" t="n"/>
      <c r="K57" s="64" t="n"/>
      <c r="L57" s="63" t="n"/>
      <c r="M57" s="9" t="inlineStr">
        <is>
          <t>S01, S03, S07, S37</t>
        </is>
      </c>
      <c r="N57" s="63" t="n"/>
    </row>
    <row r="58" ht="15" customHeight="1">
      <c r="A58" s="14" t="inlineStr">
        <is>
          <t>P4</t>
        </is>
      </c>
      <c r="B58" s="9" t="inlineStr">
        <is>
          <t>Few, meaningful levels</t>
        </is>
      </c>
      <c r="C58" s="64" t="n"/>
      <c r="D58" s="63" t="n"/>
      <c r="E58" s="9" t="inlineStr">
        <is>
          <t>12 employee levels for c. 590 people. Each level is a distinct step in scope.</t>
        </is>
      </c>
      <c r="F58" s="64" t="n"/>
      <c r="G58" s="64" t="n"/>
      <c r="H58" s="64" t="n"/>
      <c r="I58" s="64" t="n"/>
      <c r="J58" s="64" t="n"/>
      <c r="K58" s="64" t="n"/>
      <c r="L58" s="63" t="n"/>
      <c r="M58" s="9" t="inlineStr">
        <is>
          <t>S10, S07, S37</t>
        </is>
      </c>
      <c r="N58" s="63" t="n"/>
    </row>
    <row r="59" ht="28" customHeight="1">
      <c r="A59" s="14" t="inlineStr">
        <is>
          <t>P5</t>
        </is>
      </c>
      <c r="B59" s="9" t="inlineStr">
        <is>
          <t>Seniority shifts weight from know-how to accountability</t>
        </is>
      </c>
      <c r="C59" s="64" t="n"/>
      <c r="D59" s="63" t="n"/>
      <c r="E59" s="9" t="inlineStr">
        <is>
          <t>Lower levels are judged mainly on knowledge and skill, higher levels on what they answer for.</t>
        </is>
      </c>
      <c r="F59" s="64" t="n"/>
      <c r="G59" s="64" t="n"/>
      <c r="H59" s="64" t="n"/>
      <c r="I59" s="64" t="n"/>
      <c r="J59" s="64" t="n"/>
      <c r="K59" s="64" t="n"/>
      <c r="L59" s="63" t="n"/>
      <c r="M59" s="9" t="inlineStr">
        <is>
          <t>S05, S04</t>
        </is>
      </c>
      <c r="N59" s="63" t="n"/>
    </row>
    <row r="60" ht="15" customHeight="1">
      <c r="A60" s="14" t="inlineStr">
        <is>
          <t>P6</t>
        </is>
      </c>
      <c r="B60" s="9" t="inlineStr">
        <is>
          <t>The type of work shapes the profile</t>
        </is>
      </c>
      <c r="C60" s="64" t="n"/>
      <c r="D60" s="63" t="n"/>
      <c r="E60" s="9" t="inlineStr">
        <is>
          <t>Thinking-led · P, balanced · L and results-led · A work weight the factors differently.</t>
        </is>
      </c>
      <c r="F60" s="64" t="n"/>
      <c r="G60" s="64" t="n"/>
      <c r="H60" s="64" t="n"/>
      <c r="I60" s="64" t="n"/>
      <c r="J60" s="64" t="n"/>
      <c r="K60" s="64" t="n"/>
      <c r="L60" s="63" t="n"/>
      <c r="M60" s="9" t="inlineStr">
        <is>
          <t>S06</t>
        </is>
      </c>
      <c r="N60" s="63" t="n"/>
    </row>
    <row r="61" ht="41" customHeight="1">
      <c r="A61" s="14" t="inlineStr">
        <is>
          <t>P7</t>
        </is>
      </c>
      <c r="B61" s="9" t="inlineStr">
        <is>
          <t>Experience informs, never decides</t>
        </is>
      </c>
      <c r="C61" s="64" t="n"/>
      <c r="D61" s="63" t="n"/>
      <c r="E61" s="9" t="inlineStr">
        <is>
          <r>
            <rPr>
              <rFont val="Calibri"/>
              <b val="1"/>
              <sz val="10"/>
            </rPr>
            <t>Experience is one factor of six and is weighted low:</t>
          </r>
          <r>
            <rPr>
              <rFont val="Calibri"/>
              <sz val="10"/>
            </rPr>
            <t xml:space="preserve"> 10% in Bands A–B, 5% in Bands C–E, plus 5 in corporate functions where a professional qualification is the requirement. It can lift a level by one at most, and never past what the role shows.</t>
          </r>
        </is>
      </c>
      <c r="F61" s="64" t="n"/>
      <c r="G61" s="64" t="n"/>
      <c r="H61" s="64" t="n"/>
      <c r="I61" s="64" t="n"/>
      <c r="J61" s="64" t="n"/>
      <c r="K61" s="64" t="n"/>
      <c r="L61" s="63" t="n"/>
      <c r="M61" s="9" t="inlineStr">
        <is>
          <t>S05, S01</t>
        </is>
      </c>
      <c r="N61" s="63" t="n"/>
    </row>
    <row r="62" ht="15" customHeight="1">
      <c r="A62" s="14" t="inlineStr">
        <is>
          <t>P8</t>
        </is>
      </c>
      <c r="B62" s="9" t="inlineStr">
        <is>
          <t>Structure proves management</t>
        </is>
      </c>
      <c r="C62" s="64" t="n"/>
      <c r="D62" s="63" t="n"/>
      <c r="E62" s="9" t="inlineStr">
        <is>
          <t>The manager track needs formal reports and most of the time spent managing.</t>
        </is>
      </c>
      <c r="F62" s="64" t="n"/>
      <c r="G62" s="64" t="n"/>
      <c r="H62" s="64" t="n"/>
      <c r="I62" s="64" t="n"/>
      <c r="J62" s="64" t="n"/>
      <c r="K62" s="64" t="n"/>
      <c r="L62" s="63" t="n"/>
      <c r="M62" s="9" t="inlineStr">
        <is>
          <t>S03, S09</t>
        </is>
      </c>
      <c r="N62" s="63" t="n"/>
    </row>
    <row r="63" ht="15" customHeight="1">
      <c r="A63" s="14" t="inlineStr">
        <is>
          <t>P9</t>
        </is>
      </c>
      <c r="B63" s="9" t="inlineStr">
        <is>
          <t>Evidence before title</t>
        </is>
      </c>
      <c r="C63" s="64" t="n"/>
      <c r="D63" s="63" t="n"/>
      <c r="E63" s="9" t="inlineStr">
        <is>
          <t>Every rating starts from the designation and reporting line and moves only on survey / KRA evidence.</t>
        </is>
      </c>
      <c r="F63" s="64" t="n"/>
      <c r="G63" s="64" t="n"/>
      <c r="H63" s="64" t="n"/>
      <c r="I63" s="64" t="n"/>
      <c r="J63" s="64" t="n"/>
      <c r="K63" s="64" t="n"/>
      <c r="L63" s="63" t="n"/>
      <c r="M63" s="9" t="inlineStr">
        <is>
          <t>S08, S41, S42</t>
        </is>
      </c>
      <c r="N63" s="63" t="n"/>
    </row>
    <row r="64" ht="28" customHeight="1">
      <c r="A64" s="14" t="inlineStr">
        <is>
          <t>P10</t>
        </is>
      </c>
      <c r="B64" s="9" t="inlineStr">
        <is>
          <t>Levels say how big; competencies say how well</t>
        </is>
      </c>
      <c r="C64" s="64" t="n"/>
      <c r="D64" s="63" t="n"/>
      <c r="E64" s="9" t="inlineStr">
        <is>
          <t>The level sizes the role; the competency profile defines the capability expected in it.</t>
        </is>
      </c>
      <c r="F64" s="64" t="n"/>
      <c r="G64" s="64" t="n"/>
      <c r="H64" s="64" t="n"/>
      <c r="I64" s="64" t="n"/>
      <c r="J64" s="64" t="n"/>
      <c r="K64" s="64" t="n"/>
      <c r="L64" s="63" t="n"/>
      <c r="M64" s="9" t="inlineStr">
        <is>
          <t>S08, S14, S15</t>
        </is>
      </c>
      <c r="N64" s="63" t="n"/>
    </row>
    <row r="65" ht="15" customHeight="1">
      <c r="A65" s="14" t="inlineStr">
        <is>
          <t>P11</t>
        </is>
      </c>
      <c r="B65" s="9" t="inlineStr">
        <is>
          <t>Anchored to the market</t>
        </is>
      </c>
      <c r="C65" s="64" t="n"/>
      <c r="D65" s="63" t="n"/>
      <c r="E65" s="9" t="inlineStr">
        <is>
          <t>Every level maps to Radford / Mercer codes and to peer ladders, so pay can be benchmarked.</t>
        </is>
      </c>
      <c r="F65" s="64" t="n"/>
      <c r="G65" s="64" t="n"/>
      <c r="H65" s="64" t="n"/>
      <c r="I65" s="64" t="n"/>
      <c r="J65" s="64" t="n"/>
      <c r="K65" s="64" t="n"/>
      <c r="L65" s="63" t="n"/>
      <c r="M65" s="9" t="inlineStr">
        <is>
          <t>S01, S02, S30–S36</t>
        </is>
      </c>
      <c r="N65" s="63" t="n"/>
    </row>
    <row r="66" ht="15" customHeight="1">
      <c r="A66" s="14" t="inlineStr">
        <is>
          <t>P12</t>
        </is>
      </c>
      <c r="B66" s="9" t="inlineStr">
        <is>
          <t>Traceable and governed</t>
        </is>
      </c>
      <c r="C66" s="64" t="n"/>
      <c r="D66" s="63" t="n"/>
      <c r="E66" s="9" t="inlineStr">
        <is>
          <t>Every decision cites rule IDs and every element cites a source. The framework is reviewed every year.</t>
        </is>
      </c>
      <c r="F66" s="64" t="n"/>
      <c r="G66" s="64" t="n"/>
      <c r="H66" s="64" t="n"/>
      <c r="I66" s="64" t="n"/>
      <c r="J66" s="64" t="n"/>
      <c r="K66" s="64" t="n"/>
      <c r="L66" s="63" t="n"/>
      <c r="M66" s="9" t="inlineStr">
        <is>
          <t>—</t>
        </is>
      </c>
      <c r="N66" s="63" t="n"/>
    </row>
    <row r="67" ht="15" customHeight="1"/>
    <row r="68" ht="20" customHeight="1">
      <c r="A68" s="6" t="inlineStr">
        <is>
          <t>M2. The model in 12 steps — the flow never skips a step</t>
        </is>
      </c>
    </row>
    <row r="69" ht="15" customHeight="1">
      <c r="A69" s="12" t="inlineStr">
        <is>
          <t>Each step takes the previous step's output. Sheet 2 of the HR Super Master has its columns in this order and labels them STEP 1 … STEP 12.</t>
        </is>
      </c>
    </row>
    <row r="70" ht="41" customHeight="1">
      <c r="A70" s="7" t="inlineStr">
        <is>
          <t>Step</t>
        </is>
      </c>
      <c r="B70" s="7" t="inlineStr">
        <is>
          <t>What happens</t>
        </is>
      </c>
      <c r="C70" s="63" t="n"/>
      <c r="D70" s="7" t="inlineStr">
        <is>
          <t>Input</t>
        </is>
      </c>
      <c r="E70" s="64" t="n"/>
      <c r="F70" s="63" t="n"/>
      <c r="G70" s="7" t="inlineStr">
        <is>
          <t>Rules used</t>
        </is>
      </c>
      <c r="H70" s="64" t="n"/>
      <c r="I70" s="63" t="n"/>
      <c r="J70" s="7" t="inlineStr">
        <is>
          <t>Output</t>
        </is>
      </c>
      <c r="K70" s="64" t="n"/>
      <c r="L70" s="63" t="n"/>
      <c r="M70" s="7" t="inlineStr">
        <is>
          <t>Where to see it · HR Super Master / Product Masters</t>
        </is>
      </c>
      <c r="N70" s="63" t="n"/>
    </row>
    <row r="71" ht="28" customHeight="1">
      <c r="A71" s="17" t="inlineStr">
        <is>
          <t>1</t>
        </is>
      </c>
      <c r="B71" s="9" t="inlineStr">
        <is>
          <t>Collect inputs</t>
        </is>
      </c>
      <c r="C71" s="63" t="n"/>
      <c r="D71" s="9" t="inlineStr">
        <is>
          <t>HRIS record, survey answers, KRAs, manager talent mapping, org chart</t>
        </is>
      </c>
      <c r="E71" s="64" t="n"/>
      <c r="F71" s="63" t="n"/>
      <c r="G71" s="9" t="inlineStr">
        <is>
          <t>Data rules D1–D3</t>
        </is>
      </c>
      <c r="H71" s="64" t="n"/>
      <c r="I71" s="63" t="n"/>
      <c r="J71" s="9" t="inlineStr">
        <is>
          <t>Complete, dated input set per person</t>
        </is>
      </c>
      <c r="K71" s="64" t="n"/>
      <c r="L71" s="63" t="n"/>
      <c r="M71" s="9" t="inlineStr">
        <is>
          <t>Sheet 3 · raw data; Sheet 2 · person</t>
        </is>
      </c>
      <c r="N71" s="63" t="n"/>
    </row>
    <row r="72" ht="28" customHeight="1">
      <c r="A72" s="17" t="inlineStr">
        <is>
          <t>2</t>
        </is>
      </c>
      <c r="B72" s="9" t="inlineStr">
        <is>
          <t>Classify the work</t>
        </is>
      </c>
      <c r="C72" s="63" t="n"/>
      <c r="D72" s="9" t="inlineStr">
        <is>
          <t>What the person actually does</t>
        </is>
      </c>
      <c r="E72" s="64" t="n"/>
      <c r="F72" s="63" t="n"/>
      <c r="G72" s="9" t="inlineStr">
        <is>
          <t>Taxonomy rules T1–T4</t>
        </is>
      </c>
      <c r="H72" s="64" t="n"/>
      <c r="I72" s="63" t="n"/>
      <c r="J72" s="9" t="inlineStr">
        <is>
          <t>Department → Job family → Sub-family; type of work; Hay profile</t>
        </is>
      </c>
      <c r="K72" s="64" t="n"/>
      <c r="L72" s="63" t="n"/>
      <c r="M72" s="9" t="inlineStr">
        <is>
          <t>Sheet 1 · changes; Sheet 2</t>
        </is>
      </c>
      <c r="N72" s="63" t="n"/>
    </row>
    <row r="73" ht="28" customHeight="1">
      <c r="A73" s="17" t="inlineStr">
        <is>
          <t>3</t>
        </is>
      </c>
      <c r="B73" s="9" t="inlineStr">
        <is>
          <t>Set the track</t>
        </is>
      </c>
      <c r="C73" s="63" t="n"/>
      <c r="D73" s="9" t="inlineStr">
        <is>
          <t>Formal reports, time spent managing, hands-on delivery</t>
        </is>
      </c>
      <c r="E73" s="64" t="n"/>
      <c r="F73" s="63" t="n"/>
      <c r="G73" s="9" t="inlineStr">
        <is>
          <t>Track rules K1–K6</t>
        </is>
      </c>
      <c r="H73" s="64" t="n"/>
      <c r="I73" s="63" t="n"/>
      <c r="J73" s="9" t="inlineStr">
        <is>
          <t>IC / POD Lead / Player-Coach / People Manager / Consultant</t>
        </is>
      </c>
      <c r="K73" s="64" t="n"/>
      <c r="L73" s="63" t="n"/>
      <c r="M73" s="9" t="inlineStr">
        <is>
          <t>Sheet 2 · track</t>
        </is>
      </c>
      <c r="N73" s="63" t="n"/>
    </row>
    <row r="74" ht="28" customHeight="1">
      <c r="A74" s="17" t="inlineStr">
        <is>
          <t>4</t>
        </is>
      </c>
      <c r="B74" s="9" t="inlineStr">
        <is>
          <t>Rate the six factors</t>
        </is>
      </c>
      <c r="C74" s="63" t="n"/>
      <c r="D74" s="9" t="inlineStr">
        <is>
          <t>Designation and reporting line, moved by evidence</t>
        </is>
      </c>
      <c r="E74" s="64" t="n"/>
      <c r="F74" s="63" t="n"/>
      <c r="G74" s="9" t="inlineStr">
        <is>
          <t>Factor scales F1–F5; evidence rules E1–E3</t>
        </is>
      </c>
      <c r="H74" s="64" t="n"/>
      <c r="I74" s="63" t="n"/>
      <c r="J74" s="9" t="inlineStr">
        <is>
          <t>Six ratings on the ladder scale</t>
        </is>
      </c>
      <c r="K74" s="64" t="n"/>
      <c r="L74" s="63" t="n"/>
      <c r="M74" s="9" t="inlineStr">
        <is>
          <t>Sheet 2 · ratings + justification</t>
        </is>
      </c>
      <c r="N74" s="63" t="n"/>
    </row>
    <row r="75" ht="15" customHeight="1">
      <c r="A75" s="17" t="inlineStr">
        <is>
          <t>5</t>
        </is>
      </c>
      <c r="B75" s="9" t="inlineStr">
        <is>
          <t>Pick the weights</t>
        </is>
      </c>
      <c r="C75" s="63" t="n"/>
      <c r="D75" s="9" t="inlineStr">
        <is>
          <t>Type of work × band × track</t>
        </is>
      </c>
      <c r="E75" s="64" t="n"/>
      <c r="F75" s="63" t="n"/>
      <c r="G75" s="9" t="inlineStr">
        <is>
          <t>Weight model W1–W4</t>
        </is>
      </c>
      <c r="H75" s="64" t="n"/>
      <c r="I75" s="63" t="n"/>
      <c r="J75" s="9" t="inlineStr">
        <is>
          <t>Weight set · adds to 100%</t>
        </is>
      </c>
      <c r="K75" s="64" t="n"/>
      <c r="L75" s="63" t="n"/>
      <c r="M75" s="9" t="inlineStr">
        <is>
          <t>Sheet 2 · weights</t>
        </is>
      </c>
      <c r="N75" s="63" t="n"/>
    </row>
    <row r="76" ht="28" customHeight="1">
      <c r="A76" s="17" t="inlineStr">
        <is>
          <t>6</t>
        </is>
      </c>
      <c r="B76" s="9" t="inlineStr">
        <is>
          <t>Score</t>
        </is>
      </c>
      <c r="C76" s="63" t="n"/>
      <c r="D76" s="9" t="inlineStr">
        <is>
          <t>Ratings × weights</t>
        </is>
      </c>
      <c r="E76" s="64" t="n"/>
      <c r="F76" s="63" t="n"/>
      <c r="G76" s="9" t="inlineStr">
        <is>
          <t>R3</t>
        </is>
      </c>
      <c r="H76" s="64" t="n"/>
      <c r="I76" s="63" t="n"/>
      <c r="J76" s="9" t="inlineStr">
        <is>
          <t>Weighted score and the level it indicates</t>
        </is>
      </c>
      <c r="K76" s="64" t="n"/>
      <c r="L76" s="63" t="n"/>
      <c r="M76" s="9" t="inlineStr">
        <is>
          <t>Sheet 2 · score formula</t>
        </is>
      </c>
      <c r="N76" s="63" t="n"/>
    </row>
    <row r="77" ht="41" customHeight="1">
      <c r="A77" s="17" t="inlineStr">
        <is>
          <t>7</t>
        </is>
      </c>
      <c r="B77" s="9" t="inlineStr">
        <is>
          <t>Apply limits, gates and Player-Coach transition steps</t>
        </is>
      </c>
      <c r="C77" s="63" t="n"/>
      <c r="D77" s="9" t="inlineStr">
        <is>
          <t>Score, role substance, structure, experience, player-coach evidence</t>
        </is>
      </c>
      <c r="E77" s="64" t="n"/>
      <c r="F77" s="63" t="n"/>
      <c r="G77" s="9" t="inlineStr">
        <is>
          <t>R1–R10 in order</t>
        </is>
      </c>
      <c r="H77" s="64" t="n"/>
      <c r="I77" s="63" t="n"/>
      <c r="J77" s="9" t="inlineStr">
        <is>
          <t>Final level with the rule IDs applied</t>
        </is>
      </c>
      <c r="K77" s="64" t="n"/>
      <c r="L77" s="63" t="n"/>
      <c r="M77" s="9" t="inlineStr">
        <is>
          <t>Sheet 2 · gates &amp; limits; Sheet 9</t>
        </is>
      </c>
      <c r="N77" s="63" t="n"/>
    </row>
    <row r="78" ht="28" customHeight="1">
      <c r="A78" s="17" t="inlineStr">
        <is>
          <t>8</t>
        </is>
      </c>
      <c r="B78" s="9" t="inlineStr">
        <is>
          <t>Place level and title</t>
        </is>
      </c>
      <c r="C78" s="63" t="n"/>
      <c r="D78" s="9" t="inlineStr">
        <is>
          <t>Final level, family ladder</t>
        </is>
      </c>
      <c r="E78" s="64" t="n"/>
      <c r="F78" s="63" t="n"/>
      <c r="G78" s="9" t="inlineStr">
        <is>
          <t>Title rules N1–N5</t>
        </is>
      </c>
      <c r="H78" s="64" t="n"/>
      <c r="I78" s="63" t="n"/>
      <c r="J78" s="9" t="inlineStr">
        <is>
          <t>Level, level title, designation, title check</t>
        </is>
      </c>
      <c r="K78" s="64" t="n"/>
      <c r="L78" s="63" t="n"/>
      <c r="M78" s="9" t="inlineStr">
        <is>
          <t>Sheet 2; Sheet 7</t>
        </is>
      </c>
      <c r="N78" s="63" t="n"/>
    </row>
    <row r="79" ht="28" customHeight="1">
      <c r="A79" s="17" t="inlineStr">
        <is>
          <t>9</t>
        </is>
      </c>
      <c r="B79" s="9" t="inlineStr">
        <is>
          <t>Benchmark to market</t>
        </is>
      </c>
      <c r="C79" s="63" t="n"/>
      <c r="D79" s="9" t="inlineStr">
        <is>
          <t>Level, family</t>
        </is>
      </c>
      <c r="E79" s="64" t="n"/>
      <c r="F79" s="63" t="n"/>
      <c r="G79" s="9" t="inlineStr">
        <is>
          <t>Crosswalk</t>
        </is>
      </c>
      <c r="H79" s="64" t="n"/>
      <c r="I79" s="63" t="n"/>
      <c r="J79" s="9" t="inlineStr">
        <is>
          <t>Radford / Mercer code, SFIA level, market title, peer equivalents</t>
        </is>
      </c>
      <c r="K79" s="64" t="n"/>
      <c r="L79" s="63" t="n"/>
      <c r="M79" s="9" t="inlineStr">
        <is>
          <t>Sheet 3 · market standards; Sheet 7; Sheet 11</t>
        </is>
      </c>
      <c r="N79" s="63" t="n"/>
    </row>
    <row r="80" ht="28" customHeight="1">
      <c r="A80" s="17" t="inlineStr">
        <is>
          <t>10</t>
        </is>
      </c>
      <c r="B80" s="9" t="inlineStr">
        <is>
          <t>Set the capability profile</t>
        </is>
      </c>
      <c r="C80" s="63" t="n"/>
      <c r="D80" s="9" t="inlineStr">
        <is>
          <t>Level, family, department</t>
        </is>
      </c>
      <c r="E80" s="64" t="n"/>
      <c r="F80" s="63" t="n"/>
      <c r="G80" s="9" t="inlineStr">
        <is>
          <t>Competency model C1–C5</t>
        </is>
      </c>
      <c r="H80" s="64" t="n"/>
      <c r="I80" s="63" t="n"/>
      <c r="J80" s="9" t="inlineStr">
        <is>
          <t>Required proficiency, competency index, gaps</t>
        </is>
      </c>
      <c r="K80" s="64" t="n"/>
      <c r="L80" s="63" t="n"/>
      <c r="M80" s="9" t="inlineStr">
        <is>
          <t>Sheet 4 · role competencies; Sheet 5</t>
        </is>
      </c>
      <c r="N80" s="63" t="n"/>
    </row>
    <row r="81" ht="28" customHeight="1">
      <c r="A81" s="17" t="inlineStr">
        <is>
          <t>11</t>
        </is>
      </c>
      <c r="B81" s="9" t="inlineStr">
        <is>
          <t>Develop, retain and move</t>
        </is>
      </c>
      <c r="C81" s="63" t="n"/>
      <c r="D81" s="9" t="inlineStr">
        <is>
          <t>Gaps, potential, mobility analysis</t>
        </is>
      </c>
      <c r="E81" s="64" t="n"/>
      <c r="F81" s="63" t="n"/>
      <c r="G81" s="9" t="inlineStr">
        <is>
          <t>Career rules G1–G6</t>
        </is>
      </c>
      <c r="H81" s="64" t="n"/>
      <c r="I81" s="63" t="n"/>
      <c r="J81" s="9" t="inlineStr">
        <is>
          <t>Development plan, readiness, lateral options, succession</t>
        </is>
      </c>
      <c r="K81" s="64" t="n"/>
      <c r="L81" s="63" t="n"/>
      <c r="M81" s="9" t="inlineStr">
        <is>
          <t>Sheet 6 · role profiles; Sheet 8</t>
        </is>
      </c>
      <c r="N81" s="63" t="n"/>
    </row>
    <row r="82" ht="28" customHeight="1">
      <c r="A82" s="17" t="inlineStr">
        <is>
          <t>12</t>
        </is>
      </c>
      <c r="B82" s="9" t="inlineStr">
        <is>
          <t>Validate and govern</t>
        </is>
      </c>
      <c r="C82" s="63" t="n"/>
      <c r="D82" s="9" t="inlineStr">
        <is>
          <t>Manager and HR review, calibration</t>
        </is>
      </c>
      <c r="E82" s="64" t="n"/>
      <c r="F82" s="63" t="n"/>
      <c r="G82" s="9" t="inlineStr">
        <is>
          <t>Governance V1–V6</t>
        </is>
      </c>
      <c r="H82" s="64" t="n"/>
      <c r="I82" s="63" t="n"/>
      <c r="J82" s="9" t="inlineStr">
        <is>
          <t>Approved level and designation; change log</t>
        </is>
      </c>
      <c r="K82" s="64" t="n"/>
      <c r="L82" s="63" t="n"/>
      <c r="M82" s="9" t="inlineStr">
        <is>
          <t>Sheet 2 · validation; Sheet 9</t>
        </is>
      </c>
      <c r="N82" s="63" t="n"/>
    </row>
    <row r="83" ht="15" customHeight="1"/>
    <row r="84" ht="15" customHeight="1">
      <c r="A84" s="16" t="inlineStr">
        <is>
          <t>Data rules</t>
        </is>
      </c>
    </row>
    <row r="85" ht="15" customHeight="1">
      <c r="A85" s="7" t="inlineStr">
        <is>
          <t>ID</t>
        </is>
      </c>
      <c r="B85" s="7" t="inlineStr">
        <is>
          <t>Rule</t>
        </is>
      </c>
      <c r="C85" s="64" t="n"/>
      <c r="D85" s="64" t="n"/>
      <c r="E85" s="64" t="n"/>
      <c r="F85" s="64" t="n"/>
      <c r="G85" s="64" t="n"/>
      <c r="H85" s="64" t="n"/>
      <c r="I85" s="64" t="n"/>
      <c r="J85" s="64" t="n"/>
      <c r="K85" s="64" t="n"/>
      <c r="L85" s="63" t="n"/>
      <c r="M85" s="7" t="inlineStr">
        <is>
          <t>Sources</t>
        </is>
      </c>
      <c r="N85" s="63" t="n"/>
    </row>
    <row r="86" ht="28" customHeight="1">
      <c r="A86" s="14" t="inlineStr">
        <is>
          <t>D1</t>
        </is>
      </c>
      <c r="B86" s="9" t="inlineStr">
        <is>
          <t>HRIS is the master for identity, department, manager, dates, experience and qualification; the newest Employee Master wins, the older one fills gaps.</t>
        </is>
      </c>
      <c r="C86" s="64" t="n"/>
      <c r="D86" s="64" t="n"/>
      <c r="E86" s="64" t="n"/>
      <c r="F86" s="64" t="n"/>
      <c r="G86" s="64" t="n"/>
      <c r="H86" s="64" t="n"/>
      <c r="I86" s="64" t="n"/>
      <c r="J86" s="64" t="n"/>
      <c r="K86" s="64" t="n"/>
      <c r="L86" s="63" t="n"/>
      <c r="M86" s="9" t="inlineStr">
        <is>
          <t>S40</t>
        </is>
      </c>
      <c r="N86" s="63" t="n"/>
    </row>
    <row r="87" ht="15" customHeight="1">
      <c r="A87" s="14" t="inlineStr">
        <is>
          <t>D2</t>
        </is>
      </c>
      <c r="B87" s="9" t="inlineStr">
        <is>
          <t>Survey answers and KRAs are evidence of the work. Generic or mismatched answers are recorded but not used to move a rating.</t>
        </is>
      </c>
      <c r="C87" s="64" t="n"/>
      <c r="D87" s="64" t="n"/>
      <c r="E87" s="64" t="n"/>
      <c r="F87" s="64" t="n"/>
      <c r="G87" s="64" t="n"/>
      <c r="H87" s="64" t="n"/>
      <c r="I87" s="64" t="n"/>
      <c r="J87" s="64" t="n"/>
      <c r="K87" s="64" t="n"/>
      <c r="L87" s="63" t="n"/>
      <c r="M87" s="9" t="inlineStr">
        <is>
          <t>S41, S42</t>
        </is>
      </c>
      <c r="N87" s="63" t="n"/>
    </row>
    <row r="88" ht="15" customHeight="1">
      <c r="A88" s="14" t="inlineStr">
        <is>
          <t>D3</t>
        </is>
      </c>
      <c r="B88" s="9" t="inlineStr">
        <is>
          <t>Missing data is never guessed. The cell names who must supply it, and the level is marked provisional where it matters.</t>
        </is>
      </c>
      <c r="C88" s="64" t="n"/>
      <c r="D88" s="64" t="n"/>
      <c r="E88" s="64" t="n"/>
      <c r="F88" s="64" t="n"/>
      <c r="G88" s="64" t="n"/>
      <c r="H88" s="64" t="n"/>
      <c r="I88" s="64" t="n"/>
      <c r="J88" s="64" t="n"/>
      <c r="K88" s="64" t="n"/>
      <c r="L88" s="63" t="n"/>
      <c r="M88" s="9" t="inlineStr">
        <is>
          <t>—</t>
        </is>
      </c>
      <c r="N88" s="63" t="n"/>
    </row>
    <row r="89" ht="15" customHeight="1"/>
    <row r="90" ht="20" customHeight="1">
      <c r="A90" s="6" t="inlineStr">
        <is>
          <t>M3. Architecture &amp; taxonomy</t>
        </is>
      </c>
    </row>
    <row r="91" ht="15" customHeight="1">
      <c r="A91" s="7" t="inlineStr">
        <is>
          <t>Layer</t>
        </is>
      </c>
      <c r="B91" s="63" t="n"/>
      <c r="C91" s="7" t="inlineStr">
        <is>
          <t>Definition</t>
        </is>
      </c>
      <c r="D91" s="64" t="n"/>
      <c r="E91" s="64" t="n"/>
      <c r="F91" s="64" t="n"/>
      <c r="G91" s="64" t="n"/>
      <c r="H91" s="64" t="n"/>
      <c r="I91" s="64" t="n"/>
      <c r="J91" s="64" t="n"/>
      <c r="K91" s="64" t="n"/>
      <c r="L91" s="63" t="n"/>
      <c r="M91" s="7" t="inlineStr">
        <is>
          <t>Rule</t>
        </is>
      </c>
      <c r="N91" s="63" t="n"/>
    </row>
    <row r="92" ht="15" customHeight="1">
      <c r="A92" s="14" t="inlineStr">
        <is>
          <t>Business</t>
        </is>
      </c>
      <c r="B92" s="63" t="n"/>
      <c r="C92" s="9" t="inlineStr">
        <is>
          <t>A business line with its own P&amp;L · CARBON, iFile, iDEAL, Datatech, Consume, Corporate</t>
        </is>
      </c>
      <c r="D92" s="64" t="n"/>
      <c r="E92" s="64" t="n"/>
      <c r="F92" s="64" t="n"/>
      <c r="G92" s="64" t="n"/>
      <c r="H92" s="64" t="n"/>
      <c r="I92" s="64" t="n"/>
      <c r="J92" s="64" t="n"/>
      <c r="K92" s="64" t="n"/>
      <c r="L92" s="63" t="n"/>
      <c r="M92" s="9" t="inlineStr">
        <is>
          <t>—</t>
        </is>
      </c>
      <c r="N92" s="63" t="n"/>
    </row>
    <row r="93" ht="15" customHeight="1">
      <c r="A93" s="14" t="inlineStr">
        <is>
          <t>Department</t>
        </is>
      </c>
      <c r="B93" s="63" t="n"/>
      <c r="C93" s="9" t="inlineStr">
        <is>
          <t>Reporting unit in the HRIS</t>
        </is>
      </c>
      <c r="D93" s="64" t="n"/>
      <c r="E93" s="64" t="n"/>
      <c r="F93" s="64" t="n"/>
      <c r="G93" s="64" t="n"/>
      <c r="H93" s="64" t="n"/>
      <c r="I93" s="64" t="n"/>
      <c r="J93" s="64" t="n"/>
      <c r="K93" s="64" t="n"/>
      <c r="L93" s="63" t="n"/>
      <c r="M93" s="9" t="inlineStr">
        <is>
          <t>T1</t>
        </is>
      </c>
      <c r="N93" s="63" t="n"/>
    </row>
    <row r="94" ht="15" customHeight="1">
      <c r="A94" s="14" t="inlineStr">
        <is>
          <t>Job family</t>
        </is>
      </c>
      <c r="B94" s="63" t="n"/>
      <c r="C94" s="9" t="inlineStr">
        <is>
          <t>A discipline — same body of knowledge across departments</t>
        </is>
      </c>
      <c r="D94" s="64" t="n"/>
      <c r="E94" s="64" t="n"/>
      <c r="F94" s="64" t="n"/>
      <c r="G94" s="64" t="n"/>
      <c r="H94" s="64" t="n"/>
      <c r="I94" s="64" t="n"/>
      <c r="J94" s="64" t="n"/>
      <c r="K94" s="64" t="n"/>
      <c r="L94" s="63" t="n"/>
      <c r="M94" s="9" t="inlineStr">
        <is>
          <t>T2</t>
        </is>
      </c>
      <c r="N94" s="63" t="n"/>
    </row>
    <row r="95" ht="15" customHeight="1">
      <c r="A95" s="14" t="inlineStr">
        <is>
          <t>Sub-family</t>
        </is>
      </c>
      <c r="B95" s="63" t="n"/>
      <c r="C95" s="9" t="inlineStr">
        <is>
          <t>What the person actually does inside the family</t>
        </is>
      </c>
      <c r="D95" s="64" t="n"/>
      <c r="E95" s="64" t="n"/>
      <c r="F95" s="64" t="n"/>
      <c r="G95" s="64" t="n"/>
      <c r="H95" s="64" t="n"/>
      <c r="I95" s="64" t="n"/>
      <c r="J95" s="64" t="n"/>
      <c r="K95" s="64" t="n"/>
      <c r="L95" s="63" t="n"/>
      <c r="M95" s="9" t="inlineStr">
        <is>
          <t>T3</t>
        </is>
      </c>
      <c r="N95" s="63" t="n"/>
    </row>
    <row r="96" ht="15" customHeight="1">
      <c r="A96" s="14" t="inlineStr">
        <is>
          <t>Role · designation</t>
        </is>
      </c>
      <c r="B96" s="63" t="n"/>
      <c r="C96" s="9" t="inlineStr">
        <is>
          <t>Level marker + role noun of the sub-family</t>
        </is>
      </c>
      <c r="D96" s="64" t="n"/>
      <c r="E96" s="64" t="n"/>
      <c r="F96" s="64" t="n"/>
      <c r="G96" s="64" t="n"/>
      <c r="H96" s="64" t="n"/>
      <c r="I96" s="64" t="n"/>
      <c r="J96" s="64" t="n"/>
      <c r="K96" s="64" t="n"/>
      <c r="L96" s="63" t="n"/>
      <c r="M96" s="9" t="inlineStr">
        <is>
          <t>N1–N4</t>
        </is>
      </c>
      <c r="N96" s="63" t="n"/>
    </row>
    <row r="97" ht="15" customHeight="1">
      <c r="A97" s="14" t="inlineStr">
        <is>
          <t>Level and track</t>
        </is>
      </c>
      <c r="B97" s="63" t="n"/>
      <c r="C97" s="9" t="inlineStr">
        <is>
          <t>Size of the role and whether it leads people</t>
        </is>
      </c>
      <c r="D97" s="64" t="n"/>
      <c r="E97" s="64" t="n"/>
      <c r="F97" s="64" t="n"/>
      <c r="G97" s="64" t="n"/>
      <c r="H97" s="64" t="n"/>
      <c r="I97" s="64" t="n"/>
      <c r="J97" s="64" t="n"/>
      <c r="K97" s="64" t="n"/>
      <c r="L97" s="63" t="n"/>
      <c r="M97" s="9" t="inlineStr">
        <is>
          <t>R1–R10, K1–K6</t>
        </is>
      </c>
      <c r="N97" s="63" t="n"/>
    </row>
    <row r="98" ht="15" customHeight="1"/>
    <row r="99" ht="15" customHeight="1">
      <c r="A99" s="7" t="inlineStr">
        <is>
          <t>ID</t>
        </is>
      </c>
      <c r="B99" s="7" t="inlineStr">
        <is>
          <t>Taxonomy rule</t>
        </is>
      </c>
      <c r="C99" s="64" t="n"/>
      <c r="D99" s="64" t="n"/>
      <c r="E99" s="64" t="n"/>
      <c r="F99" s="64" t="n"/>
      <c r="G99" s="64" t="n"/>
      <c r="H99" s="64" t="n"/>
      <c r="I99" s="64" t="n"/>
      <c r="J99" s="64" t="n"/>
      <c r="K99" s="64" t="n"/>
      <c r="L99" s="63" t="n"/>
      <c r="M99" s="7" t="inlineStr">
        <is>
          <t>Sources</t>
        </is>
      </c>
      <c r="N99" s="63" t="n"/>
    </row>
    <row r="100" ht="15" customHeight="1">
      <c r="A100" s="14" t="inlineStr">
        <is>
          <t>T1</t>
        </is>
      </c>
      <c r="B100" s="9" t="inlineStr">
        <is>
          <t>Department is the reporting unit in the HRIS; it is not changed by this framework.</t>
        </is>
      </c>
      <c r="C100" s="64" t="n"/>
      <c r="D100" s="64" t="n"/>
      <c r="E100" s="64" t="n"/>
      <c r="F100" s="64" t="n"/>
      <c r="G100" s="64" t="n"/>
      <c r="H100" s="64" t="n"/>
      <c r="I100" s="64" t="n"/>
      <c r="J100" s="64" t="n"/>
      <c r="K100" s="64" t="n"/>
      <c r="L100" s="63" t="n"/>
      <c r="M100" s="9" t="inlineStr">
        <is>
          <t>S40</t>
        </is>
      </c>
      <c r="N100" s="63" t="n"/>
    </row>
    <row r="101" ht="28" customHeight="1">
      <c r="A101" s="14" t="inlineStr">
        <is>
          <t>T2</t>
        </is>
      </c>
      <c r="B101" s="9" t="inlineStr">
        <is>
          <r>
            <rPr>
              <rFont val="Calibri"/>
              <b val="1"/>
              <sz val="10"/>
            </rPr>
            <t>A job family is a discipline:</t>
          </r>
          <r>
            <rPr>
              <rFont val="Calibri"/>
              <sz val="10"/>
            </rPr>
            <t xml:space="preserve"> people who apply the same body of knowledge, wherever they sit. Each family is anchored to an ISCO-08 / NCO-2015 occupation group.</t>
          </r>
        </is>
      </c>
      <c r="C101" s="64" t="n"/>
      <c r="D101" s="64" t="n"/>
      <c r="E101" s="64" t="n"/>
      <c r="F101" s="64" t="n"/>
      <c r="G101" s="64" t="n"/>
      <c r="H101" s="64" t="n"/>
      <c r="I101" s="64" t="n"/>
      <c r="J101" s="64" t="n"/>
      <c r="K101" s="64" t="n"/>
      <c r="L101" s="63" t="n"/>
      <c r="M101" s="9" t="inlineStr">
        <is>
          <t>S26, S01</t>
        </is>
      </c>
      <c r="N101" s="63" t="n"/>
    </row>
    <row r="102" ht="28" customHeight="1">
      <c r="A102" s="14" t="inlineStr">
        <is>
          <t>T3</t>
        </is>
      </c>
      <c r="B102" s="9" t="inlineStr">
        <is>
          <t>A sub-family names the work the person actually does · product, market, method, so two people in one sub-family are interchangeable after a short handover.</t>
        </is>
      </c>
      <c r="C102" s="64" t="n"/>
      <c r="D102" s="64" t="n"/>
      <c r="E102" s="64" t="n"/>
      <c r="F102" s="64" t="n"/>
      <c r="G102" s="64" t="n"/>
      <c r="H102" s="64" t="n"/>
      <c r="I102" s="64" t="n"/>
      <c r="J102" s="64" t="n"/>
      <c r="K102" s="64" t="n"/>
      <c r="L102" s="63" t="n"/>
      <c r="M102" s="9" t="inlineStr">
        <is>
          <t>S27</t>
        </is>
      </c>
      <c r="N102" s="63" t="n"/>
    </row>
    <row r="103" ht="15" customHeight="1">
      <c r="A103" s="14" t="inlineStr">
        <is>
          <t>T4</t>
        </is>
      </c>
      <c r="B103" s="9" t="inlineStr">
        <is>
          <t>Each department is assigned one type of work · P / L / A profile, which selects the weight tilt.</t>
        </is>
      </c>
      <c r="C103" s="64" t="n"/>
      <c r="D103" s="64" t="n"/>
      <c r="E103" s="64" t="n"/>
      <c r="F103" s="64" t="n"/>
      <c r="G103" s="64" t="n"/>
      <c r="H103" s="64" t="n"/>
      <c r="I103" s="64" t="n"/>
      <c r="J103" s="64" t="n"/>
      <c r="K103" s="64" t="n"/>
      <c r="L103" s="63" t="n"/>
      <c r="M103" s="9" t="inlineStr">
        <is>
          <t>S06</t>
        </is>
      </c>
      <c r="N103" s="63" t="n"/>
    </row>
    <row r="104" ht="15" customHeight="1"/>
    <row r="105" ht="15" customHeight="1">
      <c r="A105" s="16" t="inlineStr">
        <is>
          <t>Family catalogue · enterprise</t>
        </is>
      </c>
    </row>
    <row r="106" ht="15" customHeight="1">
      <c r="A106" s="7" t="inlineStr">
        <is>
          <t>Job family</t>
        </is>
      </c>
      <c r="B106" s="63" t="n"/>
      <c r="C106" s="7" t="inlineStr">
        <is>
          <t>What it is</t>
        </is>
      </c>
      <c r="D106" s="64" t="n"/>
      <c r="E106" s="64" t="n"/>
      <c r="F106" s="63" t="n"/>
      <c r="G106" s="7" t="inlineStr">
        <is>
          <t>ISCO-08 / NCO-2015 anchor</t>
        </is>
      </c>
      <c r="H106" s="64" t="n"/>
      <c r="I106" s="64" t="n"/>
      <c r="J106" s="63" t="n"/>
      <c r="K106" s="7" t="inlineStr">
        <is>
          <t>Hay profile</t>
        </is>
      </c>
      <c r="L106" s="63" t="n"/>
      <c r="M106" s="7" t="inlineStr">
        <is>
          <t>Sub-families</t>
        </is>
      </c>
      <c r="N106" s="7" t="inlineStr">
        <is>
          <t>People</t>
        </is>
      </c>
    </row>
    <row r="107" ht="41" customHeight="1">
      <c r="A107" s="14" t="inlineStr">
        <is>
          <t>Engineering &amp; Development</t>
        </is>
      </c>
      <c r="B107" s="63" t="n"/>
      <c r="C107" s="9" t="inlineStr">
        <is>
          <t>Designs, builds and maintains IRIS software products and portals across .NET, Java, front-end, AI/ML, data and DevOps.</t>
        </is>
      </c>
      <c r="D107" s="64" t="n"/>
      <c r="E107" s="64" t="n"/>
      <c r="F107" s="63" t="n"/>
      <c r="G107" s="9" t="inlineStr">
        <is>
          <t>25 ICT professionals · 2512 Software developers / 2514 Applications programmers</t>
        </is>
      </c>
      <c r="H107" s="64" t="n"/>
      <c r="I107" s="64" t="n"/>
      <c r="J107" s="63" t="n"/>
      <c r="K107" s="8" t="inlineStr">
        <is>
          <t>P</t>
        </is>
      </c>
      <c r="L107" s="63" t="n"/>
      <c r="M107" s="8" t="n">
        <v>8</v>
      </c>
      <c r="N107" s="8" t="n">
        <v>179</v>
      </c>
    </row>
    <row r="108" ht="41" customHeight="1">
      <c r="A108" s="14" t="inlineStr">
        <is>
          <t>Consulting &amp; Professional Services</t>
        </is>
      </c>
      <c r="B108" s="63" t="n"/>
      <c r="C108" s="9" t="inlineStr">
        <is>
          <t>Delivers XBRL tagging, conversion, filing and taxonomy consulting services for filers and regulators.</t>
        </is>
      </c>
      <c r="D108" s="64" t="n"/>
      <c r="E108" s="64" t="n"/>
      <c r="F108" s="63" t="n"/>
      <c r="G108" s="9" t="inlineStr">
        <is>
          <t>24 Business &amp; administration professionals · 2411 Accountants; 33 · 3313 Accounting associate professionals</t>
        </is>
      </c>
      <c r="H108" s="64" t="n"/>
      <c r="I108" s="64" t="n"/>
      <c r="J108" s="63" t="n"/>
      <c r="K108" s="8" t="inlineStr">
        <is>
          <t>L / A</t>
        </is>
      </c>
      <c r="L108" s="63" t="n"/>
      <c r="M108" s="8" t="n">
        <v>4</v>
      </c>
      <c r="N108" s="8" t="n">
        <v>89</v>
      </c>
    </row>
    <row r="109" ht="41" customHeight="1">
      <c r="A109" s="14" t="inlineStr">
        <is>
          <t>Sales &amp; Business Development</t>
        </is>
      </c>
      <c r="B109" s="63" t="n"/>
      <c r="C109" s="9" t="inlineStr">
        <is>
          <t>Generates pipeline and closes revenue — SDR, enterprise sales, pre-sales, bids, partnerships, field outreach, sales ops.</t>
        </is>
      </c>
      <c r="D109" s="64" t="n"/>
      <c r="E109" s="64" t="n"/>
      <c r="F109" s="63" t="n"/>
      <c r="G109" s="9" t="inlineStr">
        <is>
          <t>24 · 2433 Technical sales professionals · ICT; 33 · 3322 Commercial sales representatives</t>
        </is>
      </c>
      <c r="H109" s="64" t="n"/>
      <c r="I109" s="64" t="n"/>
      <c r="J109" s="63" t="n"/>
      <c r="K109" s="8" t="inlineStr">
        <is>
          <t>A</t>
        </is>
      </c>
      <c r="L109" s="63" t="n"/>
      <c r="M109" s="8" t="n">
        <v>7</v>
      </c>
      <c r="N109" s="8" t="n">
        <v>39</v>
      </c>
    </row>
    <row r="110" ht="28" customHeight="1">
      <c r="A110" s="14" t="inlineStr">
        <is>
          <t>Quality Assurance</t>
        </is>
      </c>
      <c r="B110" s="63" t="n"/>
      <c r="C110" s="9" t="inlineStr">
        <is>
          <t>Assures product quality through manual, functional and automated testing and release sign-off.</t>
        </is>
      </c>
      <c r="D110" s="64" t="n"/>
      <c r="E110" s="64" t="n"/>
      <c r="F110" s="63" t="n"/>
      <c r="G110" s="9" t="inlineStr">
        <is>
          <t>25 ICT professionals · 2519 Software &amp; applications developers and analysts n.e.c. · testers</t>
        </is>
      </c>
      <c r="H110" s="64" t="n"/>
      <c r="I110" s="64" t="n"/>
      <c r="J110" s="63" t="n"/>
      <c r="K110" s="8" t="inlineStr">
        <is>
          <t>P</t>
        </is>
      </c>
      <c r="L110" s="63" t="n"/>
      <c r="M110" s="8" t="n">
        <v>3</v>
      </c>
      <c r="N110" s="8" t="n">
        <v>38</v>
      </c>
    </row>
    <row r="111" ht="28" customHeight="1">
      <c r="A111" s="14" t="inlineStr">
        <is>
          <t>Customer Success &amp; Support</t>
        </is>
      </c>
      <c r="B111" s="63" t="n"/>
      <c r="C111" s="9" t="inlineStr">
        <is>
          <t>Retains and grows clients after sale and resolves product issues.</t>
        </is>
      </c>
      <c r="D111" s="64" t="n"/>
      <c r="E111" s="64" t="n"/>
      <c r="F111" s="63" t="n"/>
      <c r="G111" s="9" t="inlineStr">
        <is>
          <t>35 ICT technicians · 3512 ICT user support; 24 · 2433 ICT sales professionals</t>
        </is>
      </c>
      <c r="H111" s="64" t="n"/>
      <c r="I111" s="64" t="n"/>
      <c r="J111" s="63" t="n"/>
      <c r="K111" s="8" t="inlineStr">
        <is>
          <t>A</t>
        </is>
      </c>
      <c r="L111" s="63" t="n"/>
      <c r="M111" s="8" t="n">
        <v>4</v>
      </c>
      <c r="N111" s="8" t="n">
        <v>37</v>
      </c>
    </row>
    <row r="112" ht="28" customHeight="1">
      <c r="A112" s="14" t="inlineStr">
        <is>
          <t>Data Operations &amp; Digitization</t>
        </is>
      </c>
      <c r="B112" s="63" t="n"/>
      <c r="C112" s="9" t="inlineStr">
        <is>
          <t>Runs high-volume document conversion, regulator web content and financial data operations.</t>
        </is>
      </c>
      <c r="D112" s="64" t="n"/>
      <c r="E112" s="64" t="n"/>
      <c r="F112" s="63" t="n"/>
      <c r="G112" s="9" t="inlineStr">
        <is>
          <t>41 General &amp; keyboard clerks · 4132 Data-entry clerks; 33 Associate professionals</t>
        </is>
      </c>
      <c r="H112" s="64" t="n"/>
      <c r="I112" s="64" t="n"/>
      <c r="J112" s="63" t="n"/>
      <c r="K112" s="8" t="inlineStr">
        <is>
          <t>A</t>
        </is>
      </c>
      <c r="L112" s="63" t="n"/>
      <c r="M112" s="8" t="n">
        <v>2</v>
      </c>
      <c r="N112" s="8" t="n">
        <v>32</v>
      </c>
    </row>
    <row r="113" ht="41" customHeight="1">
      <c r="A113" s="14" t="inlineStr">
        <is>
          <t>Business Analysis</t>
        </is>
      </c>
      <c r="B113" s="63" t="n"/>
      <c r="C113" s="9" t="inlineStr">
        <is>
          <t>Translates regulator, bank and client needs into requirements; configures and validates regulatory solutions.</t>
        </is>
      </c>
      <c r="D113" s="64" t="n"/>
      <c r="E113" s="64" t="n"/>
      <c r="F113" s="63" t="n"/>
      <c r="G113" s="9" t="inlineStr">
        <is>
          <t>25 ICT professionals · 2511 Systems analysts</t>
        </is>
      </c>
      <c r="H113" s="64" t="n"/>
      <c r="I113" s="64" t="n"/>
      <c r="J113" s="63" t="n"/>
      <c r="K113" s="8" t="inlineStr">
        <is>
          <t>P / L</t>
        </is>
      </c>
      <c r="L113" s="63" t="n"/>
      <c r="M113" s="8" t="n">
        <v>1</v>
      </c>
      <c r="N113" s="8" t="n">
        <v>29</v>
      </c>
    </row>
    <row r="114" ht="28" customHeight="1">
      <c r="A114" s="14" t="inlineStr">
        <is>
          <t>Marketing &amp; Communications</t>
        </is>
      </c>
      <c r="B114" s="63" t="n"/>
      <c r="C114" s="9" t="inlineStr">
        <is>
          <t>Drives brand, content, digital, product marketing and marketing operations.</t>
        </is>
      </c>
      <c r="D114" s="64" t="n"/>
      <c r="E114" s="64" t="n"/>
      <c r="F114" s="63" t="n"/>
      <c r="G114" s="9" t="inlineStr">
        <is>
          <t>24 · 2431 Advertising &amp; marketing professionals; 2432 Public relations professionals</t>
        </is>
      </c>
      <c r="H114" s="64" t="n"/>
      <c r="I114" s="64" t="n"/>
      <c r="J114" s="63" t="n"/>
      <c r="K114" s="8" t="inlineStr">
        <is>
          <t>A</t>
        </is>
      </c>
      <c r="L114" s="63" t="n"/>
      <c r="M114" s="8" t="n">
        <v>7</v>
      </c>
      <c r="N114" s="8" t="n">
        <v>23</v>
      </c>
    </row>
    <row r="115" ht="28" customHeight="1">
      <c r="A115" s="14" t="inlineStr">
        <is>
          <t>Project &amp; Program Management</t>
        </is>
      </c>
      <c r="B115" s="63" t="n"/>
      <c r="C115" s="9" t="inlineStr">
        <is>
          <t>Plans and delivers projects/programmes and runs delivery governance and PMO.</t>
        </is>
      </c>
      <c r="D115" s="64" t="n"/>
      <c r="E115" s="64" t="n"/>
      <c r="F115" s="63" t="n"/>
      <c r="G115" s="9" t="inlineStr">
        <is>
          <t>24 Business &amp; administration professionals; 1330 ICT services managers at manager levels</t>
        </is>
      </c>
      <c r="H115" s="64" t="n"/>
      <c r="I115" s="64" t="n"/>
      <c r="J115" s="63" t="n"/>
      <c r="K115" s="8" t="inlineStr">
        <is>
          <t>L / A</t>
        </is>
      </c>
      <c r="L115" s="63" t="n"/>
      <c r="M115" s="8" t="n">
        <v>3</v>
      </c>
      <c r="N115" s="8" t="n">
        <v>18</v>
      </c>
    </row>
    <row r="116" ht="41" customHeight="1">
      <c r="A116" s="14" t="inlineStr">
        <is>
          <t>Product Management</t>
        </is>
      </c>
      <c r="B116" s="63" t="n"/>
      <c r="C116" s="9" t="inlineStr">
        <is>
          <t>Owns product vision, roadmap, requirements and adoption, including functional and ESG product ownership.</t>
        </is>
      </c>
      <c r="D116" s="64" t="n"/>
      <c r="E116" s="64" t="n"/>
      <c r="F116" s="63" t="n"/>
      <c r="G116" s="9" t="inlineStr">
        <is>
          <t>24 Business &amp; administration professionals · 2421 Management &amp; organisation analysts</t>
        </is>
      </c>
      <c r="H116" s="64" t="n"/>
      <c r="I116" s="64" t="n"/>
      <c r="J116" s="63" t="n"/>
      <c r="K116" s="8" t="inlineStr">
        <is>
          <t>L</t>
        </is>
      </c>
      <c r="L116" s="63" t="n"/>
      <c r="M116" s="8" t="n">
        <v>2</v>
      </c>
      <c r="N116" s="8" t="n">
        <v>15</v>
      </c>
    </row>
    <row r="117" ht="28" customHeight="1">
      <c r="A117" s="14" t="inlineStr">
        <is>
          <t>IT &amp; Infrastructure</t>
        </is>
      </c>
      <c r="B117" s="63" t="n"/>
      <c r="C117" s="9" t="inlineStr">
        <is>
          <t>Runs internal and hosted infrastructure, cloud, security and end-user IT.</t>
        </is>
      </c>
      <c r="D117" s="64" t="n"/>
      <c r="E117" s="64" t="n"/>
      <c r="F117" s="63" t="n"/>
      <c r="G117" s="9" t="inlineStr">
        <is>
          <t>25 · 2522 Systems administrators / 2523 Network professionals; 35 · 3512 ICT user support</t>
        </is>
      </c>
      <c r="H117" s="64" t="n"/>
      <c r="I117" s="64" t="n"/>
      <c r="J117" s="63" t="n"/>
      <c r="K117" s="8" t="inlineStr">
        <is>
          <t>P</t>
        </is>
      </c>
      <c r="L117" s="63" t="n"/>
      <c r="M117" s="8" t="n">
        <v>3</v>
      </c>
      <c r="N117" s="8" t="n">
        <v>13</v>
      </c>
    </row>
    <row r="118" ht="28" customHeight="1">
      <c r="A118" s="14" t="inlineStr">
        <is>
          <t>Executive Leadership</t>
        </is>
      </c>
      <c r="B118" s="63" t="n"/>
      <c r="C118" s="9" t="inlineStr">
        <is>
          <t>Enterprise and business-line leadership.</t>
        </is>
      </c>
      <c r="D118" s="64" t="n"/>
      <c r="E118" s="64" t="n"/>
      <c r="F118" s="63" t="n"/>
      <c r="G118" s="9" t="inlineStr">
        <is>
          <t>11 · 1120 Managing directors &amp; chief executives; 12 Administrative &amp; commercial managers</t>
        </is>
      </c>
      <c r="H118" s="64" t="n"/>
      <c r="I118" s="64" t="n"/>
      <c r="J118" s="63" t="n"/>
      <c r="K118" s="8" t="inlineStr">
        <is>
          <t>A</t>
        </is>
      </c>
      <c r="L118" s="63" t="n"/>
      <c r="M118" s="8" t="n">
        <v>2</v>
      </c>
      <c r="N118" s="8" t="n">
        <v>11</v>
      </c>
    </row>
    <row r="119" ht="28" customHeight="1">
      <c r="A119" s="14" t="inlineStr">
        <is>
          <t>Data &amp; Analytics</t>
        </is>
      </c>
      <c r="B119" s="63" t="n"/>
      <c r="C119" s="9" t="inlineStr">
        <is>
          <t>Financial data processing, MIS and reporting analytics.</t>
        </is>
      </c>
      <c r="D119" s="64" t="n"/>
      <c r="E119" s="64" t="n"/>
      <c r="F119" s="63" t="n"/>
      <c r="G119" s="9" t="inlineStr">
        <is>
          <t>25 ICT professionals · 2521 Database designers; 21 · 2120 Statisticians</t>
        </is>
      </c>
      <c r="H119" s="64" t="n"/>
      <c r="I119" s="64" t="n"/>
      <c r="J119" s="63" t="n"/>
      <c r="K119" s="8" t="inlineStr">
        <is>
          <t>P</t>
        </is>
      </c>
      <c r="L119" s="63" t="n"/>
      <c r="M119" s="8" t="n">
        <v>2</v>
      </c>
      <c r="N119" s="8" t="n">
        <v>11</v>
      </c>
    </row>
    <row r="120" ht="28" customHeight="1">
      <c r="A120" s="14" t="inlineStr">
        <is>
          <t>Engineering &amp; Architecture</t>
        </is>
      </c>
      <c r="B120" s="63" t="n"/>
      <c r="C120" s="9" t="inlineStr">
        <is>
          <t>Technical / solution architecture — system design authority across products.</t>
        </is>
      </c>
      <c r="D120" s="64" t="n"/>
      <c r="E120" s="64" t="n"/>
      <c r="F120" s="63" t="n"/>
      <c r="G120" s="9" t="inlineStr">
        <is>
          <t>25 ICT professionals · 2511 Systems analysts / 2512 Software developers</t>
        </is>
      </c>
      <c r="H120" s="64" t="n"/>
      <c r="I120" s="64" t="n"/>
      <c r="J120" s="63" t="n"/>
      <c r="K120" s="8" t="inlineStr">
        <is>
          <t>P</t>
        </is>
      </c>
      <c r="L120" s="63" t="n"/>
      <c r="M120" s="8" t="n">
        <v>1</v>
      </c>
      <c r="N120" s="8" t="n">
        <v>10</v>
      </c>
    </row>
    <row r="121" ht="28" customHeight="1">
      <c r="A121" s="14" t="inlineStr">
        <is>
          <t>Finance &amp; Accounts</t>
        </is>
      </c>
      <c r="B121" s="63" t="n"/>
      <c r="C121" s="9" t="inlineStr">
        <is>
          <t>Accounting, reporting, compliance, audit and finance leadership.</t>
        </is>
      </c>
      <c r="D121" s="64" t="n"/>
      <c r="E121" s="64" t="n"/>
      <c r="F121" s="63" t="n"/>
      <c r="G121" s="9" t="inlineStr">
        <is>
          <t>24 · 2411 Accountants; 33 · 3313 Accounting associate professionals; 12 · 1211 Finance managers</t>
        </is>
      </c>
      <c r="H121" s="64" t="n"/>
      <c r="I121" s="64" t="n"/>
      <c r="J121" s="63" t="n"/>
      <c r="K121" s="8" t="inlineStr">
        <is>
          <t>L</t>
        </is>
      </c>
      <c r="L121" s="63" t="n"/>
      <c r="M121" s="8" t="n">
        <v>3</v>
      </c>
      <c r="N121" s="8" t="n">
        <v>10</v>
      </c>
    </row>
    <row r="122" ht="28" customHeight="1">
      <c r="A122" s="14" t="inlineStr">
        <is>
          <t>Administration, Legal &amp; Secretarial</t>
        </is>
      </c>
      <c r="B122" s="63" t="n"/>
      <c r="C122" s="9" t="inlineStr">
        <is>
          <t>Office administration, travel, facilities, company secretarial and legal compliance.</t>
        </is>
      </c>
      <c r="D122" s="64" t="n"/>
      <c r="E122" s="64" t="n"/>
      <c r="F122" s="63" t="n"/>
      <c r="G122" s="9" t="inlineStr">
        <is>
          <t>26 · 2611 Lawyers / 2619 Legal professionals n.e.c.; 33 · 3343 Administrative secretaries; 12 · 1219</t>
        </is>
      </c>
      <c r="H122" s="64" t="n"/>
      <c r="I122" s="64" t="n"/>
      <c r="J122" s="63" t="n"/>
      <c r="K122" s="8" t="inlineStr">
        <is>
          <t>L</t>
        </is>
      </c>
      <c r="L122" s="63" t="n"/>
      <c r="M122" s="8" t="n">
        <v>2</v>
      </c>
      <c r="N122" s="8" t="n">
        <v>9</v>
      </c>
    </row>
    <row r="123" ht="28" customHeight="1">
      <c r="A123" s="14" t="inlineStr">
        <is>
          <t>Human Resources</t>
        </is>
      </c>
      <c r="B123" s="63" t="n"/>
      <c r="C123" s="9" t="inlineStr">
        <is>
          <t>Talent acquisition, payroll/HRIS, employee experience, transformation and HR leadership.</t>
        </is>
      </c>
      <c r="D123" s="64" t="n"/>
      <c r="E123" s="64" t="n"/>
      <c r="F123" s="63" t="n"/>
      <c r="G123" s="9" t="inlineStr">
        <is>
          <t>24 · 2423 Personnel &amp; careers professionals; 12 · 1212 Human resource managers</t>
        </is>
      </c>
      <c r="H123" s="64" t="n"/>
      <c r="I123" s="64" t="n"/>
      <c r="J123" s="63" t="n"/>
      <c r="K123" s="8" t="inlineStr">
        <is>
          <t>L</t>
        </is>
      </c>
      <c r="L123" s="63" t="n"/>
      <c r="M123" s="8" t="n">
        <v>4</v>
      </c>
      <c r="N123" s="8" t="n">
        <v>8</v>
      </c>
    </row>
    <row r="124" ht="28" customHeight="1">
      <c r="A124" s="14" t="inlineStr">
        <is>
          <t>Solution Consulting &amp; Implementation</t>
        </is>
      </c>
      <c r="B124" s="63" t="n"/>
      <c r="C124" s="9" t="inlineStr">
        <is>
          <t>Implements the product at clients, trains users and advises on ESG / disclosure reporting.</t>
        </is>
      </c>
      <c r="D124" s="64" t="n"/>
      <c r="E124" s="64" t="n"/>
      <c r="F124" s="63" t="n"/>
      <c r="G124" s="9" t="inlineStr">
        <is>
          <t>25 ICT professionals · 2511 Systems analysts; 24 Business professionals</t>
        </is>
      </c>
      <c r="H124" s="64" t="n"/>
      <c r="I124" s="64" t="n"/>
      <c r="J124" s="63" t="n"/>
      <c r="K124" s="8" t="inlineStr">
        <is>
          <t>L</t>
        </is>
      </c>
      <c r="L124" s="63" t="n"/>
      <c r="M124" s="8" t="n">
        <v>1</v>
      </c>
      <c r="N124" s="8" t="n">
        <v>7</v>
      </c>
    </row>
    <row r="125" ht="28" customHeight="1">
      <c r="A125" s="14" t="inlineStr">
        <is>
          <t>Design &amp; Creative</t>
        </is>
      </c>
      <c r="B125" s="63" t="n"/>
      <c r="C125" s="9" t="inlineStr">
        <is>
          <t>Designs product UX/UI and brand, graphic and video assets.</t>
        </is>
      </c>
      <c r="D125" s="64" t="n"/>
      <c r="E125" s="64" t="n"/>
      <c r="F125" s="63" t="n"/>
      <c r="G125" s="9" t="inlineStr">
        <is>
          <t>21 Science &amp; engineering professionals · 2166 Graphic &amp; multimedia designers</t>
        </is>
      </c>
      <c r="H125" s="64" t="n"/>
      <c r="I125" s="64" t="n"/>
      <c r="J125" s="63" t="n"/>
      <c r="K125" s="8" t="inlineStr">
        <is>
          <t>P</t>
        </is>
      </c>
      <c r="L125" s="63" t="n"/>
      <c r="M125" s="8" t="n">
        <v>2</v>
      </c>
      <c r="N125" s="8" t="n">
        <v>6</v>
      </c>
    </row>
    <row r="126" ht="15" customHeight="1">
      <c r="A126" s="14" t="inlineStr">
        <is>
          <t>Unassigned</t>
        </is>
      </c>
      <c r="B126" s="63" t="n"/>
      <c r="C126" s="9" t="inlineStr">
        <is>
          <t>Records with no department or role data.</t>
        </is>
      </c>
      <c r="D126" s="64" t="n"/>
      <c r="E126" s="64" t="n"/>
      <c r="F126" s="63" t="n"/>
      <c r="G126" s="9" t="inlineStr">
        <is>
          <t>— · role not recorded</t>
        </is>
      </c>
      <c r="H126" s="64" t="n"/>
      <c r="I126" s="64" t="n"/>
      <c r="J126" s="63" t="n"/>
      <c r="K126" s="8" t="inlineStr">
        <is>
          <t>—</t>
        </is>
      </c>
      <c r="L126" s="63" t="n"/>
      <c r="M126" s="8" t="n">
        <v>1</v>
      </c>
      <c r="N126" s="8" t="n">
        <v>2</v>
      </c>
    </row>
    <row r="127" ht="15" customHeight="1"/>
    <row r="128" ht="20" customHeight="1">
      <c r="A128" s="6" t="inlineStr">
        <is>
          <t>M3b. Family boundaries — purpose, includes, excludes</t>
        </is>
      </c>
    </row>
    <row r="129" ht="28" customHeight="1">
      <c r="A129" s="12" t="inlineStr">
        <is>
          <t>Each family's enduring purpose, what belongs in it and what belongs to a neighbouring family — from IRIS Career Architecture V2 · HR research, 7 Oct 2026. Use it to settle borderline family calls in validation and calibration.</t>
        </is>
      </c>
    </row>
    <row r="130" ht="15" customHeight="1">
      <c r="A130" s="7" t="inlineStr">
        <is>
          <t>Job family</t>
        </is>
      </c>
      <c r="B130" s="64" t="n"/>
      <c r="C130" s="63" t="n"/>
      <c r="D130" s="7" t="inlineStr">
        <is>
          <t>Enduring purpose</t>
        </is>
      </c>
      <c r="E130" s="64" t="n"/>
      <c r="F130" s="63" t="n"/>
      <c r="G130" s="7" t="inlineStr">
        <is>
          <t>Includes</t>
        </is>
      </c>
      <c r="H130" s="64" t="n"/>
      <c r="I130" s="64" t="n"/>
      <c r="J130" s="63" t="n"/>
      <c r="K130" s="7" t="inlineStr">
        <is>
          <t>Excludes / neighbouring profession</t>
        </is>
      </c>
      <c r="L130" s="64" t="n"/>
      <c r="M130" s="64" t="n"/>
      <c r="N130" s="63" t="n"/>
    </row>
    <row r="131" ht="28" customHeight="1">
      <c r="A131" s="14" t="inlineStr">
        <is>
          <t>Administration, Legal &amp; Secretarial — Administration &amp; Workplace</t>
        </is>
      </c>
      <c r="B131" s="64" t="n"/>
      <c r="C131" s="63" t="n"/>
      <c r="D131" s="9" t="inlineStr">
        <is>
          <t>Provide reliable workplace services</t>
        </is>
      </c>
      <c r="E131" s="64" t="n"/>
      <c r="F131" s="63" t="n"/>
      <c r="G131" s="9" t="inlineStr">
        <is>
          <t>Facilities, office services and workplace planning</t>
        </is>
      </c>
      <c r="H131" s="64" t="n"/>
      <c r="I131" s="64" t="n"/>
      <c r="J131" s="63" t="n"/>
      <c r="K131" s="9" t="inlineStr">
        <is>
          <t>Strategic procurement; enterprise operating leadership</t>
        </is>
      </c>
      <c r="L131" s="64" t="n"/>
      <c r="M131" s="64" t="n"/>
      <c r="N131" s="63" t="n"/>
    </row>
    <row r="132" ht="28" customHeight="1">
      <c r="A132" s="14" t="inlineStr">
        <is>
          <t>Administration, Legal &amp; Secretarial — Legal &amp; Corporate Governance</t>
        </is>
      </c>
      <c r="B132" s="64" t="n"/>
      <c r="C132" s="63" t="n"/>
      <c r="D132" s="9" t="inlineStr">
        <is>
          <t>Provide legal advice and governance support</t>
        </is>
      </c>
      <c r="E132" s="64" t="n"/>
      <c r="F132" s="63" t="n"/>
      <c r="G132" s="9" t="inlineStr">
        <is>
          <t>Commercial legal and company-secretarial/governance professions</t>
        </is>
      </c>
      <c r="H132" s="64" t="n"/>
      <c r="I132" s="64" t="n"/>
      <c r="J132" s="63" t="n"/>
      <c r="K132" s="9" t="inlineStr">
        <is>
          <t>Internal audit assurance; generic administrative filing</t>
        </is>
      </c>
      <c r="L132" s="64" t="n"/>
      <c r="M132" s="64" t="n"/>
      <c r="N132" s="63" t="n"/>
    </row>
    <row r="133" ht="28" customHeight="1">
      <c r="A133" s="14" t="inlineStr">
        <is>
          <t>Business Analysis</t>
        </is>
      </c>
      <c r="B133" s="64" t="n"/>
      <c r="C133" s="63" t="n"/>
      <c r="D133" s="9" t="inlineStr">
        <is>
          <t>Define business needs and evaluate solutions</t>
        </is>
      </c>
      <c r="E133" s="64" t="n"/>
      <c r="F133" s="63" t="n"/>
      <c r="G133" s="9" t="inlineStr">
        <is>
          <t>Elicitation, process analysis, traceability and solution evaluation</t>
        </is>
      </c>
      <c r="H133" s="64" t="n"/>
      <c r="I133" s="64" t="n"/>
      <c r="J133" s="63" t="n"/>
      <c r="K133" s="9" t="inlineStr">
        <is>
          <t>Product investment authority; technical architecture</t>
        </is>
      </c>
      <c r="L133" s="64" t="n"/>
      <c r="M133" s="64" t="n"/>
      <c r="N133" s="63" t="n"/>
    </row>
    <row r="134" ht="28" customHeight="1">
      <c r="A134" s="14" t="inlineStr">
        <is>
          <t>Consulting &amp; Professional Services</t>
        </is>
      </c>
      <c r="B134" s="64" t="n"/>
      <c r="C134" s="63" t="n"/>
      <c r="D134" s="9" t="inlineStr">
        <is>
          <t>Deliver expert reporting and client-domain services</t>
        </is>
      </c>
      <c r="E134" s="64" t="n"/>
      <c r="F134" s="63" t="n"/>
      <c r="G134" s="9" t="inlineStr">
        <is>
          <t>XBRL execution, taxonomy advice, service delivery and technical documentation</t>
        </is>
      </c>
      <c r="H134" s="64" t="n"/>
      <c r="I134" s="64" t="n"/>
      <c r="J134" s="63" t="n"/>
      <c r="K134" s="9" t="inlineStr">
        <is>
          <t>Internal corporate accounting; product roadmap ownership</t>
        </is>
      </c>
      <c r="L134" s="64" t="n"/>
      <c r="M134" s="64" t="n"/>
      <c r="N134" s="63" t="n"/>
    </row>
    <row r="135" ht="28" customHeight="1">
      <c r="A135" s="14" t="inlineStr">
        <is>
          <t>Customer Success &amp; Support</t>
        </is>
      </c>
      <c r="B135" s="64" t="n"/>
      <c r="C135" s="63" t="n"/>
      <c r="D135" s="9" t="inlineStr">
        <is>
          <t>Enable sustained customer value and issue resolution</t>
        </is>
      </c>
      <c r="E135" s="64" t="n"/>
      <c r="F135" s="63" t="n"/>
      <c r="G135" s="9" t="inlineStr">
        <is>
          <t>Adoption, product support and customer education</t>
        </is>
      </c>
      <c r="H135" s="64" t="n"/>
      <c r="I135" s="64" t="n"/>
      <c r="J135" s="63" t="n"/>
      <c r="K135" s="9" t="inlineStr">
        <is>
          <t>Employee IT support; initial client implementation</t>
        </is>
      </c>
      <c r="L135" s="64" t="n"/>
      <c r="M135" s="64" t="n"/>
      <c r="N135" s="63" t="n"/>
    </row>
    <row r="136" ht="28" customHeight="1">
      <c r="A136" s="14" t="inlineStr">
        <is>
          <t>Data &amp; Analytics</t>
        </is>
      </c>
      <c r="B136" s="64" t="n"/>
      <c r="C136" s="63" t="n"/>
      <c r="D136" s="9" t="inlineStr">
        <is>
          <t>Turn data into defensible decisions and models</t>
        </is>
      </c>
      <c r="E136" s="64" t="n"/>
      <c r="F136" s="63" t="n"/>
      <c r="G136" s="9" t="inlineStr">
        <is>
          <t>BI, decision analysis and data science</t>
        </is>
      </c>
      <c r="H136" s="64" t="n"/>
      <c r="I136" s="64" t="n"/>
      <c r="J136" s="63" t="n"/>
      <c r="K136" s="9" t="inlineStr">
        <is>
          <t>Financial-data production; software engineering of pipelines</t>
        </is>
      </c>
      <c r="L136" s="64" t="n"/>
      <c r="M136" s="64" t="n"/>
      <c r="N136" s="63" t="n"/>
    </row>
    <row r="137" ht="28" customHeight="1">
      <c r="A137" s="14" t="inlineStr">
        <is>
          <t>Data Operations &amp; Digitization</t>
        </is>
      </c>
      <c r="B137" s="64" t="n"/>
      <c r="C137" s="63" t="n"/>
      <c r="D137" s="9" t="inlineStr">
        <is>
          <t>Produce trustworthy structured content and data</t>
        </is>
      </c>
      <c r="E137" s="64" t="n"/>
      <c r="F137" s="63" t="n"/>
      <c r="G137" s="9" t="inlineStr">
        <is>
          <t>Document production, financial-data sourcing, validation and stewardship</t>
        </is>
      </c>
      <c r="H137" s="64" t="n"/>
      <c r="I137" s="64" t="n"/>
      <c r="J137" s="63" t="n"/>
      <c r="K137" s="9" t="inlineStr">
        <is>
          <t>Corporate reporting; BI insight; software data-pipeline engineering</t>
        </is>
      </c>
      <c r="L137" s="64" t="n"/>
      <c r="M137" s="64" t="n"/>
      <c r="N137" s="63" t="n"/>
    </row>
    <row r="138" ht="28" customHeight="1">
      <c r="A138" s="14" t="inlineStr">
        <is>
          <t>Design &amp; Creative</t>
        </is>
      </c>
      <c r="B138" s="64" t="n"/>
      <c r="C138" s="63" t="n"/>
      <c r="D138" s="9" t="inlineStr">
        <is>
          <t>Shape usable experiences and visual communication</t>
        </is>
      </c>
      <c r="E138" s="64" t="n"/>
      <c r="F138" s="63" t="n"/>
      <c r="G138" s="9" t="inlineStr">
        <is>
          <t>Brand creative, product design and user research</t>
        </is>
      </c>
      <c r="H138" s="64" t="n"/>
      <c r="I138" s="64" t="n"/>
      <c r="J138" s="63" t="n"/>
      <c r="K138" s="9" t="inlineStr">
        <is>
          <t>Marketing campaign ownership; frontend implementation</t>
        </is>
      </c>
      <c r="L138" s="64" t="n"/>
      <c r="M138" s="64" t="n"/>
      <c r="N138" s="63" t="n"/>
    </row>
    <row r="139" ht="28" customHeight="1">
      <c r="A139" s="14" t="inlineStr">
        <is>
          <t>Engineering &amp; Architecture</t>
        </is>
      </c>
      <c r="B139" s="64" t="n"/>
      <c r="C139" s="63" t="n"/>
      <c r="D139" s="9" t="inlineStr">
        <is>
          <t>Define system architecture across components</t>
        </is>
      </c>
      <c r="E139" s="64" t="n"/>
      <c r="F139" s="63" t="n"/>
      <c r="G139" s="9" t="inlineStr">
        <is>
          <t>Solution design, non-functional trade-offs and architecture standards</t>
        </is>
      </c>
      <c r="H139" s="64" t="n"/>
      <c r="I139" s="64" t="n"/>
      <c r="J139" s="63" t="n"/>
      <c r="K139" s="9" t="inlineStr">
        <is>
          <t>Presales persuasion alone; routine software delivery</t>
        </is>
      </c>
      <c r="L139" s="64" t="n"/>
      <c r="M139" s="64" t="n"/>
      <c r="N139" s="63" t="n"/>
    </row>
    <row r="140" ht="28" customHeight="1">
      <c r="A140" s="14" t="inlineStr">
        <is>
          <t>Engineering &amp; Development</t>
        </is>
      </c>
      <c r="B140" s="64" t="n"/>
      <c r="C140" s="63" t="n"/>
      <c r="D140" s="9" t="inlineStr">
        <is>
          <t>Build and operate software capabilities</t>
        </is>
      </c>
      <c r="E140" s="64" t="n"/>
      <c r="F140" s="63" t="n"/>
      <c r="G140" s="9" t="inlineStr">
        <is>
          <t>Application code, data/ML engineering and product reliability</t>
        </is>
      </c>
      <c r="H140" s="64" t="n"/>
      <c r="I140" s="64" t="n"/>
      <c r="J140" s="63" t="n"/>
      <c r="K140" s="9" t="inlineStr">
        <is>
          <t>Product investment decisions; internal IT service desk</t>
        </is>
      </c>
      <c r="L140" s="64" t="n"/>
      <c r="M140" s="64" t="n"/>
      <c r="N140" s="63" t="n"/>
    </row>
    <row r="141" ht="28" customHeight="1">
      <c r="A141" s="14" t="inlineStr">
        <is>
          <t>Executive Leadership</t>
        </is>
      </c>
      <c r="B141" s="64" t="n"/>
      <c r="C141" s="63" t="n"/>
      <c r="D141" s="9" t="inlineStr">
        <is>
          <t>Integrate enterprise or business outcomes</t>
        </is>
      </c>
      <c r="E141" s="64" t="n"/>
      <c r="F141" s="63" t="n"/>
      <c r="G141" s="9" t="inlineStr">
        <is>
          <t>Business-unit, enterprise and exceptional expert mandates</t>
        </is>
      </c>
      <c r="H141" s="64" t="n"/>
      <c r="I141" s="64" t="n"/>
      <c r="J141" s="63" t="n"/>
      <c r="K141" s="9" t="inlineStr">
        <is>
          <t>A generic promotion destination without a new accountable role</t>
        </is>
      </c>
      <c r="L141" s="64" t="n"/>
      <c r="M141" s="64" t="n"/>
      <c r="N141" s="63" t="n"/>
    </row>
    <row r="142" ht="28" customHeight="1">
      <c r="A142" s="14" t="inlineStr">
        <is>
          <t>Finance &amp; Accounts</t>
        </is>
      </c>
      <c r="B142" s="64" t="n"/>
      <c r="C142" s="63" t="n"/>
      <c r="D142" s="9" t="inlineStr">
        <is>
          <t>Steward financial reporting, resources and controls</t>
        </is>
      </c>
      <c r="E142" s="64" t="n"/>
      <c r="F142" s="63" t="n"/>
      <c r="G142" s="9" t="inlineStr">
        <is>
          <t>Accounting, reporting, FP&amp;A, tax and treasury</t>
        </is>
      </c>
      <c r="H142" s="64" t="n"/>
      <c r="I142" s="64" t="n"/>
      <c r="J142" s="63" t="n"/>
      <c r="K142" s="9" t="inlineStr">
        <is>
          <t>Independent internal audit; client financial-data production</t>
        </is>
      </c>
      <c r="L142" s="64" t="n"/>
      <c r="M142" s="64" t="n"/>
      <c r="N142" s="63" t="n"/>
    </row>
    <row r="143" ht="28" customHeight="1">
      <c r="A143" s="14" t="inlineStr">
        <is>
          <t>Human Resources</t>
        </is>
      </c>
      <c r="B143" s="64" t="n"/>
      <c r="C143" s="63" t="n"/>
      <c r="D143" s="9" t="inlineStr">
        <is>
          <t>Enable workforce and organisational capability</t>
        </is>
      </c>
      <c r="E143" s="64" t="n"/>
      <c r="F143" s="63" t="n"/>
      <c r="G143" s="9" t="inlineStr">
        <is>
          <t>HR operations, TA, OD, learning, reward, analytics and partnering</t>
        </is>
      </c>
      <c r="H143" s="64" t="n"/>
      <c r="I143" s="64" t="n"/>
      <c r="J143" s="63" t="n"/>
      <c r="K143" s="9" t="inlineStr">
        <is>
          <t>Line-manager accountability for the operating business</t>
        </is>
      </c>
      <c r="L143" s="64" t="n"/>
      <c r="M143" s="64" t="n"/>
      <c r="N143" s="63" t="n"/>
    </row>
    <row r="144" ht="28" customHeight="1">
      <c r="A144" s="14" t="inlineStr">
        <is>
          <t>IT &amp; Infrastructure</t>
        </is>
      </c>
      <c r="B144" s="64" t="n"/>
      <c r="C144" s="63" t="n"/>
      <c r="D144" s="9" t="inlineStr">
        <is>
          <t>Provide secure organisational technology services</t>
        </is>
      </c>
      <c r="E144" s="64" t="n"/>
      <c r="F144" s="63" t="n"/>
      <c r="G144" s="9" t="inlineStr">
        <is>
          <t>Internal infrastructure, employee technology and enterprise security</t>
        </is>
      </c>
      <c r="H144" s="64" t="n"/>
      <c r="I144" s="64" t="n"/>
      <c r="J144" s="63" t="n"/>
      <c r="K144" s="9" t="inlineStr">
        <is>
          <t>Customer product support; application development</t>
        </is>
      </c>
      <c r="L144" s="64" t="n"/>
      <c r="M144" s="64" t="n"/>
      <c r="N144" s="63" t="n"/>
    </row>
    <row r="145" ht="28" customHeight="1">
      <c r="A145" s="14" t="inlineStr">
        <is>
          <t>Marketing &amp; Communications</t>
        </is>
      </c>
      <c r="B145" s="64" t="n"/>
      <c r="C145" s="63" t="n"/>
      <c r="D145" s="9" t="inlineStr">
        <is>
          <t>Create market understanding, demand and reputation</t>
        </is>
      </c>
      <c r="E145" s="64" t="n"/>
      <c r="F145" s="63" t="n"/>
      <c r="G145" s="9" t="inlineStr">
        <is>
          <t>Content, demand, digital, product marketing, operations and communications</t>
        </is>
      </c>
      <c r="H145" s="64" t="n"/>
      <c r="I145" s="64" t="n"/>
      <c r="J145" s="63" t="n"/>
      <c r="K145" s="9" t="inlineStr">
        <is>
          <t>Account closing; product UX design</t>
        </is>
      </c>
      <c r="L145" s="64" t="n"/>
      <c r="M145" s="64" t="n"/>
      <c r="N145" s="63" t="n"/>
    </row>
    <row r="146" ht="28" customHeight="1">
      <c r="A146" s="14" t="inlineStr">
        <is>
          <t>Product Management</t>
        </is>
      </c>
      <c r="B146" s="64" t="n"/>
      <c r="C146" s="63" t="n"/>
      <c r="D146" s="9" t="inlineStr">
        <is>
          <t>Choose and organise product outcomes</t>
        </is>
      </c>
      <c r="E146" s="64" t="n"/>
      <c r="F146" s="63" t="n"/>
      <c r="G146" s="9" t="inlineStr">
        <is>
          <t>Discovery, prioritisation, roadmap decisions and product operations</t>
        </is>
      </c>
      <c r="H146" s="64" t="n"/>
      <c r="I146" s="64" t="n"/>
      <c r="J146" s="63" t="n"/>
      <c r="K146" s="9" t="inlineStr">
        <is>
          <t>Project schedule ownership alone; user research as a standalone discipline</t>
        </is>
      </c>
      <c r="L146" s="64" t="n"/>
      <c r="M146" s="64" t="n"/>
      <c r="N146" s="63" t="n"/>
    </row>
    <row r="147" ht="28" customHeight="1">
      <c r="A147" s="14" t="inlineStr">
        <is>
          <t>Project &amp; Program Management</t>
        </is>
      </c>
      <c r="B147" s="64" t="n"/>
      <c r="C147" s="63" t="n"/>
      <c r="D147" s="9" t="inlineStr">
        <is>
          <t>Deliver change and govern investment execution</t>
        </is>
      </c>
      <c r="E147" s="64" t="n"/>
      <c r="F147" s="63" t="n"/>
      <c r="G147" s="9" t="inlineStr">
        <is>
          <t>Project, programme, portfolio and PMO work with distinct mandates</t>
        </is>
      </c>
      <c r="H147" s="64" t="n"/>
      <c r="I147" s="64" t="n"/>
      <c r="J147" s="63" t="n"/>
      <c r="K147" s="9" t="inlineStr">
        <is>
          <t>Ongoing product strategy; routine service operations</t>
        </is>
      </c>
      <c r="L147" s="64" t="n"/>
      <c r="M147" s="64" t="n"/>
      <c r="N147" s="63" t="n"/>
    </row>
    <row r="148" ht="28" customHeight="1">
      <c r="A148" s="14" t="inlineStr">
        <is>
          <t>Quality Assurance</t>
        </is>
      </c>
      <c r="B148" s="64" t="n"/>
      <c r="C148" s="63" t="n"/>
      <c r="D148" s="9" t="inlineStr">
        <is>
          <t>Provide systematic product-quality assurance</t>
        </is>
      </c>
      <c r="E148" s="64" t="n"/>
      <c r="F148" s="63" t="n"/>
      <c r="G148" s="9" t="inlineStr">
        <is>
          <t>Test design, automation, risk-based coverage and quality architecture</t>
        </is>
      </c>
      <c r="H148" s="64" t="n"/>
      <c r="I148" s="64" t="n"/>
      <c r="J148" s="63" t="n"/>
      <c r="K148" s="9" t="inlineStr">
        <is>
          <t>Data-production checking where the primary output is data</t>
        </is>
      </c>
      <c r="L148" s="64" t="n"/>
      <c r="M148" s="64" t="n"/>
      <c r="N148" s="63" t="n"/>
    </row>
    <row r="149" ht="28" customHeight="1">
      <c r="A149" s="14" t="inlineStr">
        <is>
          <t>Sales &amp; Business Development</t>
        </is>
      </c>
      <c r="B149" s="64" t="n"/>
      <c r="C149" s="63" t="n"/>
      <c r="D149" s="9" t="inlineStr">
        <is>
          <t>Create and convert commercial opportunities</t>
        </is>
      </c>
      <c r="E149" s="64" t="n"/>
      <c r="F149" s="63" t="n"/>
      <c r="G149" s="9" t="inlineStr">
        <is>
          <t>Prospecting, account sales, alliances, presales and sales operations</t>
        </is>
      </c>
      <c r="H149" s="64" t="n"/>
      <c r="I149" s="64" t="n"/>
      <c r="J149" s="63" t="n"/>
      <c r="K149" s="9" t="inlineStr">
        <is>
          <t>Customer adoption unless sales accountability is primary</t>
        </is>
      </c>
      <c r="L149" s="64" t="n"/>
      <c r="M149" s="64" t="n"/>
      <c r="N149" s="63" t="n"/>
    </row>
    <row r="150" ht="28" customHeight="1">
      <c r="A150" s="14" t="inlineStr">
        <is>
          <t>Solution Consulting &amp; Implementation</t>
        </is>
      </c>
      <c r="B150" s="64" t="n"/>
      <c r="C150" s="63" t="n"/>
      <c r="D150" s="9" t="inlineStr">
        <is>
          <t>Put client solutions into working use</t>
        </is>
      </c>
      <c r="E150" s="64" t="n"/>
      <c r="F150" s="63" t="n"/>
      <c r="G150" s="9" t="inlineStr">
        <is>
          <t>Configuration, integration, migration and client acceptance</t>
        </is>
      </c>
      <c r="H150" s="64" t="n"/>
      <c r="I150" s="64" t="n"/>
      <c r="J150" s="63" t="n"/>
      <c r="K150" s="9" t="inlineStr">
        <is>
          <t>Ongoing support cases; product-engineering platform ownership</t>
        </is>
      </c>
      <c r="L150" s="64" t="n"/>
      <c r="M150" s="64" t="n"/>
      <c r="N150" s="63" t="n"/>
    </row>
    <row r="151" ht="15" customHeight="1"/>
    <row r="152" ht="20" customHeight="1">
      <c r="A152" s="6" t="inlineStr">
        <is>
          <t>M4. Level model — 12 levels in 5 bands, 2 Player-Coach transition steps · B+, C+, plus X for consultants · bottom to top</t>
        </is>
      </c>
    </row>
    <row r="153" ht="15" customHeight="1">
      <c r="A153" s="12" t="inlineStr">
        <is>
          <t>Bands follow the WTW banding-then-grading logic; level descriptors follow SFIA responsibility levels and the six factors.</t>
        </is>
      </c>
    </row>
    <row r="154" ht="28" customHeight="1">
      <c r="A154" s="7" t="inlineStr">
        <is>
          <t>Band</t>
        </is>
      </c>
      <c r="B154" s="7" t="inlineStr">
        <is>
          <t>Level</t>
        </is>
      </c>
      <c r="C154" s="7" t="inlineStr">
        <is>
          <t>Score value</t>
        </is>
      </c>
      <c r="D154" s="7" t="inlineStr">
        <is>
          <t>IC title</t>
        </is>
      </c>
      <c r="E154" s="7" t="inlineStr">
        <is>
          <t>Manager title</t>
        </is>
      </c>
      <c r="F154" s="7" t="inlineStr">
        <is>
          <t>What the role owns</t>
        </is>
      </c>
      <c r="G154" s="7" t="inlineStr">
        <is>
          <t>Complexity &amp; expertise</t>
        </is>
      </c>
      <c r="H154" s="7" t="inlineStr">
        <is>
          <t>Autonomy &amp; decisions</t>
        </is>
      </c>
      <c r="I154" s="7" t="inlineStr">
        <is>
          <t>Accountability &amp; impact</t>
        </is>
      </c>
      <c r="J154" s="7" t="inlineStr">
        <is>
          <t>Leadership</t>
        </is>
      </c>
      <c r="K154" s="7" t="inlineStr">
        <is>
          <t>Experience · yrs, guide</t>
        </is>
      </c>
      <c r="L154" s="7" t="inlineStr">
        <is>
          <t>Education · guide</t>
        </is>
      </c>
      <c r="M154" s="7" t="inlineStr">
        <is>
          <t>Radford / Mercer code</t>
        </is>
      </c>
      <c r="N154" s="7" t="inlineStr">
        <is>
          <t>SFIA level</t>
        </is>
      </c>
    </row>
    <row r="155" ht="54" customHeight="1">
      <c r="A155" s="42" t="inlineStr">
        <is>
          <t>A</t>
        </is>
      </c>
      <c r="B155" s="42" t="inlineStr">
        <is>
          <t>A1</t>
        </is>
      </c>
      <c r="C155" s="42" t="n">
        <v>1</v>
      </c>
      <c r="D155" s="19" t="inlineStr">
        <is>
          <t>Intern / Trainee</t>
        </is>
      </c>
      <c r="E155" s="19" t="inlineStr">
        <is>
          <t>common path</t>
        </is>
      </c>
      <c r="F155" s="19" t="inlineStr">
        <is>
          <t>Learning the role; all work reviewed</t>
        </is>
      </c>
      <c r="G155" s="19" t="inlineStr">
        <is>
          <t>Learning; follows worked examples</t>
        </is>
      </c>
      <c r="H155" s="19" t="inlineStr">
        <is>
          <t>Needs approval / close guidance</t>
        </is>
      </c>
      <c r="I155" s="19" t="inlineStr">
        <is>
          <t>Learning tasks</t>
        </is>
      </c>
      <c r="J155" s="19" t="inlineStr">
        <is>
          <t>Not scored in Band A</t>
        </is>
      </c>
      <c r="K155" s="42" t="inlineStr">
        <is>
          <t>0 yrs · fresher / intern</t>
        </is>
      </c>
      <c r="L155" s="19" t="inlineStr">
        <is>
          <t>Pursuing or completed graduation / diploma</t>
        </is>
      </c>
      <c r="M155" s="42" t="inlineStr">
        <is>
          <t>Entry</t>
        </is>
      </c>
      <c r="N155" s="42" t="inlineStr">
        <is>
          <t>1 Follow</t>
        </is>
      </c>
    </row>
    <row r="156" ht="41" customHeight="1">
      <c r="A156" s="42" t="inlineStr">
        <is>
          <t>A</t>
        </is>
      </c>
      <c r="B156" s="42" t="inlineStr">
        <is>
          <t>A2</t>
        </is>
      </c>
      <c r="C156" s="42" t="n">
        <v>2</v>
      </c>
      <c r="D156" s="19" t="inlineStr">
        <is>
          <t>Associate</t>
        </is>
      </c>
      <c r="E156" s="19" t="inlineStr">
        <is>
          <t>common path</t>
        </is>
      </c>
      <c r="F156" s="19" t="inlineStr">
        <is>
          <t>Standard work delivered independently</t>
        </is>
      </c>
      <c r="G156" s="19" t="inlineStr">
        <is>
          <t>Standard work of the discipline</t>
        </is>
      </c>
      <c r="H156" s="19" t="inlineStr">
        <is>
          <t>Chooses own approach within standards</t>
        </is>
      </c>
      <c r="I156" s="19" t="inlineStr">
        <is>
          <t>Own deliverables · accuracy, TAT</t>
        </is>
      </c>
      <c r="J156" s="19" t="inlineStr">
        <is>
          <t>Not scored in Band A</t>
        </is>
      </c>
      <c r="K156" s="42" t="inlineStr">
        <is>
          <t>0–2 yrs</t>
        </is>
      </c>
      <c r="L156" s="19" t="inlineStr">
        <is>
          <t>Graduate · or diploma with experience</t>
        </is>
      </c>
      <c r="M156" s="42" t="inlineStr">
        <is>
          <t>P1–P2</t>
        </is>
      </c>
      <c r="N156" s="42" t="inlineStr">
        <is>
          <t>2 Assist</t>
        </is>
      </c>
    </row>
    <row r="157" ht="80" customHeight="1">
      <c r="A157" s="42" t="inlineStr">
        <is>
          <t>A</t>
        </is>
      </c>
      <c r="B157" s="42" t="inlineStr">
        <is>
          <t>A3</t>
        </is>
      </c>
      <c r="C157" s="42" t="n">
        <v>3</v>
      </c>
      <c r="D157" s="19" t="inlineStr">
        <is>
          <t>Senior Associate</t>
        </is>
      </c>
      <c r="E157" s="19" t="inlineStr">
        <is>
          <t>common path</t>
        </is>
      </c>
      <c r="F157" s="19" t="inlineStr">
        <is>
          <t>Varied work; reviews juniors; go-to for a process</t>
        </is>
      </c>
      <c r="G157" s="19" t="inlineStr">
        <is>
          <t>Varied and non-standard work; handles exceptions</t>
        </is>
      </c>
      <c r="H157" s="19" t="inlineStr">
        <is>
          <t>Technical / QC / client calls on own work</t>
        </is>
      </c>
      <c r="I157" s="19" t="inlineStr">
        <is>
          <t>A module / process, or work with client or regulatory consequences</t>
        </is>
      </c>
      <c r="J157" s="19" t="inlineStr">
        <is>
          <t>Not scored in Band A</t>
        </is>
      </c>
      <c r="K157" s="42" t="inlineStr">
        <is>
          <t>2–4 yrs</t>
        </is>
      </c>
      <c r="L157" s="19" t="inlineStr">
        <is>
          <t>Graduate; relevant certification preferred</t>
        </is>
      </c>
      <c r="M157" s="42" t="inlineStr">
        <is>
          <t>P2</t>
        </is>
      </c>
      <c r="N157" s="42" t="inlineStr">
        <is>
          <t>3 Apply</t>
        </is>
      </c>
    </row>
    <row r="158" ht="67" customHeight="1">
      <c r="A158" s="43" t="inlineStr">
        <is>
          <t>B</t>
        </is>
      </c>
      <c r="B158" s="43" t="inlineStr">
        <is>
          <t>B1</t>
        </is>
      </c>
      <c r="C158" s="43" t="n">
        <v>4</v>
      </c>
      <c r="D158" s="22" t="inlineStr">
        <is>
          <t>Specialist</t>
        </is>
      </c>
      <c r="E158" s="22" t="inlineStr">
        <is>
          <t>Team Lead</t>
        </is>
      </c>
      <c r="F158" s="22" t="inlineStr">
        <is>
          <t>A domain / module, or a small team</t>
        </is>
      </c>
      <c r="G158" s="22" t="inlineStr">
        <is>
          <t>Domain specialist work</t>
        </is>
      </c>
      <c r="H158" s="22" t="inlineStr">
        <is>
          <t>Technical / QC / client calls for the domain</t>
        </is>
      </c>
      <c r="I158" s="22" t="inlineStr">
        <is>
          <t>A domain or a small team</t>
        </is>
      </c>
      <c r="J158" s="22" t="inlineStr">
        <is>
          <r>
            <rPr>
              <rFont val="Calibri"/>
              <b val="1"/>
              <sz val="10"/>
            </rPr>
            <t>IC:</t>
          </r>
          <r>
            <rPr>
              <rFont val="Calibri"/>
              <sz val="10"/>
            </rPr>
            <t xml:space="preserve"> mentors and reviews · People: hands-on team lead of 3–5</t>
          </r>
        </is>
      </c>
      <c r="K158" s="43" t="inlineStr">
        <is>
          <t>4–7 yrs</t>
        </is>
      </c>
      <c r="L158" s="22" t="inlineStr">
        <is>
          <t>Graduate + relevant qualification or certification preferred</t>
        </is>
      </c>
      <c r="M158" s="43" t="inlineStr">
        <is>
          <t>P3 / M2</t>
        </is>
      </c>
      <c r="N158" s="43" t="inlineStr">
        <is>
          <t>4 Enable</t>
        </is>
      </c>
    </row>
    <row r="159" ht="67" customHeight="1">
      <c r="A159" s="43" t="inlineStr">
        <is>
          <t>B</t>
        </is>
      </c>
      <c r="B159" s="43" t="inlineStr">
        <is>
          <t>B2</t>
        </is>
      </c>
      <c r="C159" s="43" t="n">
        <v>5</v>
      </c>
      <c r="D159" s="22" t="inlineStr">
        <is>
          <t>Senior Specialist</t>
        </is>
      </c>
      <c r="E159" s="22" t="inlineStr">
        <is>
          <t>Manager</t>
        </is>
      </c>
      <c r="F159" s="22" t="inlineStr">
        <is>
          <t>Deep domain expertise, or one team</t>
        </is>
      </c>
      <c r="G159" s="22" t="inlineStr">
        <is>
          <t>Hardest problems in the domain</t>
        </is>
      </c>
      <c r="H159" s="22" t="inlineStr">
        <is>
          <t>Allocates people and sets team priorities</t>
        </is>
      </c>
      <c r="I159" s="22" t="inlineStr">
        <is>
          <t>One team or a client portfolio</t>
        </is>
      </c>
      <c r="J159" s="22" t="inlineStr">
        <is>
          <r>
            <rPr>
              <rFont val="Calibri"/>
              <b val="1"/>
              <sz val="10"/>
            </rPr>
            <t>IC:</t>
          </r>
          <r>
            <rPr>
              <rFont val="Calibri"/>
              <sz val="10"/>
            </rPr>
            <t xml:space="preserve"> guides others in the domain · People: manages a team of 6+</t>
          </r>
        </is>
      </c>
      <c r="K159" s="43" t="inlineStr">
        <is>
          <t>6–9 yrs</t>
        </is>
      </c>
      <c r="L159" s="22" t="inlineStr">
        <is>
          <t>Graduate or postgraduate; professional qualification preferred</t>
        </is>
      </c>
      <c r="M159" s="43" t="inlineStr">
        <is>
          <t>P4 / M3</t>
        </is>
      </c>
      <c r="N159" s="43" t="inlineStr">
        <is>
          <t>4–5</t>
        </is>
      </c>
    </row>
    <row r="160" ht="67" customHeight="1">
      <c r="A160" s="43" t="inlineStr">
        <is>
          <t>B</t>
        </is>
      </c>
      <c r="B160" s="43" t="inlineStr">
        <is>
          <t>B3</t>
        </is>
      </c>
      <c r="C160" s="43" t="n">
        <v>6</v>
      </c>
      <c r="D160" s="22" t="inlineStr">
        <is>
          <t>Lead Specialist</t>
        </is>
      </c>
      <c r="E160" s="22" t="inlineStr">
        <is>
          <t>Senior Manager</t>
        </is>
      </c>
      <c r="F160" s="22" t="inlineStr">
        <is>
          <t>A practice, or several teams through team leads</t>
        </is>
      </c>
      <c r="G160" s="22" t="inlineStr">
        <is>
          <t>Sets standards for a practice; cross-team problems</t>
        </is>
      </c>
      <c r="H160" s="22" t="inlineStr">
        <is>
          <t>Commercial / strategic calls for the unit</t>
        </is>
      </c>
      <c r="I160" s="22" t="inlineStr">
        <is>
          <t>Several teams or a practice</t>
        </is>
      </c>
      <c r="J160" s="22" t="inlineStr">
        <is>
          <r>
            <rPr>
              <rFont val="Calibri"/>
              <b val="1"/>
              <sz val="10"/>
            </rPr>
            <t>IC:</t>
          </r>
          <r>
            <rPr>
              <rFont val="Calibri"/>
              <sz val="10"/>
            </rPr>
            <t xml:space="preserve"> leads a practice · People: team leads / managers report in</t>
          </r>
        </is>
      </c>
      <c r="K160" s="43" t="inlineStr">
        <is>
          <t>8–12 yrs</t>
        </is>
      </c>
      <c r="L160" s="22" t="inlineStr">
        <is>
          <t>Postgraduate or professional qualification preferred</t>
        </is>
      </c>
      <c r="M160" s="43" t="inlineStr">
        <is>
          <t>P5 / M4</t>
        </is>
      </c>
      <c r="N160" s="43" t="inlineStr">
        <is>
          <t>5 Ensure, advise</t>
        </is>
      </c>
    </row>
    <row r="161" ht="106" customHeight="1">
      <c r="A161" s="44" t="inlineStr">
        <is>
          <t>B+</t>
        </is>
      </c>
      <c r="B161" s="44" t="inlineStr">
        <is>
          <t>B+</t>
        </is>
      </c>
      <c r="C161" s="44" t="n">
        <v>6.5</v>
      </c>
      <c r="D161" s="25" t="inlineStr">
        <is>
          <t>Practice Lead · Player-Coach</t>
        </is>
      </c>
      <c r="E161" s="25" t="inlineStr">
        <is>
          <t>Practice Lead · Player-Coach</t>
        </is>
      </c>
      <c r="F161" s="25" t="inlineStr">
        <is>
          <r>
            <rPr>
              <rFont val="Calibri"/>
              <b val="1"/>
              <sz val="10"/>
            </rPr>
            <t>A practice or product area:</t>
          </r>
          <r>
            <rPr>
              <rFont val="Calibri"/>
              <sz val="10"/>
            </rPr>
            <t xml:space="preserve"> does the hardest hands-on work itself and leads 3–6 people · player-coach</t>
          </r>
        </is>
      </c>
      <c r="G161" s="25" t="inlineStr">
        <is>
          <t>Principal-level problems in own domain; sets technical or quality standards and still builds</t>
        </is>
      </c>
      <c r="H161" s="25" t="inlineStr">
        <is>
          <t>Decides approach and priorities for the practice; escalates only cross-function trade-offs</t>
        </is>
      </c>
      <c r="I161" s="25" t="inlineStr">
        <is>
          <t>Practice outcomes plus own deliverables; quality and delivery of the team</t>
        </is>
      </c>
      <c r="J161" s="25" t="inlineStr">
        <is>
          <t>Leads 3–6 people · or a pod while remaining a hands-on expert; coaches, allocates, reviews</t>
        </is>
      </c>
      <c r="K161" s="44" t="inlineStr">
        <is>
          <t>9–14 yrs</t>
        </is>
      </c>
      <c r="L161" s="25" t="inlineStr">
        <is>
          <t>Postgraduate or professional qualification preferred</t>
        </is>
      </c>
      <c r="M161" s="44" t="inlineStr">
        <is>
          <t>P5–P6 / M4–M5</t>
        </is>
      </c>
      <c r="N161" s="44" t="inlineStr">
        <is>
          <t>5 Ensure, advise</t>
        </is>
      </c>
    </row>
    <row r="162" ht="67" customHeight="1">
      <c r="A162" s="45" t="inlineStr">
        <is>
          <t>C</t>
        </is>
      </c>
      <c r="B162" s="45" t="inlineStr">
        <is>
          <t>C1</t>
        </is>
      </c>
      <c r="C162" s="45" t="n">
        <v>7</v>
      </c>
      <c r="D162" s="28" t="inlineStr">
        <is>
          <t>Principal</t>
        </is>
      </c>
      <c r="E162" s="28" t="inlineStr">
        <is>
          <t>Associate Head</t>
        </is>
      </c>
      <c r="F162" s="28" t="inlineStr">
        <is>
          <t>A sub-function, or principal authority across products</t>
        </is>
      </c>
      <c r="G162" s="28" t="inlineStr">
        <is>
          <t>Ambiguous, cross-product problems</t>
        </is>
      </c>
      <c r="H162" s="28" t="inlineStr">
        <is>
          <t>Sets direction for a sub-function or domain</t>
        </is>
      </c>
      <c r="I162" s="28" t="inlineStr">
        <is>
          <t>Sub-function results or domain quality across products</t>
        </is>
      </c>
      <c r="J162" s="28" t="inlineStr">
        <is>
          <t>Leads managers or a community of practice</t>
        </is>
      </c>
      <c r="K162" s="45" t="inlineStr">
        <is>
          <t>10–14 yrs</t>
        </is>
      </c>
      <c r="L162" s="28" t="inlineStr">
        <is>
          <t>Postgraduate / professional qualification preferred</t>
        </is>
      </c>
      <c r="M162" s="45" t="inlineStr">
        <is>
          <t>P6 / M5</t>
        </is>
      </c>
      <c r="N162" s="45" t="inlineStr">
        <is>
          <t>5–6</t>
        </is>
      </c>
    </row>
    <row r="163" ht="80" customHeight="1">
      <c r="A163" s="45" t="inlineStr">
        <is>
          <t>C</t>
        </is>
      </c>
      <c r="B163" s="45" t="inlineStr">
        <is>
          <t>C2</t>
        </is>
      </c>
      <c r="C163" s="45" t="n">
        <v>8</v>
      </c>
      <c r="D163" s="28" t="inlineStr">
        <is>
          <t>Senior Principal / Architect</t>
        </is>
      </c>
      <c r="E163" s="28" t="inlineStr">
        <is>
          <t>Head of Function</t>
        </is>
      </c>
      <c r="F163" s="28" t="inlineStr">
        <is>
          <t>A function or department, or a company-wide discipline</t>
        </is>
      </c>
      <c r="G163" s="28" t="inlineStr">
        <is>
          <t>Function-wide or company-wide problems; creates methods and standards</t>
        </is>
      </c>
      <c r="H163" s="28" t="inlineStr">
        <is>
          <t>Sets direction for a function</t>
        </is>
      </c>
      <c r="I163" s="28" t="inlineStr">
        <is>
          <t>Function results, budget and risk</t>
        </is>
      </c>
      <c r="J163" s="28" t="inlineStr">
        <is>
          <t>Leads a function; shapes functional strategy</t>
        </is>
      </c>
      <c r="K163" s="45" t="inlineStr">
        <is>
          <t>12–17 yrs</t>
        </is>
      </c>
      <c r="L163" s="28" t="inlineStr">
        <is>
          <t>Postgraduate / professional qualification preferred</t>
        </is>
      </c>
      <c r="M163" s="45" t="inlineStr">
        <is>
          <t>P7 / M6</t>
        </is>
      </c>
      <c r="N163" s="45" t="inlineStr">
        <is>
          <t>6 Initiate, influence</t>
        </is>
      </c>
    </row>
    <row r="164" ht="145" customHeight="1">
      <c r="A164" s="46" t="inlineStr">
        <is>
          <t>C+</t>
        </is>
      </c>
      <c r="B164" s="46" t="inlineStr">
        <is>
          <t>C+</t>
        </is>
      </c>
      <c r="C164" s="46" t="n">
        <v>8.5</v>
      </c>
      <c r="D164" s="31" t="inlineStr">
        <is>
          <t>Group Head · Player-Coach</t>
        </is>
      </c>
      <c r="E164" s="31" t="inlineStr">
        <is>
          <t>Group Head · Player-Coach</t>
        </is>
      </c>
      <c r="F164" s="31" t="inlineStr">
        <is>
          <r>
            <rPr>
              <rFont val="Calibri"/>
              <b val="1"/>
              <sz val="10"/>
            </rPr>
            <t>A function or group of practices:</t>
          </r>
          <r>
            <rPr>
              <rFont val="Calibri"/>
              <sz val="10"/>
            </rPr>
            <t xml:space="preserve"> answers for its results and personally delivers or sells the most critical work · player-coach</t>
          </r>
        </is>
      </c>
      <c r="G164" s="31" t="inlineStr">
        <is>
          <t>Function-wide and cross-product problems; personally handles the most critical client or technical work</t>
        </is>
      </c>
      <c r="H164" s="31" t="inlineStr">
        <is>
          <t>Sets direction for the function; business-line trade-offs go to the Business Head</t>
        </is>
      </c>
      <c r="I164" s="31" t="inlineStr">
        <is>
          <t>Function results, budget and key-client outcomes; carries own book or principal delivery</t>
        </is>
      </c>
      <c r="J164" s="31" t="inlineStr">
        <is>
          <t>Leads managers and leads and 10+ people in the function while staying hands-on</t>
        </is>
      </c>
      <c r="K164" s="46" t="inlineStr">
        <is>
          <t>13–18 yrs</t>
        </is>
      </c>
      <c r="L164" s="31" t="inlineStr">
        <is>
          <t>Postgraduate / professional qualification preferred</t>
        </is>
      </c>
      <c r="M164" s="46" t="inlineStr">
        <is>
          <t>M6 / E1</t>
        </is>
      </c>
      <c r="N164" s="46" t="inlineStr">
        <is>
          <t>6 Initiate, influence</t>
        </is>
      </c>
    </row>
    <row r="165" ht="67" customHeight="1">
      <c r="A165" s="47" t="inlineStr">
        <is>
          <t>D</t>
        </is>
      </c>
      <c r="B165" s="47" t="inlineStr">
        <is>
          <t>D1</t>
        </is>
      </c>
      <c r="C165" s="47" t="n">
        <v>9</v>
      </c>
      <c r="D165" s="34" t="inlineStr">
        <is>
          <t>Chief Specialist / Distinguished Principal</t>
        </is>
      </c>
      <c r="E165" s="34" t="inlineStr">
        <is>
          <t>Associate Vice President / Business Head</t>
        </is>
      </c>
      <c r="F165" s="34" t="inlineStr">
        <is>
          <t>A business line P&amp;L, region or enterprise function</t>
        </is>
      </c>
      <c r="G165" s="34" t="inlineStr">
        <is>
          <t>Competing strategic, financial and regulatory priorities</t>
        </is>
      </c>
      <c r="H165" s="34" t="inlineStr">
        <is>
          <t>Sets business-line direction, pricing and investment</t>
        </is>
      </c>
      <c r="I165" s="34" t="inlineStr">
        <is>
          <t>Business-line P&amp;L and market position</t>
        </is>
      </c>
      <c r="J165" s="34" t="inlineStr">
        <is>
          <t>Defines business strategy; builds the leadership bench</t>
        </is>
      </c>
      <c r="K165" s="47" t="inlineStr">
        <is>
          <t>15–20 yrs</t>
        </is>
      </c>
      <c r="L165" s="34" t="inlineStr">
        <is>
          <t>Postgraduate / professional qualification preferred</t>
        </is>
      </c>
      <c r="M165" s="47" t="inlineStr">
        <is>
          <t>E1–E2</t>
        </is>
      </c>
      <c r="N165" s="47" t="inlineStr">
        <is>
          <t>6–7</t>
        </is>
      </c>
    </row>
    <row r="166" ht="80" customHeight="1">
      <c r="A166" s="47" t="inlineStr">
        <is>
          <t>D</t>
        </is>
      </c>
      <c r="B166" s="47" t="inlineStr">
        <is>
          <t>D2</t>
        </is>
      </c>
      <c r="C166" s="47" t="n">
        <v>10</v>
      </c>
      <c r="D166" s="34" t="inlineStr">
        <is>
          <t>—</t>
        </is>
      </c>
      <c r="E166" s="34" t="inlineStr">
        <is>
          <t>Vice President</t>
        </is>
      </c>
      <c r="F166" s="34" t="inlineStr">
        <is>
          <t>Several business lines or an executive-scope enterprise function</t>
        </is>
      </c>
      <c r="G166" s="34" t="inlineStr">
        <is>
          <t>Portfolio-level strategic, financial and regulatory trade-offs</t>
        </is>
      </c>
      <c r="H166" s="34" t="inlineStr">
        <is>
          <t>Sets direction across business lines</t>
        </is>
      </c>
      <c r="I166" s="34" t="inlineStr">
        <is>
          <t>Multi-business results</t>
        </is>
      </c>
      <c r="J166" s="34" t="inlineStr">
        <is>
          <t>Builds the leadership team across businesses</t>
        </is>
      </c>
      <c r="K166" s="47" t="inlineStr">
        <is>
          <t>18–24 yrs</t>
        </is>
      </c>
      <c r="L166" s="34" t="inlineStr">
        <is>
          <t>Postgraduate / professional qualification preferred</t>
        </is>
      </c>
      <c r="M166" s="47" t="inlineStr">
        <is>
          <t>E3–E4</t>
        </is>
      </c>
      <c r="N166" s="47" t="inlineStr">
        <is>
          <t>7 Set strategy</t>
        </is>
      </c>
    </row>
    <row r="167" ht="80" customHeight="1">
      <c r="A167" s="48" t="inlineStr">
        <is>
          <t>E</t>
        </is>
      </c>
      <c r="B167" s="48" t="inlineStr">
        <is>
          <t>E1</t>
        </is>
      </c>
      <c r="C167" s="48" t="n">
        <v>11</v>
      </c>
      <c r="D167" s="37" t="inlineStr">
        <is>
          <t>—</t>
        </is>
      </c>
      <c r="E167" s="37" t="inlineStr">
        <is>
          <t>CXO / President</t>
        </is>
      </c>
      <c r="F167" s="37" t="inlineStr">
        <is>
          <t>An enterprise-wide function</t>
        </is>
      </c>
      <c r="G167" s="37" t="inlineStr">
        <is>
          <t>Enterprise-level functional strategy</t>
        </is>
      </c>
      <c r="H167" s="37" t="inlineStr">
        <is>
          <t>Sets enterprise priorities for the function</t>
        </is>
      </c>
      <c r="I167" s="37" t="inlineStr">
        <is>
          <t>Enterprise-wide functional results</t>
        </is>
      </c>
      <c r="J167" s="37" t="inlineStr">
        <is>
          <t>Shapes enterprise strategy</t>
        </is>
      </c>
      <c r="K167" s="48" t="inlineStr">
        <is>
          <t>20+ yrs</t>
        </is>
      </c>
      <c r="L167" s="37" t="inlineStr">
        <is>
          <t>Postgraduate / professional qualification; business leadership record</t>
        </is>
      </c>
      <c r="M167" s="48" t="inlineStr">
        <is>
          <t>E5</t>
        </is>
      </c>
      <c r="N167" s="48" t="inlineStr">
        <is>
          <t>7</t>
        </is>
      </c>
    </row>
    <row r="168" ht="80" customHeight="1">
      <c r="A168" s="48" t="inlineStr">
        <is>
          <t>E</t>
        </is>
      </c>
      <c r="B168" s="48" t="inlineStr">
        <is>
          <t>E2</t>
        </is>
      </c>
      <c r="C168" s="48" t="n">
        <v>12</v>
      </c>
      <c r="D168" s="37" t="inlineStr">
        <is>
          <t>—</t>
        </is>
      </c>
      <c r="E168" s="37" t="inlineStr">
        <is>
          <t>Chief Executive Officer</t>
        </is>
      </c>
      <c r="F168" s="37" t="inlineStr">
        <is>
          <t>The enterprise</t>
        </is>
      </c>
      <c r="G168" s="37" t="inlineStr">
        <is>
          <t>Enterprise-wide uncertainty, transformation and external forces</t>
        </is>
      </c>
      <c r="H168" s="37" t="inlineStr">
        <is>
          <t>Accountable to the board</t>
        </is>
      </c>
      <c r="I168" s="37" t="inlineStr">
        <is>
          <t>Enterprise results, risk, culture and long-term viability</t>
        </is>
      </c>
      <c r="J168" s="37" t="inlineStr">
        <is>
          <t>Sets enterprise strategy; leads the executive team</t>
        </is>
      </c>
      <c r="K168" s="48" t="inlineStr">
        <is>
          <t>20+ yrs</t>
        </is>
      </c>
      <c r="L168" s="37" t="inlineStr">
        <is>
          <t>Postgraduate / professional qualification; proven business leadership</t>
        </is>
      </c>
      <c r="M168" s="48" t="inlineStr">
        <is>
          <t>E6</t>
        </is>
      </c>
      <c r="N168" s="48" t="inlineStr">
        <is>
          <t>7</t>
        </is>
      </c>
    </row>
    <row r="169" ht="67" customHeight="1">
      <c r="A169" s="49" t="inlineStr">
        <is>
          <t>X</t>
        </is>
      </c>
      <c r="B169" s="49" t="inlineStr">
        <is>
          <t>X1</t>
        </is>
      </c>
      <c r="C169" s="49" t="inlineStr">
        <is>
          <t>—</t>
        </is>
      </c>
      <c r="D169" s="40" t="inlineStr">
        <is>
          <t>Associate Consultant</t>
        </is>
      </c>
      <c r="E169" s="40" t="inlineStr">
        <is>
          <t>Outside the employee ladder</t>
        </is>
      </c>
      <c r="F169" s="40" t="inlineStr">
        <is>
          <t>Defined deliverables under a statement of work · ≈ A2–A3</t>
        </is>
      </c>
      <c r="G169" s="40" t="inlineStr">
        <is>
          <t>—</t>
        </is>
      </c>
      <c r="H169" s="40" t="inlineStr">
        <is>
          <t>—</t>
        </is>
      </c>
      <c r="I169" s="40" t="inlineStr">
        <is>
          <t>—</t>
        </is>
      </c>
      <c r="J169" s="40" t="inlineStr">
        <is>
          <t>—</t>
        </is>
      </c>
      <c r="K169" s="49" t="inlineStr">
        <is>
          <t>0–5 yrs</t>
        </is>
      </c>
      <c r="L169" s="40" t="inlineStr">
        <is>
          <t>As for equivalent role</t>
        </is>
      </c>
      <c r="M169" s="49" t="inlineStr">
        <is>
          <t>Contractor</t>
        </is>
      </c>
      <c r="N169" s="49" t="inlineStr">
        <is>
          <t>—</t>
        </is>
      </c>
    </row>
    <row r="170" ht="54" customHeight="1">
      <c r="A170" s="49" t="inlineStr">
        <is>
          <t>X</t>
        </is>
      </c>
      <c r="B170" s="49" t="inlineStr">
        <is>
          <t>X2</t>
        </is>
      </c>
      <c r="C170" s="49" t="inlineStr">
        <is>
          <t>—</t>
        </is>
      </c>
      <c r="D170" s="40" t="inlineStr">
        <is>
          <t>Consultant</t>
        </is>
      </c>
      <c r="E170" s="40" t="inlineStr">
        <is>
          <t>Outside the employee ladder</t>
        </is>
      </c>
      <c r="F170" s="40" t="inlineStr">
        <is>
          <t>Specialist scope or workstream · ≈ B1–B2</t>
        </is>
      </c>
      <c r="G170" s="40" t="inlineStr">
        <is>
          <t>—</t>
        </is>
      </c>
      <c r="H170" s="40" t="inlineStr">
        <is>
          <t>—</t>
        </is>
      </c>
      <c r="I170" s="40" t="inlineStr">
        <is>
          <t>—</t>
        </is>
      </c>
      <c r="J170" s="40" t="inlineStr">
        <is>
          <t>—</t>
        </is>
      </c>
      <c r="K170" s="49" t="inlineStr">
        <is>
          <t>4–10 yrs</t>
        </is>
      </c>
      <c r="L170" s="40" t="inlineStr">
        <is>
          <t>As for equivalent role</t>
        </is>
      </c>
      <c r="M170" s="49" t="inlineStr">
        <is>
          <t>Contractor</t>
        </is>
      </c>
      <c r="N170" s="49" t="inlineStr">
        <is>
          <t>—</t>
        </is>
      </c>
    </row>
    <row r="171" ht="41" customHeight="1">
      <c r="A171" s="49" t="inlineStr">
        <is>
          <t>X</t>
        </is>
      </c>
      <c r="B171" s="49" t="inlineStr">
        <is>
          <t>X3</t>
        </is>
      </c>
      <c r="C171" s="49" t="inlineStr">
        <is>
          <t>—</t>
        </is>
      </c>
      <c r="D171" s="40" t="inlineStr">
        <is>
          <t>Senior Consultant / Advisor</t>
        </is>
      </c>
      <c r="E171" s="40" t="inlineStr">
        <is>
          <t>Outside the employee ladder</t>
        </is>
      </c>
      <c r="F171" s="40" t="inlineStr">
        <is>
          <t>Expert or advisory scope · ≈ B3–C2</t>
        </is>
      </c>
      <c r="G171" s="40" t="inlineStr">
        <is>
          <t>—</t>
        </is>
      </c>
      <c r="H171" s="40" t="inlineStr">
        <is>
          <t>—</t>
        </is>
      </c>
      <c r="I171" s="40" t="inlineStr">
        <is>
          <t>—</t>
        </is>
      </c>
      <c r="J171" s="40" t="inlineStr">
        <is>
          <t>—</t>
        </is>
      </c>
      <c r="K171" s="49" t="inlineStr">
        <is>
          <t>10+ yrs</t>
        </is>
      </c>
      <c r="L171" s="40" t="inlineStr">
        <is>
          <t>As for equivalent role</t>
        </is>
      </c>
      <c r="M171" s="49" t="inlineStr">
        <is>
          <t>Contractor</t>
        </is>
      </c>
      <c r="N171" s="49" t="inlineStr">
        <is>
          <t>—</t>
        </is>
      </c>
    </row>
    <row r="172" ht="15" customHeight="1"/>
    <row r="173" ht="15" customHeight="1">
      <c r="A173" s="7" t="inlineStr">
        <is>
          <t>Band</t>
        </is>
      </c>
      <c r="B173" s="7" t="inlineStr">
        <is>
          <t>Name</t>
        </is>
      </c>
      <c r="C173" s="63" t="n"/>
      <c r="D173" s="7" t="inlineStr">
        <is>
          <t>Contribution</t>
        </is>
      </c>
      <c r="E173" s="64" t="n"/>
      <c r="F173" s="64" t="n"/>
      <c r="G173" s="64" t="n"/>
      <c r="H173" s="64" t="n"/>
      <c r="I173" s="64" t="n"/>
      <c r="J173" s="63" t="n"/>
      <c r="K173" s="7" t="inlineStr">
        <is>
          <t>Levels</t>
        </is>
      </c>
      <c r="L173" s="64" t="n"/>
      <c r="M173" s="64" t="n"/>
      <c r="N173" s="63" t="n"/>
    </row>
    <row r="174" ht="28" customHeight="1">
      <c r="A174" s="66" t="inlineStr">
        <is>
          <t>A</t>
        </is>
      </c>
      <c r="B174" s="19" t="inlineStr">
        <is>
          <t>Practitioner</t>
        </is>
      </c>
      <c r="C174" s="63" t="n"/>
      <c r="D174" s="19" t="inlineStr">
        <is>
          <t>Learns and delivers own work to standard; one common path</t>
        </is>
      </c>
      <c r="E174" s="64" t="n"/>
      <c r="F174" s="64" t="n"/>
      <c r="G174" s="64" t="n"/>
      <c r="H174" s="64" t="n"/>
      <c r="I174" s="64" t="n"/>
      <c r="J174" s="63" t="n"/>
      <c r="K174" s="19" t="inlineStr">
        <is>
          <t>A1 Intern / Trainee · A2 Associate · A3 Senior Associate</t>
        </is>
      </c>
      <c r="L174" s="64" t="n"/>
      <c r="M174" s="64" t="n"/>
      <c r="N174" s="63" t="n"/>
    </row>
    <row r="175" ht="15" customHeight="1">
      <c r="A175" s="67" t="inlineStr">
        <is>
          <t>B</t>
        </is>
      </c>
      <c r="B175" s="22" t="inlineStr">
        <is>
          <t>Specialist / Manager</t>
        </is>
      </c>
      <c r="C175" s="63" t="n"/>
      <c r="D175" s="22" t="inlineStr">
        <is>
          <t>Owns a domain or a team; the track split happens here</t>
        </is>
      </c>
      <c r="E175" s="64" t="n"/>
      <c r="F175" s="64" t="n"/>
      <c r="G175" s="64" t="n"/>
      <c r="H175" s="64" t="n"/>
      <c r="I175" s="64" t="n"/>
      <c r="J175" s="63" t="n"/>
      <c r="K175" s="22" t="inlineStr">
        <is>
          <t>B1 · B2 · B3</t>
        </is>
      </c>
      <c r="L175" s="64" t="n"/>
      <c r="M175" s="64" t="n"/>
      <c r="N175" s="63" t="n"/>
    </row>
    <row r="176" ht="15" customHeight="1">
      <c r="A176" s="68" t="inlineStr">
        <is>
          <t>C</t>
        </is>
      </c>
      <c r="B176" s="28" t="inlineStr">
        <is>
          <t>Principal / Head</t>
        </is>
      </c>
      <c r="C176" s="63" t="n"/>
      <c r="D176" s="28" t="inlineStr">
        <is>
          <t>Owns a sub-function or function, or principal authority across products</t>
        </is>
      </c>
      <c r="E176" s="64" t="n"/>
      <c r="F176" s="64" t="n"/>
      <c r="G176" s="64" t="n"/>
      <c r="H176" s="64" t="n"/>
      <c r="I176" s="64" t="n"/>
      <c r="J176" s="63" t="n"/>
      <c r="K176" s="28" t="inlineStr">
        <is>
          <t>C1 · C2</t>
        </is>
      </c>
      <c r="L176" s="64" t="n"/>
      <c r="M176" s="64" t="n"/>
      <c r="N176" s="63" t="n"/>
    </row>
    <row r="177" ht="15" customHeight="1">
      <c r="A177" s="69" t="inlineStr">
        <is>
          <t>D</t>
        </is>
      </c>
      <c r="B177" s="34" t="inlineStr">
        <is>
          <t>Business leadership</t>
        </is>
      </c>
      <c r="C177" s="63" t="n"/>
      <c r="D177" s="34" t="inlineStr">
        <is>
          <t>Owns a business line or enterprise function</t>
        </is>
      </c>
      <c r="E177" s="64" t="n"/>
      <c r="F177" s="64" t="n"/>
      <c r="G177" s="64" t="n"/>
      <c r="H177" s="64" t="n"/>
      <c r="I177" s="64" t="n"/>
      <c r="J177" s="63" t="n"/>
      <c r="K177" s="34" t="inlineStr">
        <is>
          <t>D1 · D2</t>
        </is>
      </c>
      <c r="L177" s="64" t="n"/>
      <c r="M177" s="64" t="n"/>
      <c r="N177" s="63" t="n"/>
    </row>
    <row r="178" ht="15" customHeight="1">
      <c r="A178" s="70" t="inlineStr">
        <is>
          <t>E</t>
        </is>
      </c>
      <c r="B178" s="37" t="inlineStr">
        <is>
          <t>Enterprise leadership</t>
        </is>
      </c>
      <c r="C178" s="63" t="n"/>
      <c r="D178" s="37" t="inlineStr">
        <is>
          <t>Owns an enterprise-wide mandate</t>
        </is>
      </c>
      <c r="E178" s="64" t="n"/>
      <c r="F178" s="64" t="n"/>
      <c r="G178" s="64" t="n"/>
      <c r="H178" s="64" t="n"/>
      <c r="I178" s="64" t="n"/>
      <c r="J178" s="63" t="n"/>
      <c r="K178" s="37" t="inlineStr">
        <is>
          <t>E1 · E2</t>
        </is>
      </c>
      <c r="L178" s="64" t="n"/>
      <c r="M178" s="64" t="n"/>
      <c r="N178" s="63" t="n"/>
    </row>
    <row r="179" ht="15" customHeight="1">
      <c r="A179" s="71" t="inlineStr">
        <is>
          <t>X</t>
        </is>
      </c>
      <c r="B179" s="40" t="inlineStr">
        <is>
          <t>Consultant</t>
        </is>
      </c>
      <c r="C179" s="63" t="n"/>
      <c r="D179" s="40" t="inlineStr">
        <is>
          <t>Statement-of-work scope; outside the employee ladder</t>
        </is>
      </c>
      <c r="E179" s="64" t="n"/>
      <c r="F179" s="64" t="n"/>
      <c r="G179" s="64" t="n"/>
      <c r="H179" s="64" t="n"/>
      <c r="I179" s="64" t="n"/>
      <c r="J179" s="63" t="n"/>
      <c r="K179" s="40" t="inlineStr">
        <is>
          <t>X1 · X2 · X3</t>
        </is>
      </c>
      <c r="L179" s="64" t="n"/>
      <c r="M179" s="64" t="n"/>
      <c r="N179" s="63" t="n"/>
    </row>
    <row r="180" ht="28" customHeight="1">
      <c r="A180" s="72" t="inlineStr">
        <is>
          <t>B+</t>
        </is>
      </c>
      <c r="B180" s="25" t="inlineStr">
        <is>
          <t>Player-Coach transition step</t>
        </is>
      </c>
      <c r="C180" s="63" t="n"/>
      <c r="D180" s="25" t="inlineStr">
        <is>
          <t>Leads 3–6 people and still does the hardest hands-on work; reaches C substance without a sub-function through managers</t>
        </is>
      </c>
      <c r="E180" s="64" t="n"/>
      <c r="F180" s="64" t="n"/>
      <c r="G180" s="64" t="n"/>
      <c r="H180" s="64" t="n"/>
      <c r="I180" s="64" t="n"/>
      <c r="J180" s="63" t="n"/>
      <c r="K180" s="25" t="inlineStr">
        <is>
          <t>B+ · Practice Lead · Player-Coach — value 6.5</t>
        </is>
      </c>
      <c r="L180" s="64" t="n"/>
      <c r="M180" s="64" t="n"/>
      <c r="N180" s="63" t="n"/>
    </row>
    <row r="181" ht="28" customHeight="1">
      <c r="A181" s="73" t="inlineStr">
        <is>
          <t>C+</t>
        </is>
      </c>
      <c r="B181" s="31" t="inlineStr">
        <is>
          <t>Player-Coach transition step</t>
        </is>
      </c>
      <c r="C181" s="63" t="n"/>
      <c r="D181" s="31" t="inlineStr">
        <is>
          <t>Heads a function and personally carries critical clients or principal work; D-level score without a business line</t>
        </is>
      </c>
      <c r="E181" s="64" t="n"/>
      <c r="F181" s="64" t="n"/>
      <c r="G181" s="64" t="n"/>
      <c r="H181" s="64" t="n"/>
      <c r="I181" s="64" t="n"/>
      <c r="J181" s="63" t="n"/>
      <c r="K181" s="31" t="inlineStr">
        <is>
          <t>C+ · Group Head · Player-Coach — value 8.5</t>
        </is>
      </c>
      <c r="L181" s="64" t="n"/>
      <c r="M181" s="64" t="n"/>
      <c r="N181" s="63" t="n"/>
    </row>
    <row r="182" ht="15" customHeight="1"/>
    <row r="183" ht="20" customHeight="1">
      <c r="A183" s="6" t="inlineStr">
        <is>
          <t>M5. Track model</t>
        </is>
      </c>
    </row>
    <row r="184" ht="15" customHeight="1">
      <c r="A184" s="7" t="inlineStr">
        <is>
          <t>ID</t>
        </is>
      </c>
      <c r="B184" s="7" t="inlineStr">
        <is>
          <t>Rule</t>
        </is>
      </c>
      <c r="C184" s="64" t="n"/>
      <c r="D184" s="64" t="n"/>
      <c r="E184" s="64" t="n"/>
      <c r="F184" s="64" t="n"/>
      <c r="G184" s="64" t="n"/>
      <c r="H184" s="64" t="n"/>
      <c r="I184" s="64" t="n"/>
      <c r="J184" s="64" t="n"/>
      <c r="K184" s="63" t="n"/>
      <c r="L184" s="7" t="inlineStr">
        <is>
          <t>Sources</t>
        </is>
      </c>
      <c r="M184" s="64" t="n"/>
      <c r="N184" s="63" t="n"/>
    </row>
    <row r="185" ht="15" customHeight="1">
      <c r="A185" s="14" t="inlineStr">
        <is>
          <t>K1</t>
        </is>
      </c>
      <c r="B185" s="9" t="inlineStr">
        <is>
          <r>
            <rPr>
              <rFont val="Calibri"/>
              <b val="1"/>
              <sz val="10"/>
            </rPr>
            <t>Common path:</t>
          </r>
          <r>
            <rPr>
              <rFont val="Calibri"/>
              <sz val="10"/>
            </rPr>
            <t xml:space="preserve"> Band A has one path. The track choice is made at B1.</t>
          </r>
        </is>
      </c>
      <c r="C185" s="64" t="n"/>
      <c r="D185" s="64" t="n"/>
      <c r="E185" s="64" t="n"/>
      <c r="F185" s="64" t="n"/>
      <c r="G185" s="64" t="n"/>
      <c r="H185" s="64" t="n"/>
      <c r="I185" s="64" t="n"/>
      <c r="J185" s="64" t="n"/>
      <c r="K185" s="63" t="n"/>
      <c r="L185" s="9" t="inlineStr">
        <is>
          <t>S08, S37</t>
        </is>
      </c>
      <c r="M185" s="64" t="n"/>
      <c r="N185" s="63" t="n"/>
    </row>
    <row r="186" ht="15" customHeight="1">
      <c r="A186" s="14" t="inlineStr">
        <is>
          <t>K2</t>
        </is>
      </c>
      <c r="B186" s="9" t="inlineStr">
        <is>
          <r>
            <rPr>
              <rFont val="Calibri"/>
              <b val="1"/>
              <sz val="10"/>
            </rPr>
            <t>Individual Contributor:</t>
          </r>
          <r>
            <rPr>
              <rFont val="Calibri"/>
              <sz val="10"/>
            </rPr>
            <t xml:space="preserve"> no formal reports, or reviews and allocates work without writing appraisals.</t>
          </r>
        </is>
      </c>
      <c r="C186" s="64" t="n"/>
      <c r="D186" s="64" t="n"/>
      <c r="E186" s="64" t="n"/>
      <c r="F186" s="64" t="n"/>
      <c r="G186" s="64" t="n"/>
      <c r="H186" s="64" t="n"/>
      <c r="I186" s="64" t="n"/>
      <c r="J186" s="64" t="n"/>
      <c r="K186" s="63" t="n"/>
      <c r="L186" s="9" t="inlineStr">
        <is>
          <t>S03</t>
        </is>
      </c>
      <c r="M186" s="64" t="n"/>
      <c r="N186" s="63" t="n"/>
    </row>
    <row r="187" ht="28" customHeight="1">
      <c r="A187" s="14" t="inlineStr">
        <is>
          <t>K3</t>
        </is>
      </c>
      <c r="B187" s="9" t="inlineStr">
        <is>
          <r>
            <rPr>
              <rFont val="Calibri"/>
              <b val="1"/>
              <sz val="10"/>
            </rPr>
            <t>POD Lead:</t>
          </r>
          <r>
            <rPr>
              <rFont val="Calibri"/>
              <sz val="10"/>
            </rPr>
            <t xml:space="preserve"> 1–3 formal reports while most of the time stays on IC work. Grade and pay follow the underlying IC level, which is B1 or above.</t>
          </r>
        </is>
      </c>
      <c r="C187" s="64" t="n"/>
      <c r="D187" s="64" t="n"/>
      <c r="E187" s="64" t="n"/>
      <c r="F187" s="64" t="n"/>
      <c r="G187" s="64" t="n"/>
      <c r="H187" s="64" t="n"/>
      <c r="I187" s="64" t="n"/>
      <c r="J187" s="64" t="n"/>
      <c r="K187" s="63" t="n"/>
      <c r="L187" s="9" t="inlineStr">
        <is>
          <t>S03 · management = most time spent managing, S09 · player/coach 3–5</t>
        </is>
      </c>
      <c r="M187" s="64" t="n"/>
      <c r="N187" s="63" t="n"/>
    </row>
    <row r="188" ht="28" customHeight="1">
      <c r="A188" s="14" t="inlineStr">
        <is>
          <t>K4</t>
        </is>
      </c>
      <c r="B188" s="9" t="inlineStr">
        <is>
          <r>
            <rPr>
              <rFont val="Calibri"/>
              <b val="1"/>
              <sz val="10"/>
            </rPr>
            <t>People Manager:</t>
          </r>
          <r>
            <rPr>
              <rFont val="Calibri"/>
              <sz val="10"/>
            </rPr>
            <t xml:space="preserve"> formally manages and writes appraisals, with most of the time spent managing. Sits at B1 or above; B3 needs team leads reporting in or 10+ people in the team; C1 needs a sub-function led through managers.</t>
          </r>
        </is>
      </c>
      <c r="C188" s="64" t="n"/>
      <c r="D188" s="64" t="n"/>
      <c r="E188" s="64" t="n"/>
      <c r="F188" s="64" t="n"/>
      <c r="G188" s="64" t="n"/>
      <c r="H188" s="64" t="n"/>
      <c r="I188" s="64" t="n"/>
      <c r="J188" s="64" t="n"/>
      <c r="K188" s="63" t="n"/>
      <c r="L188" s="9" t="inlineStr">
        <is>
          <t>S03, S09</t>
        </is>
      </c>
      <c r="M188" s="64" t="n"/>
      <c r="N188" s="63" t="n"/>
    </row>
    <row r="189" ht="15" customHeight="1">
      <c r="A189" s="14" t="inlineStr">
        <is>
          <t>K5</t>
        </is>
      </c>
      <c r="B189" s="9" t="inlineStr">
        <is>
          <r>
            <rPr>
              <rFont val="Calibri"/>
              <b val="1"/>
              <sz val="10"/>
            </rPr>
            <t>Consultant:</t>
          </r>
          <r>
            <rPr>
              <rFont val="Calibri"/>
              <sz val="10"/>
            </rPr>
            <t xml:space="preserve"> works under a statement of work. X1–X3 sit outside the employee ladder and set only the rate card and access level.</t>
          </r>
        </is>
      </c>
      <c r="C189" s="64" t="n"/>
      <c r="D189" s="64" t="n"/>
      <c r="E189" s="64" t="n"/>
      <c r="F189" s="64" t="n"/>
      <c r="G189" s="64" t="n"/>
      <c r="H189" s="64" t="n"/>
      <c r="I189" s="64" t="n"/>
      <c r="J189" s="64" t="n"/>
      <c r="K189" s="63" t="n"/>
      <c r="L189" s="9" t="inlineStr">
        <is>
          <t>—</t>
        </is>
      </c>
      <c r="M189" s="64" t="n"/>
      <c r="N189" s="63" t="n"/>
    </row>
    <row r="190" ht="54" customHeight="1">
      <c r="A190" s="14" t="inlineStr">
        <is>
          <t>K6</t>
        </is>
      </c>
      <c r="B190" s="9" t="inlineStr">
        <is>
          <t>Player-Coach · Player-Coach transition steps B+ and C+: leads people · direct reports, POD or the manager's 'player cum coach' flag AND still delivers hands-on expert work · IC / POD work, or survey / KRA evidence. B+ Player-Coach transition steps B3 → C1 without a sub-function through managers; C+ Player-Coach transition steps C2 → D1 without a business line. Placement by rule R10 only.</t>
        </is>
      </c>
      <c r="C190" s="64" t="n"/>
      <c r="D190" s="64" t="n"/>
      <c r="E190" s="64" t="n"/>
      <c r="F190" s="64" t="n"/>
      <c r="G190" s="64" t="n"/>
      <c r="H190" s="64" t="n"/>
      <c r="I190" s="64" t="n"/>
      <c r="J190" s="64" t="n"/>
      <c r="K190" s="63" t="n"/>
      <c r="L190" s="9" t="inlineStr">
        <is>
          <t>S09 · player/coach 3–5 reports; Google Tech Lead Manager · Software Engineering at Google; SaaS player-coach sales leads</t>
        </is>
      </c>
      <c r="M190" s="64" t="n"/>
      <c r="N190" s="63" t="n"/>
    </row>
    <row r="191" ht="15" customHeight="1"/>
    <row r="192" ht="15" customHeight="1">
      <c r="A192" s="7" t="inlineStr">
        <is>
          <t>Band · enterprise</t>
        </is>
      </c>
      <c r="B192" s="64" t="n"/>
      <c r="C192" s="63" t="n"/>
      <c r="D192" s="7" t="inlineStr">
        <is>
          <t>IC</t>
        </is>
      </c>
      <c r="E192" s="63" t="n"/>
      <c r="F192" s="7" t="inlineStr">
        <is>
          <t>POD Lead</t>
        </is>
      </c>
      <c r="G192" s="63" t="n"/>
      <c r="H192" s="7" t="inlineStr">
        <is>
          <t>Player-Coach</t>
        </is>
      </c>
      <c r="I192" s="63" t="n"/>
      <c r="J192" s="7" t="inlineStr">
        <is>
          <t>People Manager</t>
        </is>
      </c>
      <c r="K192" s="63" t="n"/>
      <c r="L192" s="7" t="inlineStr">
        <is>
          <t>Consultant</t>
        </is>
      </c>
      <c r="M192" s="63" t="n"/>
      <c r="N192" s="7" t="inlineStr">
        <is>
          <t>Total</t>
        </is>
      </c>
    </row>
    <row r="193" ht="15" customHeight="1">
      <c r="A193" s="66" t="inlineStr">
        <is>
          <t>A</t>
        </is>
      </c>
      <c r="B193" s="64" t="n"/>
      <c r="C193" s="63" t="n"/>
      <c r="D193" s="42" t="n">
        <v>353</v>
      </c>
      <c r="E193" s="63" t="n"/>
      <c r="F193" s="42" t="n">
        <v>0</v>
      </c>
      <c r="G193" s="63" t="n"/>
      <c r="H193" s="42" t="n">
        <v>0</v>
      </c>
      <c r="I193" s="63" t="n"/>
      <c r="J193" s="42" t="n">
        <v>0</v>
      </c>
      <c r="K193" s="63" t="n"/>
      <c r="L193" s="42" t="n">
        <v>0</v>
      </c>
      <c r="M193" s="63" t="n"/>
      <c r="N193" s="42" t="n">
        <v>353</v>
      </c>
    </row>
    <row r="194" ht="15" customHeight="1">
      <c r="A194" s="67" t="inlineStr">
        <is>
          <t>B</t>
        </is>
      </c>
      <c r="B194" s="64" t="n"/>
      <c r="C194" s="63" t="n"/>
      <c r="D194" s="43" t="n">
        <v>74</v>
      </c>
      <c r="E194" s="63" t="n"/>
      <c r="F194" s="43" t="n">
        <v>58</v>
      </c>
      <c r="G194" s="63" t="n"/>
      <c r="H194" s="43" t="n">
        <v>0</v>
      </c>
      <c r="I194" s="63" t="n"/>
      <c r="J194" s="43" t="n">
        <v>43</v>
      </c>
      <c r="K194" s="63" t="n"/>
      <c r="L194" s="43" t="n">
        <v>0</v>
      </c>
      <c r="M194" s="63" t="n"/>
      <c r="N194" s="43" t="n">
        <v>175</v>
      </c>
    </row>
    <row r="195" ht="15" customHeight="1">
      <c r="A195" s="72" t="inlineStr">
        <is>
          <t>B+</t>
        </is>
      </c>
      <c r="B195" s="64" t="n"/>
      <c r="C195" s="63" t="n"/>
      <c r="D195" s="44" t="n">
        <v>0</v>
      </c>
      <c r="E195" s="63" t="n"/>
      <c r="F195" s="44" t="n">
        <v>0</v>
      </c>
      <c r="G195" s="63" t="n"/>
      <c r="H195" s="44" t="n">
        <v>6</v>
      </c>
      <c r="I195" s="63" t="n"/>
      <c r="J195" s="44" t="n">
        <v>0</v>
      </c>
      <c r="K195" s="63" t="n"/>
      <c r="L195" s="44" t="n">
        <v>0</v>
      </c>
      <c r="M195" s="63" t="n"/>
      <c r="N195" s="44" t="n">
        <v>6</v>
      </c>
    </row>
    <row r="196" ht="15" customHeight="1">
      <c r="A196" s="68" t="inlineStr">
        <is>
          <t>C</t>
        </is>
      </c>
      <c r="B196" s="64" t="n"/>
      <c r="C196" s="63" t="n"/>
      <c r="D196" s="45" t="n">
        <v>5</v>
      </c>
      <c r="E196" s="63" t="n"/>
      <c r="F196" s="45" t="n">
        <v>1</v>
      </c>
      <c r="G196" s="63" t="n"/>
      <c r="H196" s="45" t="n">
        <v>0</v>
      </c>
      <c r="I196" s="63" t="n"/>
      <c r="J196" s="45" t="n">
        <v>10</v>
      </c>
      <c r="K196" s="63" t="n"/>
      <c r="L196" s="45" t="n">
        <v>0</v>
      </c>
      <c r="M196" s="63" t="n"/>
      <c r="N196" s="45" t="n">
        <v>16</v>
      </c>
    </row>
    <row r="197" ht="15" customHeight="1">
      <c r="A197" s="73" t="inlineStr">
        <is>
          <t>C+</t>
        </is>
      </c>
      <c r="B197" s="64" t="n"/>
      <c r="C197" s="63" t="n"/>
      <c r="D197" s="46" t="n">
        <v>0</v>
      </c>
      <c r="E197" s="63" t="n"/>
      <c r="F197" s="46" t="n">
        <v>0</v>
      </c>
      <c r="G197" s="63" t="n"/>
      <c r="H197" s="46" t="n">
        <v>0</v>
      </c>
      <c r="I197" s="63" t="n"/>
      <c r="J197" s="46" t="n">
        <v>0</v>
      </c>
      <c r="K197" s="63" t="n"/>
      <c r="L197" s="46" t="n">
        <v>0</v>
      </c>
      <c r="M197" s="63" t="n"/>
      <c r="N197" s="46" t="n">
        <v>0</v>
      </c>
    </row>
    <row r="198" ht="15" customHeight="1">
      <c r="A198" s="69" t="inlineStr">
        <is>
          <t>D</t>
        </is>
      </c>
      <c r="B198" s="64" t="n"/>
      <c r="C198" s="63" t="n"/>
      <c r="D198" s="47" t="n">
        <v>0</v>
      </c>
      <c r="E198" s="63" t="n"/>
      <c r="F198" s="47" t="n">
        <v>0</v>
      </c>
      <c r="G198" s="63" t="n"/>
      <c r="H198" s="47" t="n">
        <v>0</v>
      </c>
      <c r="I198" s="63" t="n"/>
      <c r="J198" s="47" t="n">
        <v>6</v>
      </c>
      <c r="K198" s="63" t="n"/>
      <c r="L198" s="47" t="n">
        <v>0</v>
      </c>
      <c r="M198" s="63" t="n"/>
      <c r="N198" s="47" t="n">
        <v>6</v>
      </c>
    </row>
    <row r="199" ht="15" customHeight="1">
      <c r="A199" s="70" t="inlineStr">
        <is>
          <t>E</t>
        </is>
      </c>
      <c r="B199" s="64" t="n"/>
      <c r="C199" s="63" t="n"/>
      <c r="D199" s="48" t="n">
        <v>0</v>
      </c>
      <c r="E199" s="63" t="n"/>
      <c r="F199" s="48" t="n">
        <v>0</v>
      </c>
      <c r="G199" s="63" t="n"/>
      <c r="H199" s="48" t="n">
        <v>0</v>
      </c>
      <c r="I199" s="63" t="n"/>
      <c r="J199" s="48" t="n">
        <v>5</v>
      </c>
      <c r="K199" s="63" t="n"/>
      <c r="L199" s="48" t="n">
        <v>0</v>
      </c>
      <c r="M199" s="63" t="n"/>
      <c r="N199" s="48" t="n">
        <v>5</v>
      </c>
    </row>
    <row r="200" ht="15" customHeight="1">
      <c r="A200" s="71" t="inlineStr">
        <is>
          <t>X</t>
        </is>
      </c>
      <c r="B200" s="64" t="n"/>
      <c r="C200" s="63" t="n"/>
      <c r="D200" s="49" t="n">
        <v>0</v>
      </c>
      <c r="E200" s="63" t="n"/>
      <c r="F200" s="49" t="n">
        <v>0</v>
      </c>
      <c r="G200" s="63" t="n"/>
      <c r="H200" s="49" t="n">
        <v>0</v>
      </c>
      <c r="I200" s="63" t="n"/>
      <c r="J200" s="49" t="n">
        <v>0</v>
      </c>
      <c r="K200" s="63" t="n"/>
      <c r="L200" s="49" t="n">
        <v>25</v>
      </c>
      <c r="M200" s="63" t="n"/>
      <c r="N200" s="49" t="n">
        <v>25</v>
      </c>
    </row>
    <row r="201" ht="15" customHeight="1">
      <c r="A201" s="74" t="inlineStr">
        <is>
          <t>Total</t>
        </is>
      </c>
      <c r="B201" s="64" t="n"/>
      <c r="C201" s="63" t="n"/>
      <c r="D201" s="58" t="n">
        <v>432</v>
      </c>
      <c r="E201" s="63" t="n"/>
      <c r="F201" s="58" t="n">
        <v>59</v>
      </c>
      <c r="G201" s="63" t="n"/>
      <c r="H201" s="58" t="n">
        <v>6</v>
      </c>
      <c r="I201" s="63" t="n"/>
      <c r="J201" s="58" t="n">
        <v>64</v>
      </c>
      <c r="K201" s="63" t="n"/>
      <c r="L201" s="58" t="n">
        <v>25</v>
      </c>
      <c r="M201" s="63" t="n"/>
      <c r="N201" s="58" t="n">
        <v>586</v>
      </c>
    </row>
    <row r="202" ht="15" customHeight="1"/>
    <row r="203" ht="20" customHeight="1">
      <c r="A203" s="6" t="inlineStr">
        <is>
          <t>M6. Factor model — six factors, each rated on the ladder scale: A1 = 1 … E2 = 12</t>
        </is>
      </c>
    </row>
    <row r="204" ht="15" customHeight="1">
      <c r="A204" s="7" t="inlineStr">
        <is>
          <t>ID</t>
        </is>
      </c>
      <c r="B204" s="7" t="inlineStr">
        <is>
          <t>Factor</t>
        </is>
      </c>
      <c r="C204" s="63" t="n"/>
      <c r="D204" s="7" t="inlineStr">
        <is>
          <t>What it measures</t>
        </is>
      </c>
      <c r="E204" s="64" t="n"/>
      <c r="F204" s="63" t="n"/>
      <c r="G204" s="7" t="inlineStr">
        <is>
          <t>Evidence read</t>
        </is>
      </c>
      <c r="H204" s="64" t="n"/>
      <c r="I204" s="63" t="n"/>
      <c r="J204" s="7" t="inlineStr">
        <is>
          <t>Market equivalent</t>
        </is>
      </c>
      <c r="K204" s="64" t="n"/>
      <c r="L204" s="64" t="n"/>
      <c r="M204" s="64" t="n"/>
      <c r="N204" s="63" t="n"/>
    </row>
    <row r="205" ht="41" customHeight="1">
      <c r="A205" s="14" t="inlineStr">
        <is>
          <t>F1</t>
        </is>
      </c>
      <c r="B205" s="9" t="inlineStr">
        <is>
          <t>Complexity &amp; Expertise</t>
        </is>
      </c>
      <c r="C205" s="63" t="n"/>
      <c r="D205" s="9" t="inlineStr">
        <is>
          <t>How hard and how specialised the work is; the knowledge it needs</t>
        </is>
      </c>
      <c r="E205" s="64" t="n"/>
      <c r="F205" s="63" t="n"/>
      <c r="G205" s="9" t="inlineStr">
        <is>
          <t>Designation; survey: skills needed, typical judgement call; KRAs</t>
        </is>
      </c>
      <c r="H205" s="64" t="n"/>
      <c r="I205" s="63" t="n"/>
      <c r="J205" s="9" t="inlineStr">
        <is>
          <t>Hay Know-How · technical + Problem Solving · Mercer IPE Knowledge + Innovation · SFIA complexity · WTW GGS knowledge / problem solving</t>
        </is>
      </c>
      <c r="K205" s="64" t="n"/>
      <c r="L205" s="64" t="n"/>
      <c r="M205" s="64" t="n"/>
      <c r="N205" s="63" t="n"/>
    </row>
    <row r="206" ht="28" customHeight="1">
      <c r="A206" s="14" t="inlineStr">
        <is>
          <t>F2</t>
        </is>
      </c>
      <c r="B206" s="9" t="inlineStr">
        <is>
          <t>Autonomy &amp; Decision</t>
        </is>
      </c>
      <c r="C206" s="63" t="n"/>
      <c r="D206" s="9" t="inlineStr">
        <is>
          <t>What the person can decide and act on without asking</t>
        </is>
      </c>
      <c r="E206" s="64" t="n"/>
      <c r="F206" s="63" t="n"/>
      <c r="G206" s="9" t="inlineStr">
        <is>
          <r>
            <rPr>
              <rFont val="Calibri"/>
              <b val="1"/>
              <sz val="10"/>
            </rPr>
            <t>Survey:</t>
          </r>
          <r>
            <rPr>
              <rFont val="Calibri"/>
              <sz val="10"/>
            </rPr>
            <t xml:space="preserve"> what can you decide on your own; reporting line</t>
          </r>
        </is>
      </c>
      <c r="H206" s="64" t="n"/>
      <c r="I206" s="63" t="n"/>
      <c r="J206" s="9" t="inlineStr">
        <is>
          <t>Hay Accountability — freedom to act · SFIA autonomy · Mercer IPE Impact</t>
        </is>
      </c>
      <c r="K206" s="64" t="n"/>
      <c r="L206" s="64" t="n"/>
      <c r="M206" s="64" t="n"/>
      <c r="N206" s="63" t="n"/>
    </row>
    <row r="207" ht="28" customHeight="1">
      <c r="A207" s="14" t="inlineStr">
        <is>
          <t>F3</t>
        </is>
      </c>
      <c r="B207" s="9" t="inlineStr">
        <is>
          <t>Accountability &amp; Impact</t>
        </is>
      </c>
      <c r="C207" s="63" t="n"/>
      <c r="D207" s="9" t="inlineStr">
        <is>
          <t>What the role answers for, and the cost of getting it wrong</t>
        </is>
      </c>
      <c r="E207" s="64" t="n"/>
      <c r="F207" s="63" t="n"/>
      <c r="G207" s="9" t="inlineStr">
        <is>
          <r>
            <rPr>
              <rFont val="Calibri"/>
              <b val="1"/>
              <sz val="10"/>
            </rPr>
            <t>Survey:</t>
          </r>
          <r>
            <rPr>
              <rFont val="Calibri"/>
              <sz val="10"/>
            </rPr>
            <t xml:space="preserve"> accountable for, what happens when missed; KRAs</t>
          </r>
        </is>
      </c>
      <c r="H207" s="64" t="n"/>
      <c r="I207" s="63" t="n"/>
      <c r="J207" s="9" t="inlineStr">
        <is>
          <t>Hay Accountability — magnitude and impact · Mercer IPE Impact</t>
        </is>
      </c>
      <c r="K207" s="64" t="n"/>
      <c r="L207" s="64" t="n"/>
      <c r="M207" s="64" t="n"/>
      <c r="N207" s="63" t="n"/>
    </row>
    <row r="208" ht="28" customHeight="1">
      <c r="A208" s="14" t="inlineStr">
        <is>
          <t>F4</t>
        </is>
      </c>
      <c r="B208" s="9" t="inlineStr">
        <is>
          <t>Leadership &amp; Strategy</t>
        </is>
      </c>
      <c r="C208" s="63" t="n"/>
      <c r="D208" s="9" t="inlineStr">
        <is>
          <t>Leading people and shaping direction</t>
        </is>
      </c>
      <c r="E208" s="64" t="n"/>
      <c r="F208" s="63" t="n"/>
      <c r="G208" s="9" t="inlineStr">
        <is>
          <t>Direct reports, span; survey on guiding others</t>
        </is>
      </c>
      <c r="H208" s="64" t="n"/>
      <c r="I208" s="63" t="n"/>
      <c r="J208" s="9" t="inlineStr">
        <is>
          <t>Hay Know-How · managerial, human relations · Mercer IPE Communication · SFIA influence</t>
        </is>
      </c>
      <c r="K208" s="64" t="n"/>
      <c r="L208" s="64" t="n"/>
      <c r="M208" s="64" t="n"/>
      <c r="N208" s="63" t="n"/>
    </row>
    <row r="209" ht="54" customHeight="1">
      <c r="A209" s="14" t="inlineStr">
        <is>
          <t>F5</t>
        </is>
      </c>
      <c r="B209" s="9" t="inlineStr">
        <is>
          <t>Experience &amp; Qualification</t>
        </is>
      </c>
      <c r="C209" s="63" t="n"/>
      <c r="D209" s="9" t="inlineStr">
        <is>
          <t>Total experience on the same ladder scale, adjusted for qualification — weighted low by design: 10% in Bands A–B, 5% in Bands C–E</t>
        </is>
      </c>
      <c r="E209" s="64" t="n"/>
      <c r="F209" s="63" t="n"/>
      <c r="G209" s="9" t="inlineStr">
        <is>
          <t>HRIS experience and qualification</t>
        </is>
      </c>
      <c r="H209" s="64" t="n"/>
      <c r="I209" s="63" t="n"/>
      <c r="J209" s="9" t="inlineStr">
        <is>
          <t>Hay Know-How · depth / breadth · Radford / Infosys / Accenture experience norms</t>
        </is>
      </c>
      <c r="K209" s="64" t="n"/>
      <c r="L209" s="64" t="n"/>
      <c r="M209" s="64" t="n"/>
      <c r="N209" s="63" t="n"/>
    </row>
    <row r="210" ht="54" customHeight="1">
      <c r="A210" s="14" t="inlineStr">
        <is>
          <t>F6</t>
        </is>
      </c>
      <c r="B210" s="9" t="inlineStr">
        <is>
          <t>Business Impact</t>
        </is>
      </c>
      <c r="C210" s="63" t="n"/>
      <c r="D210" s="9" t="inlineStr">
        <is>
          <t>The difference the role makes to revenue, clients, compliance or cost</t>
        </is>
      </c>
      <c r="E210" s="64" t="n"/>
      <c r="F210" s="63" t="n"/>
      <c r="G210" s="9" t="inlineStr">
        <is>
          <t>Starts from the role's accountability scope; survey and manager mapping on business-critical or unique work; managers and heads confirm or change it</t>
        </is>
      </c>
      <c r="H210" s="64" t="n"/>
      <c r="I210" s="63" t="n"/>
      <c r="J210" s="9" t="inlineStr">
        <is>
          <t>Mercer IPE Impact · Hay Accountability — nature of impact · WTW GGS business impact</t>
        </is>
      </c>
      <c r="K210" s="64" t="n"/>
      <c r="L210" s="64" t="n"/>
      <c r="M210" s="64" t="n"/>
      <c r="N210" s="63" t="n"/>
    </row>
    <row r="211" ht="15" customHeight="1"/>
    <row r="212" ht="15" customHeight="1">
      <c r="A212" s="7" t="inlineStr">
        <is>
          <t>ID</t>
        </is>
      </c>
      <c r="B212" s="7" t="inlineStr">
        <is>
          <t>Evidence rule</t>
        </is>
      </c>
      <c r="C212" s="64" t="n"/>
      <c r="D212" s="64" t="n"/>
      <c r="E212" s="64" t="n"/>
      <c r="F212" s="64" t="n"/>
      <c r="G212" s="64" t="n"/>
      <c r="H212" s="64" t="n"/>
      <c r="I212" s="64" t="n"/>
      <c r="J212" s="64" t="n"/>
      <c r="K212" s="64" t="n"/>
      <c r="L212" s="63" t="n"/>
      <c r="M212" s="7" t="inlineStr">
        <is>
          <t>Sources</t>
        </is>
      </c>
      <c r="N212" s="63" t="n"/>
    </row>
    <row r="213" ht="15" customHeight="1">
      <c r="A213" s="14" t="inlineStr">
        <is>
          <t>E1</t>
        </is>
      </c>
      <c r="B213" s="9" t="inlineStr">
        <is>
          <r>
            <rPr>
              <rFont val="Calibri"/>
              <b val="1"/>
              <sz val="10"/>
            </rPr>
            <t>Starting point:</t>
          </r>
          <r>
            <rPr>
              <rFont val="Calibri"/>
              <sz val="10"/>
            </rPr>
            <t xml:space="preserve"> what the designation and reporting line show.</t>
          </r>
        </is>
      </c>
      <c r="C213" s="64" t="n"/>
      <c r="D213" s="64" t="n"/>
      <c r="E213" s="64" t="n"/>
      <c r="F213" s="64" t="n"/>
      <c r="G213" s="64" t="n"/>
      <c r="H213" s="64" t="n"/>
      <c r="I213" s="64" t="n"/>
      <c r="J213" s="64" t="n"/>
      <c r="K213" s="64" t="n"/>
      <c r="L213" s="63" t="n"/>
      <c r="M213" s="9" t="inlineStr">
        <is>
          <t>S05, S07</t>
        </is>
      </c>
      <c r="N213" s="63" t="n"/>
    </row>
    <row r="214" ht="15" customHeight="1">
      <c r="A214" s="14" t="inlineStr">
        <is>
          <t>E2</t>
        </is>
      </c>
      <c r="B214" s="9" t="inlineStr">
        <is>
          <r>
            <rPr>
              <rFont val="Calibri"/>
              <b val="1"/>
              <sz val="10"/>
            </rPr>
            <t>Move toward the survey / KRA evidence:</t>
          </r>
          <r>
            <rPr>
              <rFont val="Calibri"/>
              <sz val="10"/>
            </rPr>
            <t xml:space="preserve"> up to 1 level if the answers are specific, ½ level if brief, none if generic or missing.</t>
          </r>
        </is>
      </c>
      <c r="C214" s="64" t="n"/>
      <c r="D214" s="64" t="n"/>
      <c r="E214" s="64" t="n"/>
      <c r="F214" s="64" t="n"/>
      <c r="G214" s="64" t="n"/>
      <c r="H214" s="64" t="n"/>
      <c r="I214" s="64" t="n"/>
      <c r="J214" s="64" t="n"/>
      <c r="K214" s="64" t="n"/>
      <c r="L214" s="63" t="n"/>
      <c r="M214" s="9" t="inlineStr">
        <is>
          <t>S08, S41</t>
        </is>
      </c>
      <c r="N214" s="63" t="n"/>
    </row>
    <row r="215" ht="28" customHeight="1">
      <c r="A215" s="14" t="inlineStr">
        <is>
          <t>E3</t>
        </is>
      </c>
      <c r="B215" s="9" t="inlineStr">
        <is>
          <r>
            <rPr>
              <rFont val="Calibri"/>
              <b val="1"/>
              <sz val="10"/>
            </rPr>
            <t>Experience &amp; Qualification:</t>
          </r>
          <r>
            <rPr>
              <rFont val="Calibri"/>
              <sz val="10"/>
            </rPr>
            <t xml:space="preserve"> total experience placed on the experience scale, then adjusted for qualification · +1.0 relevant professional; +0.5 relevant postgraduate or professional outside the field; −0.5 below graduate.</t>
          </r>
        </is>
      </c>
      <c r="C215" s="64" t="n"/>
      <c r="D215" s="64" t="n"/>
      <c r="E215" s="64" t="n"/>
      <c r="F215" s="64" t="n"/>
      <c r="G215" s="64" t="n"/>
      <c r="H215" s="64" t="n"/>
      <c r="I215" s="64" t="n"/>
      <c r="J215" s="64" t="n"/>
      <c r="K215" s="64" t="n"/>
      <c r="L215" s="63" t="n"/>
      <c r="M215" s="9" t="inlineStr">
        <is>
          <t>S05 · know-how depth, S01</t>
        </is>
      </c>
      <c r="N215" s="63" t="n"/>
    </row>
    <row r="216" ht="15" customHeight="1"/>
    <row r="217" ht="15" customHeight="1">
      <c r="A217" s="7" t="inlineStr">
        <is>
          <t>Experience · yrs</t>
        </is>
      </c>
      <c r="B217" s="63" t="n"/>
      <c r="C217" s="7" t="inlineStr">
        <is>
          <t>0</t>
        </is>
      </c>
      <c r="D217" s="7" t="inlineStr">
        <is>
          <t>1</t>
        </is>
      </c>
      <c r="E217" s="7" t="inlineStr">
        <is>
          <t>3</t>
        </is>
      </c>
      <c r="F217" s="7" t="inlineStr">
        <is>
          <t>5.5</t>
        </is>
      </c>
      <c r="G217" s="7" t="inlineStr">
        <is>
          <t>7.5</t>
        </is>
      </c>
      <c r="H217" s="7" t="inlineStr">
        <is>
          <t>10</t>
        </is>
      </c>
      <c r="I217" s="7" t="inlineStr">
        <is>
          <t>12</t>
        </is>
      </c>
      <c r="J217" s="7" t="inlineStr">
        <is>
          <t>14.5</t>
        </is>
      </c>
      <c r="K217" s="7" t="inlineStr">
        <is>
          <t>17.5</t>
        </is>
      </c>
      <c r="L217" s="7" t="inlineStr">
        <is>
          <t>21</t>
        </is>
      </c>
      <c r="M217" s="7" t="inlineStr">
        <is>
          <t>24</t>
        </is>
      </c>
      <c r="N217" s="7" t="inlineStr">
        <is>
          <t>28</t>
        </is>
      </c>
    </row>
    <row r="218" ht="15" customHeight="1">
      <c r="A218" s="14" t="inlineStr">
        <is>
          <t>Scale value</t>
        </is>
      </c>
      <c r="B218" s="63" t="n"/>
      <c r="C218" s="8" t="n">
        <v>1</v>
      </c>
      <c r="D218" s="8" t="n">
        <v>2</v>
      </c>
      <c r="E218" s="8" t="n">
        <v>3</v>
      </c>
      <c r="F218" s="8" t="n">
        <v>4</v>
      </c>
      <c r="G218" s="8" t="n">
        <v>5</v>
      </c>
      <c r="H218" s="8" t="n">
        <v>6</v>
      </c>
      <c r="I218" s="8" t="n">
        <v>7</v>
      </c>
      <c r="J218" s="8" t="n">
        <v>8</v>
      </c>
      <c r="K218" s="8" t="n">
        <v>9</v>
      </c>
      <c r="L218" s="8" t="n">
        <v>10</v>
      </c>
      <c r="M218" s="8" t="n">
        <v>11</v>
      </c>
      <c r="N218" s="8" t="n">
        <v>12</v>
      </c>
    </row>
    <row r="219" ht="15" customHeight="1">
      <c r="A219" s="14" t="inlineStr">
        <is>
          <t>Level</t>
        </is>
      </c>
      <c r="B219" s="63" t="n"/>
      <c r="C219" s="8" t="inlineStr">
        <is>
          <t>A1</t>
        </is>
      </c>
      <c r="D219" s="8" t="inlineStr">
        <is>
          <t>A2</t>
        </is>
      </c>
      <c r="E219" s="8" t="inlineStr">
        <is>
          <t>A3</t>
        </is>
      </c>
      <c r="F219" s="8" t="inlineStr">
        <is>
          <t>B1</t>
        </is>
      </c>
      <c r="G219" s="8" t="inlineStr">
        <is>
          <t>B2</t>
        </is>
      </c>
      <c r="H219" s="8" t="inlineStr">
        <is>
          <t>B3</t>
        </is>
      </c>
      <c r="I219" s="8" t="inlineStr">
        <is>
          <t>C1</t>
        </is>
      </c>
      <c r="J219" s="8" t="inlineStr">
        <is>
          <t>C2</t>
        </is>
      </c>
      <c r="K219" s="8" t="inlineStr">
        <is>
          <t>D1</t>
        </is>
      </c>
      <c r="L219" s="8" t="inlineStr">
        <is>
          <t>D2</t>
        </is>
      </c>
      <c r="M219" s="8" t="inlineStr">
        <is>
          <t>E1</t>
        </is>
      </c>
      <c r="N219" s="8" t="inlineStr">
        <is>
          <t>E2</t>
        </is>
      </c>
    </row>
    <row r="220" ht="15" customHeight="1"/>
    <row r="221" ht="15" customHeight="1">
      <c r="A221" s="7" t="inlineStr">
        <is>
          <t>Qualification</t>
        </is>
      </c>
      <c r="B221" s="64" t="n"/>
      <c r="C221" s="64" t="n"/>
      <c r="D221" s="64" t="n"/>
      <c r="E221" s="64" t="n"/>
      <c r="F221" s="64" t="n"/>
      <c r="G221" s="64" t="n"/>
      <c r="H221" s="64" t="n"/>
      <c r="I221" s="63" t="n"/>
      <c r="J221" s="7" t="inlineStr">
        <is>
          <t>Adjustment</t>
        </is>
      </c>
      <c r="K221" s="64" t="n"/>
      <c r="L221" s="64" t="n"/>
      <c r="M221" s="64" t="n"/>
      <c r="N221" s="63" t="n"/>
    </row>
    <row r="222" ht="15" customHeight="1">
      <c r="A222" s="14" t="inlineStr">
        <is>
          <t>Professional · CA, CMA / CWA, CS, LLB, relevant to the work</t>
        </is>
      </c>
      <c r="B222" s="64" t="n"/>
      <c r="C222" s="64" t="n"/>
      <c r="D222" s="64" t="n"/>
      <c r="E222" s="64" t="n"/>
      <c r="F222" s="64" t="n"/>
      <c r="G222" s="64" t="n"/>
      <c r="H222" s="64" t="n"/>
      <c r="I222" s="63" t="n"/>
      <c r="J222" s="9" t="inlineStr">
        <is>
          <t>+1.0</t>
        </is>
      </c>
      <c r="K222" s="64" t="n"/>
      <c r="L222" s="64" t="n"/>
      <c r="M222" s="64" t="n"/>
      <c r="N222" s="63" t="n"/>
    </row>
    <row r="223" ht="15" customHeight="1">
      <c r="A223" s="14" t="inlineStr">
        <is>
          <t>Professional, outside the field</t>
        </is>
      </c>
      <c r="B223" s="64" t="n"/>
      <c r="C223" s="64" t="n"/>
      <c r="D223" s="64" t="n"/>
      <c r="E223" s="64" t="n"/>
      <c r="F223" s="64" t="n"/>
      <c r="G223" s="64" t="n"/>
      <c r="H223" s="64" t="n"/>
      <c r="I223" s="63" t="n"/>
      <c r="J223" s="9" t="inlineStr">
        <is>
          <t>+0.5</t>
        </is>
      </c>
      <c r="K223" s="64" t="n"/>
      <c r="L223" s="64" t="n"/>
      <c r="M223" s="64" t="n"/>
      <c r="N223" s="63" t="n"/>
    </row>
    <row r="224" ht="15" customHeight="1">
      <c r="A224" s="14" t="inlineStr">
        <is>
          <t>Postgraduate · MBA, PGDM, MCA, M.Tech, M.Com, M.Sc …, relevant to the work</t>
        </is>
      </c>
      <c r="B224" s="64" t="n"/>
      <c r="C224" s="64" t="n"/>
      <c r="D224" s="64" t="n"/>
      <c r="E224" s="64" t="n"/>
      <c r="F224" s="64" t="n"/>
      <c r="G224" s="64" t="n"/>
      <c r="H224" s="64" t="n"/>
      <c r="I224" s="63" t="n"/>
      <c r="J224" s="9" t="inlineStr">
        <is>
          <t>+0.5</t>
        </is>
      </c>
      <c r="K224" s="64" t="n"/>
      <c r="L224" s="64" t="n"/>
      <c r="M224" s="64" t="n"/>
      <c r="N224" s="63" t="n"/>
    </row>
    <row r="225" ht="15" customHeight="1">
      <c r="A225" s="14" t="inlineStr">
        <is>
          <t>Postgraduate, outside the field</t>
        </is>
      </c>
      <c r="B225" s="64" t="n"/>
      <c r="C225" s="64" t="n"/>
      <c r="D225" s="64" t="n"/>
      <c r="E225" s="64" t="n"/>
      <c r="F225" s="64" t="n"/>
      <c r="G225" s="64" t="n"/>
      <c r="H225" s="64" t="n"/>
      <c r="I225" s="63" t="n"/>
      <c r="J225" s="9" t="inlineStr">
        <is>
          <t>none</t>
        </is>
      </c>
      <c r="K225" s="64" t="n"/>
      <c r="L225" s="64" t="n"/>
      <c r="M225" s="64" t="n"/>
      <c r="N225" s="63" t="n"/>
    </row>
    <row r="226" ht="15" customHeight="1">
      <c r="A226" s="14" t="inlineStr">
        <is>
          <t>Graduate</t>
        </is>
      </c>
      <c r="B226" s="64" t="n"/>
      <c r="C226" s="64" t="n"/>
      <c r="D226" s="64" t="n"/>
      <c r="E226" s="64" t="n"/>
      <c r="F226" s="64" t="n"/>
      <c r="G226" s="64" t="n"/>
      <c r="H226" s="64" t="n"/>
      <c r="I226" s="63" t="n"/>
      <c r="J226" s="9" t="inlineStr">
        <is>
          <t>none</t>
        </is>
      </c>
      <c r="K226" s="64" t="n"/>
      <c r="L226" s="64" t="n"/>
      <c r="M226" s="64" t="n"/>
      <c r="N226" s="63" t="n"/>
    </row>
    <row r="227" ht="15" customHeight="1">
      <c r="A227" s="14" t="inlineStr">
        <is>
          <t>Below graduate · HSC, diploma, degree not completed</t>
        </is>
      </c>
      <c r="B227" s="64" t="n"/>
      <c r="C227" s="64" t="n"/>
      <c r="D227" s="64" t="n"/>
      <c r="E227" s="64" t="n"/>
      <c r="F227" s="64" t="n"/>
      <c r="G227" s="64" t="n"/>
      <c r="H227" s="64" t="n"/>
      <c r="I227" s="63" t="n"/>
      <c r="J227" s="9" t="inlineStr">
        <is>
          <t>−0.5</t>
        </is>
      </c>
      <c r="K227" s="64" t="n"/>
      <c r="L227" s="64" t="n"/>
      <c r="M227" s="64" t="n"/>
      <c r="N227" s="63" t="n"/>
    </row>
    <row r="228" ht="15" customHeight="1">
      <c r="A228" s="14" t="inlineStr">
        <is>
          <t>Experience not on record or clearly incomplete</t>
        </is>
      </c>
      <c r="B228" s="64" t="n"/>
      <c r="C228" s="64" t="n"/>
      <c r="D228" s="64" t="n"/>
      <c r="E228" s="64" t="n"/>
      <c r="F228" s="64" t="n"/>
      <c r="G228" s="64" t="n"/>
      <c r="H228" s="64" t="n"/>
      <c r="I228" s="63" t="n"/>
      <c r="J228" s="9" t="inlineStr">
        <is>
          <t>Factor set at the role's own level until HR confirms</t>
        </is>
      </c>
      <c r="K228" s="64" t="n"/>
      <c r="L228" s="64" t="n"/>
      <c r="M228" s="64" t="n"/>
      <c r="N228" s="63" t="n"/>
    </row>
    <row r="229" ht="15" customHeight="1">
      <c r="A229" s="14" t="inlineStr">
        <is>
          <t>Between two points</t>
        </is>
      </c>
      <c r="B229" s="64" t="n"/>
      <c r="C229" s="64" t="n"/>
      <c r="D229" s="64" t="n"/>
      <c r="E229" s="64" t="n"/>
      <c r="F229" s="64" t="n"/>
      <c r="G229" s="64" t="n"/>
      <c r="H229" s="64" t="n"/>
      <c r="I229" s="63" t="n"/>
      <c r="J229" s="9" t="inlineStr">
        <is>
          <t>Read off in proportion, to the nearest half point</t>
        </is>
      </c>
      <c r="K229" s="64" t="n"/>
      <c r="L229" s="64" t="n"/>
      <c r="M229" s="64" t="n"/>
      <c r="N229" s="63" t="n"/>
    </row>
    <row r="230" ht="15" customHeight="1"/>
    <row r="231" ht="20" customHeight="1">
      <c r="A231" s="6" t="inlineStr">
        <is>
          <t>M6b. Panel factor anchors and anti-double-counting rules · calibration</t>
        </is>
      </c>
    </row>
    <row r="232" ht="41" customHeight="1">
      <c r="A232" s="12" t="inlineStr">
        <is>
          <r>
            <rPr>
              <rFont val="Calibri"/>
              <b val="1"/>
              <i val="1"/>
              <color rgb="00595959"/>
              <sz val="10"/>
            </rPr>
            <t>For the calibration panel:</t>
          </r>
          <r>
            <rPr>
              <rFont val="Calibri"/>
              <i val="1"/>
              <color rgb="00595959"/>
              <sz val="10"/>
            </rPr>
            <t xml:space="preserve"> each job-demand factor has its own 1–5 scale, so two raters can compare like with like and resolve differences on evidence. The first five inform the IRIS factors; Business Impact is rated on the ladder scale by managers; effort and working conditions are rated by the panel on anchor roles and are not part of the placement score until validated. Source: IRIS Career Architecture V2 · HR research, 7 Oct 2026.</t>
          </r>
        </is>
      </c>
    </row>
    <row r="233" ht="15" customHeight="1">
      <c r="A233" s="7" t="inlineStr">
        <is>
          <t>Factor</t>
        </is>
      </c>
      <c r="B233" s="63" t="n"/>
      <c r="C233" s="7" t="inlineStr">
        <is>
          <t>IRIS factor it informs</t>
        </is>
      </c>
      <c r="D233" s="63" t="n"/>
      <c r="E233" s="7" t="inlineStr">
        <is>
          <t>1</t>
        </is>
      </c>
      <c r="F233" s="63" t="n"/>
      <c r="G233" s="7" t="inlineStr">
        <is>
          <t>2</t>
        </is>
      </c>
      <c r="H233" s="63" t="n"/>
      <c r="I233" s="7" t="inlineStr">
        <is>
          <t>3</t>
        </is>
      </c>
      <c r="J233" s="63" t="n"/>
      <c r="K233" s="7" t="inlineStr">
        <is>
          <t>4</t>
        </is>
      </c>
      <c r="L233" s="63" t="n"/>
      <c r="M233" s="7" t="inlineStr">
        <is>
          <t>5</t>
        </is>
      </c>
      <c r="N233" s="63" t="n"/>
    </row>
    <row r="234" ht="41" customHeight="1">
      <c r="A234" s="14" t="inlineStr">
        <is>
          <t>K · Required knowledge</t>
        </is>
      </c>
      <c r="B234" s="63" t="n"/>
      <c r="C234" s="9" t="inlineStr">
        <is>
          <t>Complexity &amp; Expertise · knowledge</t>
        </is>
      </c>
      <c r="D234" s="63" t="n"/>
      <c r="E234" s="9" t="inlineStr">
        <is>
          <t>Basic procedures learned with guidance</t>
        </is>
      </c>
      <c r="F234" s="63" t="n"/>
      <c r="G234" s="9" t="inlineStr">
        <is>
          <t>Working knowledge of one discipline</t>
        </is>
      </c>
      <c r="H234" s="63" t="n"/>
      <c r="I234" s="9" t="inlineStr">
        <is>
          <t>Deep specialist knowledge or integration of related disciplines</t>
        </is>
      </c>
      <c r="J234" s="63" t="n"/>
      <c r="K234" s="9" t="inlineStr">
        <is>
          <t>Authoritative domain knowledge or broad functional integration</t>
        </is>
      </c>
      <c r="L234" s="63" t="n"/>
      <c r="M234" s="9" t="inlineStr">
        <is>
          <t>Enterprise breadth or exceptional expertise critical to enterprise direction</t>
        </is>
      </c>
      <c r="N234" s="63" t="n"/>
    </row>
    <row r="235" ht="41" customHeight="1">
      <c r="A235" s="14" t="inlineStr">
        <is>
          <t>P · Problem solving</t>
        </is>
      </c>
      <c r="B235" s="63" t="n"/>
      <c r="C235" s="9" t="inlineStr">
        <is>
          <t>Complexity &amp; Expertise · problem solving</t>
        </is>
      </c>
      <c r="D235" s="63" t="n"/>
      <c r="E235" s="9" t="inlineStr">
        <is>
          <t>Clear problems with a taught answer</t>
        </is>
      </c>
      <c r="F235" s="63" t="n"/>
      <c r="G235" s="9" t="inlineStr">
        <is>
          <t>Varied cases using established alternatives</t>
        </is>
      </c>
      <c r="H235" s="63" t="n"/>
      <c r="I235" s="9" t="inlineStr">
        <is>
          <t>Ambiguous problems requiring analysis and adaptation</t>
        </is>
      </c>
      <c r="J235" s="63" t="n"/>
      <c r="K235" s="9" t="inlineStr">
        <is>
          <t>Novel cross-domain problems requiring new methods</t>
        </is>
      </c>
      <c r="L235" s="63" t="n"/>
      <c r="M235" s="9" t="inlineStr">
        <is>
          <t>Unprecedented enterprise trade-offs with long-term uncertainty</t>
        </is>
      </c>
      <c r="N235" s="63" t="n"/>
    </row>
    <row r="236" ht="54" customHeight="1">
      <c r="A236" s="14" t="inlineStr">
        <is>
          <t>A · Decision autonomy</t>
        </is>
      </c>
      <c r="B236" s="63" t="n"/>
      <c r="C236" s="9" t="inlineStr">
        <is>
          <t>Autonomy &amp; Decision</t>
        </is>
      </c>
      <c r="D236" s="63" t="n"/>
      <c r="E236" s="9" t="inlineStr">
        <is>
          <t>Detailed instructions and close checking</t>
        </is>
      </c>
      <c r="F236" s="63" t="n"/>
      <c r="G236" s="9" t="inlineStr">
        <is>
          <t>Independent choices within procedures</t>
        </is>
      </c>
      <c r="H236" s="63" t="n"/>
      <c r="I236" s="9" t="inlineStr">
        <is>
          <t>Own approaches and priorities within delegated objectives</t>
        </is>
      </c>
      <c r="J236" s="63" t="n"/>
      <c r="K236" s="9" t="inlineStr">
        <is>
          <t>Set domain/function policy and major priorities within charter</t>
        </is>
      </c>
      <c r="L236" s="63" t="n"/>
      <c r="M236" s="9" t="inlineStr">
        <is>
          <t>Set enterprise direction or enterprise-critical policy under governance oversight</t>
        </is>
      </c>
      <c r="N236" s="63" t="n"/>
    </row>
    <row r="237" ht="41" customHeight="1">
      <c r="A237" s="14" t="inlineStr">
        <is>
          <t>R · Outcome accountability</t>
        </is>
      </c>
      <c r="B237" s="63" t="n"/>
      <c r="C237" s="9" t="inlineStr">
        <is>
          <t>Accountability &amp; Impact</t>
        </is>
      </c>
      <c r="D237" s="63" t="n"/>
      <c r="E237" s="9" t="inlineStr">
        <is>
          <t>Accuracy of assigned tasks</t>
        </is>
      </c>
      <c r="F237" s="63" t="n"/>
      <c r="G237" s="9" t="inlineStr">
        <is>
          <t>Reliable process, service or individual outputs</t>
        </is>
      </c>
      <c r="H237" s="63" t="n"/>
      <c r="I237" s="9" t="inlineStr">
        <is>
          <t>Domain/team/project outcomes with material downstream effects</t>
        </is>
      </c>
      <c r="J237" s="63" t="n"/>
      <c r="K237" s="9" t="inlineStr">
        <is>
          <t>Function, major portfolio or enterprise-domain outcomes</t>
        </is>
      </c>
      <c r="L237" s="63" t="n"/>
      <c r="M237" s="9" t="inlineStr">
        <is>
          <t>Whole-enterprise or equivalent systemic outcomes with clear accountability</t>
        </is>
      </c>
      <c r="N237" s="63" t="n"/>
    </row>
    <row r="238" ht="54" customHeight="1">
      <c r="A238" s="14" t="inlineStr">
        <is>
          <t>I · Influence and relationships</t>
        </is>
      </c>
      <c r="B238" s="63" t="n"/>
      <c r="C238" s="9" t="inlineStr">
        <is>
          <t>Leadership &amp; Strategy · influence</t>
        </is>
      </c>
      <c r="D238" s="63" t="n"/>
      <c r="E238" s="9" t="inlineStr">
        <is>
          <t>Exchange information clearly</t>
        </is>
      </c>
      <c r="F238" s="63" t="n"/>
      <c r="G238" s="9" t="inlineStr">
        <is>
          <t>Explain and coordinate routine relationships</t>
        </is>
      </c>
      <c r="H238" s="63" t="n"/>
      <c r="I238" s="9" t="inlineStr">
        <is>
          <t>Persuade, coach or resolve conflicting stakeholder needs</t>
        </is>
      </c>
      <c r="J238" s="63" t="n"/>
      <c r="K238" s="9" t="inlineStr">
        <is>
          <t>Align senior/cross-functional parties on material trade-offs</t>
        </is>
      </c>
      <c r="L238" s="63" t="n"/>
      <c r="M238" s="9" t="inlineStr">
        <is>
          <t>Shape enterprise or major external stakeholder decisions amid conflicting interests</t>
        </is>
      </c>
      <c r="N238" s="63" t="n"/>
    </row>
    <row r="239" ht="54" customHeight="1">
      <c r="A239" s="14" t="inlineStr">
        <is>
          <t>E · Sustained effort</t>
        </is>
      </c>
      <c r="B239" s="63" t="n"/>
      <c r="C239" s="9" t="inlineStr">
        <is>
          <t>— · panel only</t>
        </is>
      </c>
      <c r="D239" s="63" t="n"/>
      <c r="E239" s="9" t="inlineStr">
        <is>
          <t>Ordinary intermittent concentration/emotional/physical demands</t>
        </is>
      </c>
      <c r="F239" s="63" t="n"/>
      <c r="G239" s="9" t="inlineStr">
        <is>
          <t>Recurring moderate sustained demands with recovery opportunities</t>
        </is>
      </c>
      <c r="H239" s="63" t="n"/>
      <c r="I239" s="9" t="inlineStr">
        <is>
          <t>Frequent prolonged concentration, emotional labour or exertion</t>
        </is>
      </c>
      <c r="J239" s="63" t="n"/>
      <c r="K239" s="9" t="inlineStr">
        <is>
          <t>Very frequent intense sustained demands integral to the normal job</t>
        </is>
      </c>
      <c r="L239" s="63" t="n"/>
      <c r="M239" s="9" t="inlineStr">
        <is>
          <t>Exceptional sustained demands inherent to the role after reasonable job-design controls</t>
        </is>
      </c>
      <c r="N239" s="63" t="n"/>
    </row>
    <row r="240" ht="41" customHeight="1">
      <c r="A240" s="14" t="inlineStr">
        <is>
          <t>W · Working conditions</t>
        </is>
      </c>
      <c r="B240" s="63" t="n"/>
      <c r="C240" s="9" t="inlineStr">
        <is>
          <t>— · panel only</t>
        </is>
      </c>
      <c r="D240" s="63" t="n"/>
      <c r="E240" s="9" t="inlineStr">
        <is>
          <t>Normal controlled working environment</t>
        </is>
      </c>
      <c r="F240" s="63" t="n"/>
      <c r="G240" s="9" t="inlineStr">
        <is>
          <t>Occasional unavoidable disruption or moderately adverse exposure</t>
        </is>
      </c>
      <c r="H240" s="63" t="n"/>
      <c r="I240" s="9" t="inlineStr">
        <is>
          <t>Recurring disruption or exposure requiring additional controls</t>
        </is>
      </c>
      <c r="J240" s="63" t="n"/>
      <c r="K240" s="9" t="inlineStr">
        <is>
          <t>Frequent substantial exposure or unpredictable disruption under controls</t>
        </is>
      </c>
      <c r="L240" s="63" t="n"/>
      <c r="M240" s="9" t="inlineStr">
        <is>
          <t>Exceptional persistent adverse conditions despite appropriate controls</t>
        </is>
      </c>
      <c r="N240" s="63" t="n"/>
    </row>
    <row r="241" ht="15" customHeight="1"/>
    <row r="242" ht="15" customHeight="1">
      <c r="A242" s="7" t="inlineStr">
        <is>
          <t>Rule</t>
        </is>
      </c>
      <c r="B242" s="64" t="n"/>
      <c r="C242" s="63" t="n"/>
      <c r="D242" s="7" t="inlineStr">
        <is>
          <t>What it means</t>
        </is>
      </c>
      <c r="E242" s="64" t="n"/>
      <c r="F242" s="64" t="n"/>
      <c r="G242" s="64" t="n"/>
      <c r="H242" s="64" t="n"/>
      <c r="I242" s="64" t="n"/>
      <c r="J242" s="64" t="n"/>
      <c r="K242" s="64" t="n"/>
      <c r="L242" s="64" t="n"/>
      <c r="M242" s="64" t="n"/>
      <c r="N242" s="63" t="n"/>
    </row>
    <row r="243" ht="15" customHeight="1">
      <c r="A243" s="14" t="inlineStr">
        <is>
          <t>Knowledge vs problem solving</t>
        </is>
      </c>
      <c r="B243" s="64" t="n"/>
      <c r="C243" s="63" t="n"/>
      <c r="D243" s="9" t="inlineStr">
        <is>
          <t>Knowledge asks what must be known; problem solving asks what novelty must be resolved — do not count the same demand twice</t>
        </is>
      </c>
      <c r="E243" s="64" t="n"/>
      <c r="F243" s="64" t="n"/>
      <c r="G243" s="64" t="n"/>
      <c r="H243" s="64" t="n"/>
      <c r="I243" s="64" t="n"/>
      <c r="J243" s="64" t="n"/>
      <c r="K243" s="64" t="n"/>
      <c r="L243" s="64" t="n"/>
      <c r="M243" s="64" t="n"/>
      <c r="N243" s="63" t="n"/>
    </row>
    <row r="244" ht="15" customHeight="1">
      <c r="A244" s="14" t="inlineStr">
        <is>
          <t>Autonomy vs accountability</t>
        </is>
      </c>
      <c r="B244" s="64" t="n"/>
      <c r="C244" s="63" t="n"/>
      <c r="D244" s="9" t="inlineStr">
        <is>
          <t>Autonomy is what can be decided without approval; accountability is what the role answers for. Access to executives is not authority</t>
        </is>
      </c>
      <c r="E244" s="64" t="n"/>
      <c r="F244" s="64" t="n"/>
      <c r="G244" s="64" t="n"/>
      <c r="H244" s="64" t="n"/>
      <c r="I244" s="64" t="n"/>
      <c r="J244" s="64" t="n"/>
      <c r="K244" s="64" t="n"/>
      <c r="L244" s="64" t="n"/>
      <c r="M244" s="64" t="n"/>
      <c r="N244" s="63" t="n"/>
    </row>
    <row r="245" ht="15" customHeight="1">
      <c r="A245" s="14" t="inlineStr">
        <is>
          <t>Influence</t>
        </is>
      </c>
      <c r="B245" s="64" t="n"/>
      <c r="C245" s="63" t="n"/>
      <c r="D245" s="9" t="inlineStr">
        <is>
          <t>Expert influence and people leadership both count; do not repeat accountability here</t>
        </is>
      </c>
      <c r="E245" s="64" t="n"/>
      <c r="F245" s="64" t="n"/>
      <c r="G245" s="64" t="n"/>
      <c r="H245" s="64" t="n"/>
      <c r="I245" s="64" t="n"/>
      <c r="J245" s="64" t="n"/>
      <c r="K245" s="64" t="n"/>
      <c r="L245" s="64" t="n"/>
      <c r="M245" s="64" t="n"/>
      <c r="N245" s="63" t="n"/>
    </row>
    <row r="246" ht="15" customHeight="1">
      <c r="A246" s="14" t="inlineStr">
        <is>
          <t>Not counted</t>
        </is>
      </c>
      <c r="B246" s="64" t="n"/>
      <c r="C246" s="63" t="n"/>
      <c r="D246" s="9" t="inlineStr">
        <is>
          <t>University prestige, incumbent degree, tenure, revenue proximity or number of reports on their own</t>
        </is>
      </c>
      <c r="E246" s="64" t="n"/>
      <c r="F246" s="64" t="n"/>
      <c r="G246" s="64" t="n"/>
      <c r="H246" s="64" t="n"/>
      <c r="I246" s="64" t="n"/>
      <c r="J246" s="64" t="n"/>
      <c r="K246" s="64" t="n"/>
      <c r="L246" s="64" t="n"/>
      <c r="M246" s="64" t="n"/>
      <c r="N246" s="63" t="n"/>
    </row>
    <row r="247" ht="15" customHeight="1">
      <c r="A247" s="14" t="inlineStr">
        <is>
          <t>Rater disagreement</t>
        </is>
      </c>
      <c r="B247" s="64" t="n"/>
      <c r="C247" s="63" t="n"/>
      <c r="D247" s="9" t="inlineStr">
        <is>
          <t>Two raters score independently; a difference of more than one point is resolved on evidence by the panel, never averaged</t>
        </is>
      </c>
      <c r="E247" s="64" t="n"/>
      <c r="F247" s="64" t="n"/>
      <c r="G247" s="64" t="n"/>
      <c r="H247" s="64" t="n"/>
      <c r="I247" s="64" t="n"/>
      <c r="J247" s="64" t="n"/>
      <c r="K247" s="64" t="n"/>
      <c r="L247" s="64" t="n"/>
      <c r="M247" s="64" t="n"/>
      <c r="N247" s="63" t="n"/>
    </row>
    <row r="248" ht="15" customHeight="1"/>
    <row r="249" ht="20" customHeight="1">
      <c r="A249" s="6" t="inlineStr">
        <is>
          <t>M7. Weight model — every weight set = base · by band × track + tilt · by type of work</t>
        </is>
      </c>
    </row>
    <row r="250" ht="41" customHeight="1">
      <c r="A250" s="12" t="inlineStr">
        <is>
          <t>W1 sets how factors shift with seniority. W2 sets how the type of work shapes the profile. W3: no tilt at Bands D–E or the C+ Player-Coach transition step. W4: Player-Coach transition steps — B+ = midpoint of Band C principal and head; C+ = Bands D–E with 5 points moved from Accountability to Complexity. The matrix below is live: change a base or tilt cell and every weight set updates.</t>
        </is>
      </c>
    </row>
    <row r="251" ht="28" customHeight="1">
      <c r="A251" s="16" t="inlineStr">
        <is>
          <t>W1 · Base weights by band and track — Experience &amp; Qualification set at 10% in Bands A–B and 5% in Bands C–E · inputs/weight_settings.csv; calibrated to published point-factor plans and the Hay profile; each department's own row is on the Weightage Matrix</t>
        </is>
      </c>
    </row>
    <row r="252" ht="28" customHeight="1">
      <c r="A252" s="7" t="inlineStr">
        <is>
          <t>Band / track</t>
        </is>
      </c>
      <c r="B252" s="63" t="n"/>
      <c r="C252" s="7" t="inlineStr">
        <is>
          <t>Key</t>
        </is>
      </c>
      <c r="D252" s="7" t="inlineStr">
        <is>
          <t>Complexity</t>
        </is>
      </c>
      <c r="E252" s="7" t="inlineStr">
        <is>
          <t>Autonomy</t>
        </is>
      </c>
      <c r="F252" s="7" t="inlineStr">
        <is>
          <t>Accountability</t>
        </is>
      </c>
      <c r="G252" s="7" t="inlineStr">
        <is>
          <t>Leadership</t>
        </is>
      </c>
      <c r="H252" s="7" t="inlineStr">
        <is>
          <t>Exp. &amp; Qual.</t>
        </is>
      </c>
      <c r="I252" s="7" t="inlineStr">
        <is>
          <t>Bus. Impact</t>
        </is>
      </c>
      <c r="J252" s="7" t="inlineStr">
        <is>
          <t>Total</t>
        </is>
      </c>
      <c r="K252" s="7" t="inlineStr">
        <is>
          <t>Why · principle</t>
        </is>
      </c>
      <c r="L252" s="64" t="n"/>
      <c r="M252" s="64" t="n"/>
      <c r="N252" s="63" t="n"/>
    </row>
    <row r="253" ht="80" customHeight="1">
      <c r="A253" s="14" t="inlineStr">
        <is>
          <t>Band A</t>
        </is>
      </c>
      <c r="B253" s="63" t="n"/>
      <c r="C253" s="8" t="inlineStr">
        <is>
          <t>A</t>
        </is>
      </c>
      <c r="D253" s="75" t="n">
        <v>59</v>
      </c>
      <c r="E253" s="75" t="n">
        <v>16</v>
      </c>
      <c r="F253" s="75" t="n">
        <v>9</v>
      </c>
      <c r="G253" s="75" t="n">
        <v>0</v>
      </c>
      <c r="H253" s="75" t="n">
        <v>10</v>
      </c>
      <c r="I253" s="75" t="n">
        <v>6</v>
      </c>
      <c r="J253" s="8">
        <f>SUM(D253:I253)</f>
        <v>100</v>
      </c>
      <c r="K253" s="9" t="inlineStr">
        <is>
          <r>
            <rPr>
              <rFont val="Calibri"/>
              <b val="1"/>
              <sz val="10"/>
            </rPr>
            <t>Junior work is judged on the work itself:</t>
          </r>
          <r>
            <rPr>
              <rFont val="Calibri"/>
              <sz val="10"/>
            </rPr>
            <t xml:space="preserve"> Hay puts know-how at 73% for clerical jobs and Mercer IPE knowledge plus innovation at 61%; leadership is not expected. Sources: S46–S51 Korn Ferry Hay evaluations · S04, S52 Mercer IPE · S53–S57 NHS, UK NJC/PSC, GLPC, SJC and US OPM point-factor plans.</t>
          </r>
        </is>
      </c>
      <c r="L253" s="64" t="n"/>
      <c r="M253" s="64" t="n"/>
      <c r="N253" s="63" t="n"/>
    </row>
    <row r="254" ht="80" customHeight="1">
      <c r="A254" s="14" t="inlineStr">
        <is>
          <t>Band B · IC / POD Lead</t>
        </is>
      </c>
      <c r="B254" s="63" t="n"/>
      <c r="C254" s="8" t="inlineStr">
        <is>
          <t>B-IC</t>
        </is>
      </c>
      <c r="D254" s="75" t="n">
        <v>51</v>
      </c>
      <c r="E254" s="75" t="n">
        <v>17</v>
      </c>
      <c r="F254" s="75" t="n">
        <v>10</v>
      </c>
      <c r="G254" s="75" t="n">
        <v>5</v>
      </c>
      <c r="H254" s="75" t="n">
        <v>10</v>
      </c>
      <c r="I254" s="75" t="n">
        <v>7</v>
      </c>
      <c r="J254" s="8">
        <f>SUM(D254:I254)</f>
        <v>100</v>
      </c>
      <c r="K254" s="9" t="inlineStr">
        <is>
          <r>
            <rPr>
              <rFont val="Calibri"/>
              <b val="1"/>
              <sz val="10"/>
            </rPr>
            <t>Professional and expert work:</t>
          </r>
          <r>
            <rPr>
              <rFont val="Calibri"/>
              <sz val="10"/>
            </rPr>
            <t xml:space="preserve"> the knowledge and problem solving the job needs lead, as in Hay's professional profile and Mercer IPE. Sources: S46–S51 Korn Ferry Hay evaluations · S04, S52 Mercer IPE · S53–S57 NHS, UK NJC/PSC, GLPC, SJC and US OPM point-factor plans.</t>
          </r>
        </is>
      </c>
      <c r="L254" s="64" t="n"/>
      <c r="M254" s="64" t="n"/>
      <c r="N254" s="63" t="n"/>
    </row>
    <row r="255" ht="80" customHeight="1">
      <c r="A255" s="14" t="inlineStr">
        <is>
          <t>Band B · People Manager</t>
        </is>
      </c>
      <c r="B255" s="63" t="n"/>
      <c r="C255" s="8" t="inlineStr">
        <is>
          <t>B-M</t>
        </is>
      </c>
      <c r="D255" s="75" t="n">
        <v>37</v>
      </c>
      <c r="E255" s="75" t="n">
        <v>18</v>
      </c>
      <c r="F255" s="75" t="n">
        <v>11</v>
      </c>
      <c r="G255" s="75" t="n">
        <v>15</v>
      </c>
      <c r="H255" s="75" t="n">
        <v>10</v>
      </c>
      <c r="I255" s="75" t="n">
        <v>9</v>
      </c>
      <c r="J255" s="8">
        <f>SUM(D255:I255)</f>
        <v>100</v>
      </c>
      <c r="K255" s="9" t="inlineStr">
        <is>
          <r>
            <rPr>
              <rFont val="Calibri"/>
              <b val="1"/>
              <sz val="10"/>
            </rPr>
            <t>Results come through a team:</t>
          </r>
          <r>
            <rPr>
              <rFont val="Calibri"/>
              <sz val="10"/>
            </rPr>
            <t xml:space="preserve"> leadership 15%, autonomy and accountability rise, as in Hay's supervisory profile, accountability 32%. Sources: S46–S51 Korn Ferry Hay evaluations · S04, S52 Mercer IPE · S53–S57 NHS, UK NJC/PSC, GLPC, SJC and US OPM point-factor plans.</t>
          </r>
        </is>
      </c>
      <c r="L255" s="64" t="n"/>
      <c r="M255" s="64" t="n"/>
      <c r="N255" s="63" t="n"/>
    </row>
    <row r="256" ht="67" customHeight="1">
      <c r="A256" s="14" t="inlineStr">
        <is>
          <t>Band C · Principal specialist</t>
        </is>
      </c>
      <c r="B256" s="63" t="n"/>
      <c r="C256" s="8" t="inlineStr">
        <is>
          <t>C-IC</t>
        </is>
      </c>
      <c r="D256" s="75" t="n">
        <v>54</v>
      </c>
      <c r="E256" s="75" t="n">
        <v>18</v>
      </c>
      <c r="F256" s="75" t="n">
        <v>10</v>
      </c>
      <c r="G256" s="75" t="n">
        <v>5</v>
      </c>
      <c r="H256" s="75" t="n">
        <v>5</v>
      </c>
      <c r="I256" s="75" t="n">
        <v>8</v>
      </c>
      <c r="J256" s="8">
        <f>SUM(D256:I256)</f>
        <v>100</v>
      </c>
      <c r="K256" s="9" t="inlineStr">
        <is>
          <r>
            <rPr>
              <rFont val="Calibri"/>
              <b val="1"/>
              <sz val="10"/>
            </rPr>
            <t>Principal authority:</t>
          </r>
          <r>
            <rPr>
              <rFont val="Calibri"/>
              <sz val="10"/>
            </rPr>
            <t xml:space="preserve"> expertise still leads, as in Hay's 'level' profile 50 / 25 / 25; experience 5%. Sources: S46–S51 Korn Ferry Hay evaluations · S04, S52 Mercer IPE · S53–S57 NHS, UK NJC/PSC, GLPC, SJC and US OPM point-factor plans.</t>
          </r>
        </is>
      </c>
      <c r="L256" s="64" t="n"/>
      <c r="M256" s="64" t="n"/>
      <c r="N256" s="63" t="n"/>
    </row>
    <row r="257" ht="80" customHeight="1">
      <c r="A257" s="14" t="inlineStr">
        <is>
          <t>Band C · Head / manager</t>
        </is>
      </c>
      <c r="B257" s="63" t="n"/>
      <c r="C257" s="8" t="inlineStr">
        <is>
          <t>C-M</t>
        </is>
      </c>
      <c r="D257" s="75" t="n">
        <v>43</v>
      </c>
      <c r="E257" s="75" t="n">
        <v>18</v>
      </c>
      <c r="F257" s="75" t="n">
        <v>11</v>
      </c>
      <c r="G257" s="75" t="n">
        <v>15</v>
      </c>
      <c r="H257" s="75" t="n">
        <v>5</v>
      </c>
      <c r="I257" s="75" t="n">
        <v>8</v>
      </c>
      <c r="J257" s="8">
        <f>SUM(D257:I257)</f>
        <v>100</v>
      </c>
      <c r="K257" s="9" t="inlineStr">
        <is>
          <t>Heads answer for a function through managers, as in Hay's manager and EX-1 evaluations: leadership 15%, accountability and impact rise. Sources: S46–S51 Korn Ferry Hay evaluations · S04, S52 Mercer IPE · S53–S57 NHS, UK NJC/PSC, GLPC, SJC and US OPM point-factor plans.</t>
        </is>
      </c>
      <c r="L257" s="64" t="n"/>
      <c r="M257" s="64" t="n"/>
      <c r="N257" s="63" t="n"/>
    </row>
    <row r="258" ht="80" customHeight="1">
      <c r="A258" s="14" t="inlineStr">
        <is>
          <t>Bands D–E</t>
        </is>
      </c>
      <c r="B258" s="63" t="n"/>
      <c r="C258" s="8" t="inlineStr">
        <is>
          <t>DE</t>
        </is>
      </c>
      <c r="D258" s="75" t="n">
        <v>37</v>
      </c>
      <c r="E258" s="75" t="n">
        <v>19</v>
      </c>
      <c r="F258" s="75" t="n">
        <v>11</v>
      </c>
      <c r="G258" s="75" t="n">
        <v>20</v>
      </c>
      <c r="H258" s="75" t="n">
        <v>5</v>
      </c>
      <c r="I258" s="75" t="n">
        <v>8</v>
      </c>
      <c r="J258" s="8">
        <f>SUM(D258:I258)</f>
        <v>100</v>
      </c>
      <c r="K258" s="9" t="inlineStr">
        <is>
          <t>Business and enterprise leaders, as in Hay's EX-2 and EX-3 evaluations: leadership 20%, autonomy, accountability and impact 38%. Sources: S46–S51 Korn Ferry Hay evaluations · S04, S52 Mercer IPE · S53–S57 NHS, UK NJC/PSC, GLPC, SJC and US OPM point-factor plans.</t>
        </is>
      </c>
      <c r="L258" s="64" t="n"/>
      <c r="M258" s="64" t="n"/>
      <c r="N258" s="63" t="n"/>
    </row>
    <row r="259" ht="54" customHeight="1">
      <c r="A259" s="14" t="inlineStr">
        <is>
          <t>Player-Coach B+ · between B and C</t>
        </is>
      </c>
      <c r="B259" s="63" t="n"/>
      <c r="C259" s="8" t="inlineStr">
        <is>
          <t>PC-B+</t>
        </is>
      </c>
      <c r="D259" s="75" t="n">
        <v>44</v>
      </c>
      <c r="E259" s="75" t="n">
        <v>18</v>
      </c>
      <c r="F259" s="75" t="n">
        <v>10</v>
      </c>
      <c r="G259" s="75" t="n">
        <v>10</v>
      </c>
      <c r="H259" s="75" t="n">
        <v>10</v>
      </c>
      <c r="I259" s="75" t="n">
        <v>8</v>
      </c>
      <c r="J259" s="8">
        <f>SUM(D259:I259)</f>
        <v>100</v>
      </c>
      <c r="K259" s="9" t="inlineStr">
        <is>
          <r>
            <rPr>
              <rFont val="Calibri"/>
              <b val="1"/>
              <sz val="10"/>
            </rPr>
            <t>Half expert, half leader:</t>
          </r>
          <r>
            <rPr>
              <rFont val="Calibri"/>
              <sz val="10"/>
            </rPr>
            <t xml:space="preserve"> between the Band B expert and manager rows. Sources: S46–S51 Korn Ferry Hay evaluations · S04, S52 Mercer IPE · S53–S57 NHS, UK NJC/PSC, GLPC, SJC and US OPM point-factor plans.</t>
          </r>
        </is>
      </c>
      <c r="L259" s="64" t="n"/>
      <c r="M259" s="64" t="n"/>
      <c r="N259" s="63" t="n"/>
    </row>
    <row r="260" ht="67" customHeight="1">
      <c r="A260" s="14" t="inlineStr">
        <is>
          <t>Player-Coach C+ · between C and D</t>
        </is>
      </c>
      <c r="B260" s="63" t="n"/>
      <c r="C260" s="8" t="inlineStr">
        <is>
          <t>PC-C+</t>
        </is>
      </c>
      <c r="D260" s="75" t="n">
        <v>38</v>
      </c>
      <c r="E260" s="75" t="n">
        <v>18</v>
      </c>
      <c r="F260" s="75" t="n">
        <v>11</v>
      </c>
      <c r="G260" s="75" t="n">
        <v>20</v>
      </c>
      <c r="H260" s="75" t="n">
        <v>5</v>
      </c>
      <c r="I260" s="75" t="n">
        <v>8</v>
      </c>
      <c r="J260" s="8">
        <f>SUM(D260:I260)</f>
        <v>100</v>
      </c>
      <c r="K260" s="9" t="inlineStr">
        <is>
          <r>
            <rPr>
              <rFont val="Calibri"/>
              <b val="1"/>
              <sz val="10"/>
            </rPr>
            <t>Leads a function and still delivers personally:</t>
          </r>
          <r>
            <rPr>
              <rFont val="Calibri"/>
              <sz val="10"/>
            </rPr>
            <t xml:space="preserve"> between the Band C head and Bands D–E rows. Sources: S46–S51 Korn Ferry Hay evaluations · S04, S52 Mercer IPE · S53–S57 NHS, UK NJC/PSC, GLPC, SJC and US OPM point-factor plans.</t>
          </r>
        </is>
      </c>
      <c r="L260" s="64" t="n"/>
      <c r="M260" s="64" t="n"/>
      <c r="N260" s="63" t="n"/>
    </row>
    <row r="261" ht="15" customHeight="1"/>
    <row r="262" ht="15" customHeight="1">
      <c r="A262" s="16" t="inlineStr">
        <is>
          <t>W2 · Tilt · percentage points by type of work — each tilt sums to zero</t>
        </is>
      </c>
    </row>
    <row r="263" ht="28" customHeight="1">
      <c r="A263" s="7" t="inlineStr">
        <is>
          <t>Type of work</t>
        </is>
      </c>
      <c r="B263" s="63" t="n"/>
      <c r="C263" s="7" t="inlineStr">
        <is>
          <t>Code</t>
        </is>
      </c>
      <c r="D263" s="7" t="inlineStr">
        <is>
          <t>Hay profile</t>
        </is>
      </c>
      <c r="E263" s="7" t="inlineStr">
        <is>
          <t>Complexity</t>
        </is>
      </c>
      <c r="F263" s="7" t="inlineStr">
        <is>
          <t>Autonomy</t>
        </is>
      </c>
      <c r="G263" s="7" t="inlineStr">
        <is>
          <t>Accountability</t>
        </is>
      </c>
      <c r="H263" s="7" t="inlineStr">
        <is>
          <t>Leadership</t>
        </is>
      </c>
      <c r="I263" s="7" t="inlineStr">
        <is>
          <t>Exp. &amp; Qual.</t>
        </is>
      </c>
      <c r="J263" s="7" t="inlineStr">
        <is>
          <t>Bus. Impact</t>
        </is>
      </c>
      <c r="K263" s="7" t="inlineStr">
        <is>
          <t>Sum</t>
        </is>
      </c>
      <c r="L263" s="7" t="inlineStr">
        <is>
          <t>Why</t>
        </is>
      </c>
      <c r="M263" s="64" t="n"/>
      <c r="N263" s="63" t="n"/>
    </row>
    <row r="264" ht="54" customHeight="1">
      <c r="A264" s="14" t="inlineStr">
        <is>
          <t>Technology &amp; engineering</t>
        </is>
      </c>
      <c r="B264" s="63" t="n"/>
      <c r="C264" s="8" t="inlineStr">
        <is>
          <t>TE</t>
        </is>
      </c>
      <c r="D264" s="8" t="inlineStr">
        <is>
          <t>P</t>
        </is>
      </c>
      <c r="E264" s="75" t="n">
        <v>5</v>
      </c>
      <c r="F264" s="75" t="n">
        <v>0</v>
      </c>
      <c r="G264" s="75" t="n">
        <v>-5</v>
      </c>
      <c r="H264" s="75" t="n">
        <v>0</v>
      </c>
      <c r="I264" s="75" t="n">
        <v>0</v>
      </c>
      <c r="J264" s="75" t="n">
        <v>0</v>
      </c>
      <c r="K264" s="8">
        <f>SUM(E264:J264)</f>
        <v>0</v>
      </c>
      <c r="L264" s="9" t="inlineStr">
        <is>
          <r>
            <rPr>
              <rFont val="Calibri"/>
              <b val="1"/>
              <sz val="10"/>
            </rPr>
            <t>Thinking-led:</t>
          </r>
          <r>
            <rPr>
              <rFont val="Calibri"/>
              <sz val="10"/>
            </rPr>
            <t xml:space="preserve"> value comes from technical depth → +5 Complexity, −5 Accountability. Basis: S06 Hay short profile; the ±5 size is an IRIS rule.</t>
          </r>
        </is>
      </c>
      <c r="M264" s="64" t="n"/>
      <c r="N264" s="63" t="n"/>
    </row>
    <row r="265" ht="54" customHeight="1">
      <c r="A265" s="14" t="inlineStr">
        <is>
          <t>Product &amp; programme</t>
        </is>
      </c>
      <c r="B265" s="63" t="n"/>
      <c r="C265" s="8" t="inlineStr">
        <is>
          <t>PP</t>
        </is>
      </c>
      <c r="D265" s="8" t="inlineStr">
        <is>
          <t>L · + freedom to act</t>
        </is>
      </c>
      <c r="E265" s="75" t="n">
        <v>-5</v>
      </c>
      <c r="F265" s="75" t="n">
        <v>5</v>
      </c>
      <c r="G265" s="75" t="n">
        <v>0</v>
      </c>
      <c r="H265" s="75" t="n">
        <v>0</v>
      </c>
      <c r="I265" s="75" t="n">
        <v>0</v>
      </c>
      <c r="J265" s="75" t="n">
        <v>0</v>
      </c>
      <c r="K265" s="8">
        <f>SUM(E265:J265)</f>
        <v>0</v>
      </c>
      <c r="L265" s="9" t="inlineStr">
        <is>
          <r>
            <rPr>
              <rFont val="Calibri"/>
              <b val="1"/>
              <sz val="10"/>
            </rPr>
            <t>Wide freedom to act:</t>
          </r>
          <r>
            <rPr>
              <rFont val="Calibri"/>
              <sz val="10"/>
            </rPr>
            <t xml:space="preserve"> product roles decide trade-offs → +5 Autonomy, −5 Complexity. Basis: S06 Hay short profile; the ±5 size is an IRIS rule.</t>
          </r>
        </is>
      </c>
      <c r="M265" s="64" t="n"/>
      <c r="N265" s="63" t="n"/>
    </row>
    <row r="266" ht="54" customHeight="1">
      <c r="A266" s="14" t="inlineStr">
        <is>
          <t>Regulatory &amp; domain consulting</t>
        </is>
      </c>
      <c r="B266" s="63" t="n"/>
      <c r="C266" s="8" t="inlineStr">
        <is>
          <t>RC</t>
        </is>
      </c>
      <c r="D266" s="8" t="inlineStr">
        <is>
          <t>L</t>
        </is>
      </c>
      <c r="E266" s="75" t="n">
        <v>0</v>
      </c>
      <c r="F266" s="75" t="n">
        <v>0</v>
      </c>
      <c r="G266" s="75" t="n">
        <v>0</v>
      </c>
      <c r="H266" s="75" t="n">
        <v>0</v>
      </c>
      <c r="I266" s="75" t="n">
        <v>0</v>
      </c>
      <c r="J266" s="75" t="n">
        <v>0</v>
      </c>
      <c r="K266" s="8">
        <f>SUM(E266:J266)</f>
        <v>0</v>
      </c>
      <c r="L266" s="9" t="inlineStr">
        <is>
          <t>Expertise and accountability balanced → base weights unchanged. Basis: S06 Hay short profile; the ±5 size is an IRIS rule.</t>
        </is>
      </c>
      <c r="M266" s="64" t="n"/>
      <c r="N266" s="63" t="n"/>
    </row>
    <row r="267" ht="67" customHeight="1">
      <c r="A267" s="14" t="inlineStr">
        <is>
          <t>Service delivery &amp; data operations</t>
        </is>
      </c>
      <c r="B267" s="63" t="n"/>
      <c r="C267" s="8" t="inlineStr">
        <is>
          <t>SD</t>
        </is>
      </c>
      <c r="D267" s="8" t="inlineStr">
        <is>
          <t>A</t>
        </is>
      </c>
      <c r="E267" s="75" t="n">
        <v>-5</v>
      </c>
      <c r="F267" s="75" t="n">
        <v>0</v>
      </c>
      <c r="G267" s="75" t="n">
        <v>5</v>
      </c>
      <c r="H267" s="75" t="n">
        <v>0</v>
      </c>
      <c r="I267" s="75" t="n">
        <v>0</v>
      </c>
      <c r="J267" s="75" t="n">
        <v>0</v>
      </c>
      <c r="K267" s="8">
        <f>SUM(E267:J267)</f>
        <v>0</v>
      </c>
      <c r="L267" s="9" t="inlineStr">
        <is>
          <r>
            <rPr>
              <rFont val="Calibri"/>
              <b val="1"/>
              <sz val="10"/>
            </rPr>
            <t>Results-led:</t>
          </r>
          <r>
            <rPr>
              <rFont val="Calibri"/>
              <sz val="10"/>
            </rPr>
            <t xml:space="preserve"> standardised delivery judged on accuracy and turnaround → +5 Accountability, −5 Complexity. Basis: S06 Hay short profile; the ±5 size is an IRIS rule.</t>
          </r>
        </is>
      </c>
      <c r="M267" s="64" t="n"/>
      <c r="N267" s="63" t="n"/>
    </row>
    <row r="268" ht="54" customHeight="1">
      <c r="A268" s="14" t="inlineStr">
        <is>
          <t>Customer support &amp; success</t>
        </is>
      </c>
      <c r="B268" s="63" t="n"/>
      <c r="C268" s="8" t="inlineStr">
        <is>
          <t>CS</t>
        </is>
      </c>
      <c r="D268" s="8" t="inlineStr">
        <is>
          <t>A</t>
        </is>
      </c>
      <c r="E268" s="75" t="n">
        <v>-5</v>
      </c>
      <c r="F268" s="75" t="n">
        <v>0</v>
      </c>
      <c r="G268" s="75" t="n">
        <v>0</v>
      </c>
      <c r="H268" s="75" t="n">
        <v>0</v>
      </c>
      <c r="I268" s="75" t="n">
        <v>0</v>
      </c>
      <c r="J268" s="75" t="n">
        <v>5</v>
      </c>
      <c r="K268" s="8">
        <f>SUM(E268:J268)</f>
        <v>0</v>
      </c>
      <c r="L268" s="9" t="inlineStr">
        <is>
          <t>Judged on client outcomes → +5 Business Impact, −5 Complexity. Basis: S06 Hay short profile; the ±5 size is an IRIS rule.</t>
        </is>
      </c>
      <c r="M268" s="64" t="n"/>
      <c r="N268" s="63" t="n"/>
    </row>
    <row r="269" ht="67" customHeight="1">
      <c r="A269" s="14" t="inlineStr">
        <is>
          <t>Sales &amp; marketing</t>
        </is>
      </c>
      <c r="B269" s="63" t="n"/>
      <c r="C269" s="8" t="inlineStr">
        <is>
          <t>SM</t>
        </is>
      </c>
      <c r="D269" s="8" t="inlineStr">
        <is>
          <t>A · + freedom to act</t>
        </is>
      </c>
      <c r="E269" s="75" t="n">
        <v>-5</v>
      </c>
      <c r="F269" s="75" t="n">
        <v>5</v>
      </c>
      <c r="G269" s="75" t="n">
        <v>-5</v>
      </c>
      <c r="H269" s="75" t="n">
        <v>0</v>
      </c>
      <c r="I269" s="75" t="n">
        <v>0</v>
      </c>
      <c r="J269" s="75" t="n">
        <v>5</v>
      </c>
      <c r="K269" s="8">
        <f>SUM(E269:J269)</f>
        <v>0</v>
      </c>
      <c r="L269" s="9" t="inlineStr">
        <is>
          <t>Judged on pipeline and revenue → +5 Business Impact, +5 Autonomy, −5 Complexity, −5 Accountability. Basis: S06 Hay short profile; the ±5 size is an IRIS rule.</t>
        </is>
      </c>
      <c r="M269" s="64" t="n"/>
      <c r="N269" s="63" t="n"/>
    </row>
    <row r="270" ht="67" customHeight="1">
      <c r="A270" s="14" t="inlineStr">
        <is>
          <t>Corporate functions</t>
        </is>
      </c>
      <c r="B270" s="63" t="n"/>
      <c r="C270" s="8" t="inlineStr">
        <is>
          <t>CF</t>
        </is>
      </c>
      <c r="D270" s="8" t="inlineStr">
        <is>
          <t>L · licence to practise</t>
        </is>
      </c>
      <c r="E270" s="75" t="n">
        <v>-5</v>
      </c>
      <c r="F270" s="75" t="n">
        <v>0</v>
      </c>
      <c r="G270" s="75" t="n">
        <v>0</v>
      </c>
      <c r="H270" s="75" t="n">
        <v>0</v>
      </c>
      <c r="I270" s="75" t="n">
        <v>5</v>
      </c>
      <c r="J270" s="75" t="n">
        <v>0</v>
      </c>
      <c r="K270" s="8">
        <f>SUM(E270:J270)</f>
        <v>0</v>
      </c>
      <c r="L270" s="9" t="inlineStr">
        <is>
          <r>
            <rPr>
              <rFont val="Calibri"/>
              <b val="1"/>
              <sz val="10"/>
            </rPr>
            <t>Licence-to-practise work such as CA, CS or LLB:</t>
          </r>
          <r>
            <rPr>
              <rFont val="Calibri"/>
              <sz val="10"/>
            </rPr>
            <t xml:space="preserve"> qualification differentiates → +5 Experience &amp; Qualification, −5 Complexity. Basis: S06 Hay short profile; the ±5 size is an IRIS rule.</t>
          </r>
        </is>
      </c>
      <c r="M270" s="64" t="n"/>
      <c r="N270" s="63" t="n"/>
    </row>
    <row r="271" ht="41" customHeight="1">
      <c r="A271" s="14" t="inlineStr">
        <is>
          <t>General management</t>
        </is>
      </c>
      <c r="B271" s="63" t="n"/>
      <c r="C271" s="8" t="inlineStr">
        <is>
          <t>GM</t>
        </is>
      </c>
      <c r="D271" s="8" t="inlineStr">
        <is>
          <t>A · base weights</t>
        </is>
      </c>
      <c r="E271" s="75" t="n">
        <v>0</v>
      </c>
      <c r="F271" s="75" t="n">
        <v>0</v>
      </c>
      <c r="G271" s="75" t="n">
        <v>0</v>
      </c>
      <c r="H271" s="75" t="n">
        <v>0</v>
      </c>
      <c r="I271" s="75" t="n">
        <v>0</v>
      </c>
      <c r="J271" s="75" t="n">
        <v>0</v>
      </c>
      <c r="K271" s="8">
        <f>SUM(E271:J271)</f>
        <v>0</v>
      </c>
      <c r="L271" s="9" t="inlineStr">
        <is>
          <t>General management is assessed on the base weights. Basis: S06 Hay short profile; the ±5 size is an IRIS rule.</t>
        </is>
      </c>
      <c r="M271" s="64" t="n"/>
      <c r="N271" s="63" t="n"/>
    </row>
    <row r="272" ht="15" customHeight="1"/>
    <row r="273" ht="28" customHeight="1">
      <c r="A273" s="16" t="inlineStr">
        <is>
          <t>W3 · Derived weight sets — formula = base + tilt · no tilt for Bands D–E. Set ID = type code + band key. Each department uses the set of its main type of work, and leaders can change their department's row on the Weightage Matrix.</t>
        </is>
      </c>
    </row>
    <row r="274" ht="41" customHeight="1">
      <c r="A274" s="76" t="inlineStr">
        <is>
          <t>Type of work</t>
        </is>
      </c>
      <c r="B274" s="63" t="n"/>
      <c r="C274" s="76" t="inlineStr">
        <is>
          <t>Band / track</t>
        </is>
      </c>
      <c r="D274" s="63" t="n"/>
      <c r="E274" s="76" t="inlineStr">
        <is>
          <t>Set ID</t>
        </is>
      </c>
      <c r="F274" s="76" t="inlineStr">
        <is>
          <t>Complexity</t>
        </is>
      </c>
      <c r="G274" s="76" t="inlineStr">
        <is>
          <t>Autonomy</t>
        </is>
      </c>
      <c r="H274" s="76" t="inlineStr">
        <is>
          <t>Accountability</t>
        </is>
      </c>
      <c r="I274" s="76" t="inlineStr">
        <is>
          <t>Leadership</t>
        </is>
      </c>
      <c r="J274" s="76" t="inlineStr">
        <is>
          <t>Exp. &amp; Qual.</t>
        </is>
      </c>
      <c r="K274" s="76" t="inlineStr">
        <is>
          <t>Bus. Impact</t>
        </is>
      </c>
      <c r="L274" s="76" t="inlineStr">
        <is>
          <t>Total</t>
        </is>
      </c>
      <c r="M274" s="76" t="inlineStr">
        <is>
          <t>People using it</t>
        </is>
      </c>
      <c r="N274" s="76" t="inlineStr">
        <is>
          <t>v1 set · five factors, retired</t>
        </is>
      </c>
    </row>
    <row r="275" ht="28" customHeight="1">
      <c r="A275" s="9" t="inlineStr">
        <is>
          <t>Technology &amp; engineering</t>
        </is>
      </c>
      <c r="B275" s="63" t="n"/>
      <c r="C275" s="9" t="inlineStr">
        <is>
          <t>Band A</t>
        </is>
      </c>
      <c r="D275" s="63" t="n"/>
      <c r="E275" s="17" t="inlineStr">
        <is>
          <t>TE-A</t>
        </is>
      </c>
      <c r="F275" s="8">
        <f>D253+E264</f>
        <v>64</v>
      </c>
      <c r="G275" s="8">
        <f>E253+F264</f>
        <v>16</v>
      </c>
      <c r="H275" s="8">
        <f>F253+G264</f>
        <v>4</v>
      </c>
      <c r="I275" s="8">
        <f>G253+H264</f>
        <v>0</v>
      </c>
      <c r="J275" s="8">
        <f>H253+I264</f>
        <v>10</v>
      </c>
      <c r="K275" s="8">
        <f>I253+J264</f>
        <v>6</v>
      </c>
      <c r="L275" s="8">
        <f>SUM(F275:K275)</f>
        <v>100</v>
      </c>
      <c r="M275" s="8" t="n">
        <v>172</v>
      </c>
      <c r="N275" s="8" t="inlineStr">
        <is>
          <t>40 / 15 / 20 / 0 / 25</t>
        </is>
      </c>
    </row>
    <row r="276" ht="28" customHeight="1">
      <c r="A276" s="9" t="inlineStr">
        <is>
          <t>Technology &amp; engineering</t>
        </is>
      </c>
      <c r="B276" s="63" t="n"/>
      <c r="C276" s="9" t="inlineStr">
        <is>
          <t>Band B · IC / POD Lead</t>
        </is>
      </c>
      <c r="D276" s="63" t="n"/>
      <c r="E276" s="17" t="inlineStr">
        <is>
          <t>TE-B-IC</t>
        </is>
      </c>
      <c r="F276" s="8">
        <f>D254+E264</f>
        <v>56</v>
      </c>
      <c r="G276" s="8">
        <f>E254+F264</f>
        <v>17</v>
      </c>
      <c r="H276" s="8">
        <f>F254+G264</f>
        <v>5</v>
      </c>
      <c r="I276" s="8">
        <f>G254+H264</f>
        <v>5</v>
      </c>
      <c r="J276" s="8">
        <f>H254+I264</f>
        <v>10</v>
      </c>
      <c r="K276" s="8">
        <f>I254+J264</f>
        <v>7</v>
      </c>
      <c r="L276" s="8">
        <f>SUM(F276:K276)</f>
        <v>100</v>
      </c>
      <c r="M276" s="8" t="n">
        <v>57</v>
      </c>
      <c r="N276" s="8" t="inlineStr">
        <is>
          <t>35 / 15 / 20 / 10 / 20</t>
        </is>
      </c>
    </row>
    <row r="277" ht="28" customHeight="1">
      <c r="A277" s="9" t="inlineStr">
        <is>
          <t>Technology &amp; engineering</t>
        </is>
      </c>
      <c r="B277" s="63" t="n"/>
      <c r="C277" s="9" t="inlineStr">
        <is>
          <t>Band B · People Manager</t>
        </is>
      </c>
      <c r="D277" s="63" t="n"/>
      <c r="E277" s="17" t="inlineStr">
        <is>
          <t>TE-B-M</t>
        </is>
      </c>
      <c r="F277" s="8">
        <f>D255+E264</f>
        <v>42</v>
      </c>
      <c r="G277" s="8">
        <f>E255+F264</f>
        <v>18</v>
      </c>
      <c r="H277" s="8">
        <f>F255+G264</f>
        <v>6</v>
      </c>
      <c r="I277" s="8">
        <f>G255+H264</f>
        <v>15</v>
      </c>
      <c r="J277" s="8">
        <f>H255+I264</f>
        <v>10</v>
      </c>
      <c r="K277" s="8">
        <f>I255+J264</f>
        <v>9</v>
      </c>
      <c r="L277" s="8">
        <f>SUM(F277:K277)</f>
        <v>100</v>
      </c>
      <c r="M277" s="8" t="n">
        <v>17</v>
      </c>
      <c r="N277" s="8" t="inlineStr">
        <is>
          <t>20 / 15 / 25 / 20 / 20</t>
        </is>
      </c>
    </row>
    <row r="278" ht="28" customHeight="1">
      <c r="A278" s="9" t="inlineStr">
        <is>
          <t>Technology &amp; engineering</t>
        </is>
      </c>
      <c r="B278" s="63" t="n"/>
      <c r="C278" s="9" t="inlineStr">
        <is>
          <t>Band C · Principal specialist</t>
        </is>
      </c>
      <c r="D278" s="63" t="n"/>
      <c r="E278" s="17" t="inlineStr">
        <is>
          <t>TE-C-IC</t>
        </is>
      </c>
      <c r="F278" s="8">
        <f>D256+E264</f>
        <v>59</v>
      </c>
      <c r="G278" s="8">
        <f>E256+F264</f>
        <v>18</v>
      </c>
      <c r="H278" s="8">
        <f>F256+G264</f>
        <v>5</v>
      </c>
      <c r="I278" s="8">
        <f>G256+H264</f>
        <v>5</v>
      </c>
      <c r="J278" s="8">
        <f>H256+I264</f>
        <v>5</v>
      </c>
      <c r="K278" s="8">
        <f>I256+J264</f>
        <v>8</v>
      </c>
      <c r="L278" s="8">
        <f>SUM(F278:K278)</f>
        <v>100</v>
      </c>
      <c r="M278" s="8" t="n">
        <v>2</v>
      </c>
      <c r="N278" s="8" t="inlineStr">
        <is>
          <t>35 / 15 / 25 / 10 / 15</t>
        </is>
      </c>
    </row>
    <row r="279" ht="28" customHeight="1">
      <c r="A279" s="9" t="inlineStr">
        <is>
          <t>Technology &amp; engineering</t>
        </is>
      </c>
      <c r="B279" s="63" t="n"/>
      <c r="C279" s="9" t="inlineStr">
        <is>
          <t>Band C · Head / manager</t>
        </is>
      </c>
      <c r="D279" s="63" t="n"/>
      <c r="E279" s="17" t="inlineStr">
        <is>
          <t>TE-C-M</t>
        </is>
      </c>
      <c r="F279" s="8">
        <f>D257+E264</f>
        <v>48</v>
      </c>
      <c r="G279" s="8">
        <f>E257+F264</f>
        <v>18</v>
      </c>
      <c r="H279" s="8">
        <f>F257+G264</f>
        <v>6</v>
      </c>
      <c r="I279" s="8">
        <f>G257+H264</f>
        <v>15</v>
      </c>
      <c r="J279" s="8">
        <f>H257+I264</f>
        <v>5</v>
      </c>
      <c r="K279" s="8">
        <f>I257+J264</f>
        <v>8</v>
      </c>
      <c r="L279" s="8">
        <f>SUM(F279:K279)</f>
        <v>100</v>
      </c>
      <c r="M279" s="8" t="n">
        <v>2</v>
      </c>
      <c r="N279" s="8" t="inlineStr">
        <is>
          <t>25 / 15 / 25 / 20 / 15</t>
        </is>
      </c>
    </row>
    <row r="280" ht="28" customHeight="1">
      <c r="A280" s="9" t="inlineStr">
        <is>
          <t>Technology &amp; engineering</t>
        </is>
      </c>
      <c r="B280" s="63" t="n"/>
      <c r="C280" s="9" t="inlineStr">
        <is>
          <t>Bands D–E</t>
        </is>
      </c>
      <c r="D280" s="63" t="n"/>
      <c r="E280" s="17" t="inlineStr">
        <is>
          <t>TE-DE</t>
        </is>
      </c>
      <c r="F280" s="8">
        <f>D258</f>
        <v>37</v>
      </c>
      <c r="G280" s="8">
        <f>E258</f>
        <v>19</v>
      </c>
      <c r="H280" s="8">
        <f>F258</f>
        <v>11</v>
      </c>
      <c r="I280" s="8">
        <f>G258</f>
        <v>20</v>
      </c>
      <c r="J280" s="8">
        <f>H258</f>
        <v>5</v>
      </c>
      <c r="K280" s="8">
        <f>I258</f>
        <v>8</v>
      </c>
      <c r="L280" s="8">
        <f>SUM(F280:K280)</f>
        <v>100</v>
      </c>
      <c r="M280" s="8" t="n">
        <v>1</v>
      </c>
      <c r="N280" s="8" t="inlineStr">
        <is>
          <t>10 / 15 / 40 / 25 / 10</t>
        </is>
      </c>
    </row>
    <row r="281" ht="28" customHeight="1">
      <c r="A281" s="9" t="inlineStr">
        <is>
          <t>Technology &amp; engineering</t>
        </is>
      </c>
      <c r="B281" s="63" t="n"/>
      <c r="C281" s="9" t="inlineStr">
        <is>
          <t>Player-Coach B+ · between B and C</t>
        </is>
      </c>
      <c r="D281" s="63" t="n"/>
      <c r="E281" s="17" t="inlineStr">
        <is>
          <t>TE-PC-B+</t>
        </is>
      </c>
      <c r="F281" s="8">
        <f>D259+E264</f>
        <v>49</v>
      </c>
      <c r="G281" s="8">
        <f>E259+F264</f>
        <v>18</v>
      </c>
      <c r="H281" s="8">
        <f>F259+G264</f>
        <v>5</v>
      </c>
      <c r="I281" s="8">
        <f>G259+H264</f>
        <v>10</v>
      </c>
      <c r="J281" s="8">
        <f>H259+I264</f>
        <v>10</v>
      </c>
      <c r="K281" s="8">
        <f>I259+J264</f>
        <v>8</v>
      </c>
      <c r="L281" s="8">
        <f>SUM(F281:K281)</f>
        <v>100</v>
      </c>
      <c r="M281" s="8" t="n">
        <v>6</v>
      </c>
      <c r="N281" s="8" t="inlineStr">
        <is>
          <t>—</t>
        </is>
      </c>
    </row>
    <row r="282" ht="28" customHeight="1">
      <c r="A282" s="9" t="inlineStr">
        <is>
          <t>Technology &amp; engineering</t>
        </is>
      </c>
      <c r="B282" s="63" t="n"/>
      <c r="C282" s="9" t="inlineStr">
        <is>
          <t>Player-Coach C+ · between C and D</t>
        </is>
      </c>
      <c r="D282" s="63" t="n"/>
      <c r="E282" s="17" t="inlineStr">
        <is>
          <t>TE-PC-C+</t>
        </is>
      </c>
      <c r="F282" s="8">
        <f>D260</f>
        <v>38</v>
      </c>
      <c r="G282" s="8">
        <f>E260</f>
        <v>18</v>
      </c>
      <c r="H282" s="8">
        <f>F260</f>
        <v>11</v>
      </c>
      <c r="I282" s="8">
        <f>G260</f>
        <v>20</v>
      </c>
      <c r="J282" s="8">
        <f>H260</f>
        <v>5</v>
      </c>
      <c r="K282" s="8">
        <f>I260</f>
        <v>8</v>
      </c>
      <c r="L282" s="8">
        <f>SUM(F282:K282)</f>
        <v>100</v>
      </c>
      <c r="M282" s="8" t="n">
        <v>0</v>
      </c>
      <c r="N282" s="8" t="inlineStr">
        <is>
          <t>—</t>
        </is>
      </c>
    </row>
    <row r="283" ht="28" customHeight="1">
      <c r="A283" s="9" t="inlineStr">
        <is>
          <t>Product &amp; programme</t>
        </is>
      </c>
      <c r="B283" s="63" t="n"/>
      <c r="C283" s="9" t="inlineStr">
        <is>
          <t>Band A</t>
        </is>
      </c>
      <c r="D283" s="63" t="n"/>
      <c r="E283" s="17" t="inlineStr">
        <is>
          <t>PP-A</t>
        </is>
      </c>
      <c r="F283" s="8">
        <f>D253+E265</f>
        <v>54</v>
      </c>
      <c r="G283" s="8">
        <f>E253+F265</f>
        <v>21</v>
      </c>
      <c r="H283" s="8">
        <f>F253+G265</f>
        <v>9</v>
      </c>
      <c r="I283" s="8">
        <f>G253+H265</f>
        <v>0</v>
      </c>
      <c r="J283" s="8">
        <f>H253+I265</f>
        <v>10</v>
      </c>
      <c r="K283" s="8">
        <f>I253+J265</f>
        <v>6</v>
      </c>
      <c r="L283" s="8">
        <f>SUM(F283:K283)</f>
        <v>100</v>
      </c>
      <c r="M283" s="8" t="n">
        <v>1</v>
      </c>
      <c r="N283" s="8" t="inlineStr">
        <is>
          <t>35 / 20 / 25 / 0 / 20</t>
        </is>
      </c>
    </row>
    <row r="284" ht="28" customHeight="1">
      <c r="A284" s="9" t="inlineStr">
        <is>
          <t>Product &amp; programme</t>
        </is>
      </c>
      <c r="B284" s="63" t="n"/>
      <c r="C284" s="9" t="inlineStr">
        <is>
          <t>Band B · IC / POD Lead</t>
        </is>
      </c>
      <c r="D284" s="63" t="n"/>
      <c r="E284" s="17" t="inlineStr">
        <is>
          <t>PP-B-IC</t>
        </is>
      </c>
      <c r="F284" s="8">
        <f>D254+E265</f>
        <v>46</v>
      </c>
      <c r="G284" s="8">
        <f>E254+F265</f>
        <v>22</v>
      </c>
      <c r="H284" s="8">
        <f>F254+G265</f>
        <v>10</v>
      </c>
      <c r="I284" s="8">
        <f>G254+H265</f>
        <v>5</v>
      </c>
      <c r="J284" s="8">
        <f>H254+I265</f>
        <v>10</v>
      </c>
      <c r="K284" s="8">
        <f>I254+J265</f>
        <v>7</v>
      </c>
      <c r="L284" s="8">
        <f>SUM(F284:K284)</f>
        <v>100</v>
      </c>
      <c r="M284" s="8" t="n">
        <v>5</v>
      </c>
      <c r="N284" s="8" t="inlineStr">
        <is>
          <t>30 / 20 / 25 / 10 / 15</t>
        </is>
      </c>
    </row>
    <row r="285" ht="28" customHeight="1">
      <c r="A285" s="9" t="inlineStr">
        <is>
          <t>Product &amp; programme</t>
        </is>
      </c>
      <c r="B285" s="63" t="n"/>
      <c r="C285" s="9" t="inlineStr">
        <is>
          <t>Band B · People Manager</t>
        </is>
      </c>
      <c r="D285" s="63" t="n"/>
      <c r="E285" s="17" t="inlineStr">
        <is>
          <t>PP-B-M</t>
        </is>
      </c>
      <c r="F285" s="8">
        <f>D255+E265</f>
        <v>32</v>
      </c>
      <c r="G285" s="8">
        <f>E255+F265</f>
        <v>23</v>
      </c>
      <c r="H285" s="8">
        <f>F255+G265</f>
        <v>11</v>
      </c>
      <c r="I285" s="8">
        <f>G255+H265</f>
        <v>15</v>
      </c>
      <c r="J285" s="8">
        <f>H255+I265</f>
        <v>10</v>
      </c>
      <c r="K285" s="8">
        <f>I255+J265</f>
        <v>9</v>
      </c>
      <c r="L285" s="8">
        <f>SUM(F285:K285)</f>
        <v>100</v>
      </c>
      <c r="M285" s="8" t="n">
        <v>3</v>
      </c>
      <c r="N285" s="8" t="inlineStr">
        <is>
          <t>20 / 20 / 25 / 20 / 15</t>
        </is>
      </c>
    </row>
    <row r="286" ht="28" customHeight="1">
      <c r="A286" s="9" t="inlineStr">
        <is>
          <t>Product &amp; programme</t>
        </is>
      </c>
      <c r="B286" s="63" t="n"/>
      <c r="C286" s="9" t="inlineStr">
        <is>
          <t>Band C · Principal specialist</t>
        </is>
      </c>
      <c r="D286" s="63" t="n"/>
      <c r="E286" s="17" t="inlineStr">
        <is>
          <t>PP-C-IC</t>
        </is>
      </c>
      <c r="F286" s="8">
        <f>D256+E265</f>
        <v>49</v>
      </c>
      <c r="G286" s="8">
        <f>E256+F265</f>
        <v>23</v>
      </c>
      <c r="H286" s="8">
        <f>F256+G265</f>
        <v>10</v>
      </c>
      <c r="I286" s="8">
        <f>G256+H265</f>
        <v>5</v>
      </c>
      <c r="J286" s="8">
        <f>H256+I265</f>
        <v>5</v>
      </c>
      <c r="K286" s="8">
        <f>I256+J265</f>
        <v>8</v>
      </c>
      <c r="L286" s="8">
        <f>SUM(F286:K286)</f>
        <v>100</v>
      </c>
      <c r="M286" s="8" t="n">
        <v>0</v>
      </c>
      <c r="N286" s="8" t="inlineStr">
        <is>
          <t>30 / 20 / 30 / 10 / 10</t>
        </is>
      </c>
    </row>
    <row r="287" ht="28" customHeight="1">
      <c r="A287" s="9" t="inlineStr">
        <is>
          <t>Product &amp; programme</t>
        </is>
      </c>
      <c r="B287" s="63" t="n"/>
      <c r="C287" s="9" t="inlineStr">
        <is>
          <t>Band C · Head / manager</t>
        </is>
      </c>
      <c r="D287" s="63" t="n"/>
      <c r="E287" s="17" t="inlineStr">
        <is>
          <t>PP-C-M</t>
        </is>
      </c>
      <c r="F287" s="8">
        <f>D257+E265</f>
        <v>38</v>
      </c>
      <c r="G287" s="8">
        <f>E257+F265</f>
        <v>23</v>
      </c>
      <c r="H287" s="8">
        <f>F257+G265</f>
        <v>11</v>
      </c>
      <c r="I287" s="8">
        <f>G257+H265</f>
        <v>15</v>
      </c>
      <c r="J287" s="8">
        <f>H257+I265</f>
        <v>5</v>
      </c>
      <c r="K287" s="8">
        <f>I257+J265</f>
        <v>8</v>
      </c>
      <c r="L287" s="8">
        <f>SUM(F287:K287)</f>
        <v>100</v>
      </c>
      <c r="M287" s="8" t="n">
        <v>0</v>
      </c>
      <c r="N287" s="8" t="inlineStr">
        <is>
          <t>20 / 20 / 30 / 20 / 10</t>
        </is>
      </c>
    </row>
    <row r="288" ht="28" customHeight="1">
      <c r="A288" s="9" t="inlineStr">
        <is>
          <t>Product &amp; programme</t>
        </is>
      </c>
      <c r="B288" s="63" t="n"/>
      <c r="C288" s="9" t="inlineStr">
        <is>
          <t>Bands D–E</t>
        </is>
      </c>
      <c r="D288" s="63" t="n"/>
      <c r="E288" s="17" t="inlineStr">
        <is>
          <t>PP-DE</t>
        </is>
      </c>
      <c r="F288" s="8">
        <f>D258</f>
        <v>37</v>
      </c>
      <c r="G288" s="8">
        <f>E258</f>
        <v>19</v>
      </c>
      <c r="H288" s="8">
        <f>F258</f>
        <v>11</v>
      </c>
      <c r="I288" s="8">
        <f>G258</f>
        <v>20</v>
      </c>
      <c r="J288" s="8">
        <f>H258</f>
        <v>5</v>
      </c>
      <c r="K288" s="8">
        <f>I258</f>
        <v>8</v>
      </c>
      <c r="L288" s="8">
        <f>SUM(F288:K288)</f>
        <v>100</v>
      </c>
      <c r="M288" s="8" t="n">
        <v>0</v>
      </c>
      <c r="N288" s="8" t="inlineStr">
        <is>
          <t>10 / 15 / 40 / 25 / 10</t>
        </is>
      </c>
    </row>
    <row r="289" ht="28" customHeight="1">
      <c r="A289" s="9" t="inlineStr">
        <is>
          <t>Product &amp; programme</t>
        </is>
      </c>
      <c r="B289" s="63" t="n"/>
      <c r="C289" s="9" t="inlineStr">
        <is>
          <t>Player-Coach B+ · between B and C</t>
        </is>
      </c>
      <c r="D289" s="63" t="n"/>
      <c r="E289" s="17" t="inlineStr">
        <is>
          <t>PP-PC-B+</t>
        </is>
      </c>
      <c r="F289" s="8">
        <f>D259+E265</f>
        <v>39</v>
      </c>
      <c r="G289" s="8">
        <f>E259+F265</f>
        <v>23</v>
      </c>
      <c r="H289" s="8">
        <f>F259+G265</f>
        <v>10</v>
      </c>
      <c r="I289" s="8">
        <f>G259+H265</f>
        <v>10</v>
      </c>
      <c r="J289" s="8">
        <f>H259+I265</f>
        <v>10</v>
      </c>
      <c r="K289" s="8">
        <f>I259+J265</f>
        <v>8</v>
      </c>
      <c r="L289" s="8">
        <f>SUM(F289:K289)</f>
        <v>100</v>
      </c>
      <c r="M289" s="8" t="n">
        <v>0</v>
      </c>
      <c r="N289" s="8" t="inlineStr">
        <is>
          <t>—</t>
        </is>
      </c>
    </row>
    <row r="290" ht="28" customHeight="1">
      <c r="A290" s="9" t="inlineStr">
        <is>
          <t>Product &amp; programme</t>
        </is>
      </c>
      <c r="B290" s="63" t="n"/>
      <c r="C290" s="9" t="inlineStr">
        <is>
          <t>Player-Coach C+ · between C and D</t>
        </is>
      </c>
      <c r="D290" s="63" t="n"/>
      <c r="E290" s="17" t="inlineStr">
        <is>
          <t>PP-PC-C+</t>
        </is>
      </c>
      <c r="F290" s="8">
        <f>D260</f>
        <v>38</v>
      </c>
      <c r="G290" s="8">
        <f>E260</f>
        <v>18</v>
      </c>
      <c r="H290" s="8">
        <f>F260</f>
        <v>11</v>
      </c>
      <c r="I290" s="8">
        <f>G260</f>
        <v>20</v>
      </c>
      <c r="J290" s="8">
        <f>H260</f>
        <v>5</v>
      </c>
      <c r="K290" s="8">
        <f>I260</f>
        <v>8</v>
      </c>
      <c r="L290" s="8">
        <f>SUM(F290:K290)</f>
        <v>100</v>
      </c>
      <c r="M290" s="8" t="n">
        <v>0</v>
      </c>
      <c r="N290" s="8" t="inlineStr">
        <is>
          <t>—</t>
        </is>
      </c>
    </row>
    <row r="291" ht="28" customHeight="1">
      <c r="A291" s="9" t="inlineStr">
        <is>
          <t>Regulatory &amp; domain consulting</t>
        </is>
      </c>
      <c r="B291" s="63" t="n"/>
      <c r="C291" s="9" t="inlineStr">
        <is>
          <t>Band A</t>
        </is>
      </c>
      <c r="D291" s="63" t="n"/>
      <c r="E291" s="17" t="inlineStr">
        <is>
          <t>RC-A</t>
        </is>
      </c>
      <c r="F291" s="8">
        <f>D253+E266</f>
        <v>59</v>
      </c>
      <c r="G291" s="8">
        <f>E253+F266</f>
        <v>16</v>
      </c>
      <c r="H291" s="8">
        <f>F253+G266</f>
        <v>9</v>
      </c>
      <c r="I291" s="8">
        <f>G253+H266</f>
        <v>0</v>
      </c>
      <c r="J291" s="8">
        <f>H253+I266</f>
        <v>10</v>
      </c>
      <c r="K291" s="8">
        <f>I253+J266</f>
        <v>6</v>
      </c>
      <c r="L291" s="8">
        <f>SUM(F291:K291)</f>
        <v>100</v>
      </c>
      <c r="M291" s="8" t="n">
        <v>24</v>
      </c>
      <c r="N291" s="8" t="inlineStr">
        <is>
          <t>35 / 15 / 25 / 0 / 25</t>
        </is>
      </c>
    </row>
    <row r="292" ht="28" customHeight="1">
      <c r="A292" s="9" t="inlineStr">
        <is>
          <t>Regulatory &amp; domain consulting</t>
        </is>
      </c>
      <c r="B292" s="63" t="n"/>
      <c r="C292" s="9" t="inlineStr">
        <is>
          <t>Band B · IC / POD Lead</t>
        </is>
      </c>
      <c r="D292" s="63" t="n"/>
      <c r="E292" s="17" t="inlineStr">
        <is>
          <t>RC-B-IC</t>
        </is>
      </c>
      <c r="F292" s="8">
        <f>D254+E266</f>
        <v>51</v>
      </c>
      <c r="G292" s="8">
        <f>E254+F266</f>
        <v>17</v>
      </c>
      <c r="H292" s="8">
        <f>F254+G266</f>
        <v>10</v>
      </c>
      <c r="I292" s="8">
        <f>G254+H266</f>
        <v>5</v>
      </c>
      <c r="J292" s="8">
        <f>H254+I266</f>
        <v>10</v>
      </c>
      <c r="K292" s="8">
        <f>I254+J266</f>
        <v>7</v>
      </c>
      <c r="L292" s="8">
        <f>SUM(F292:K292)</f>
        <v>100</v>
      </c>
      <c r="M292" s="8" t="n">
        <v>17</v>
      </c>
      <c r="N292" s="8" t="inlineStr">
        <is>
          <t>30 / 15 / 25 / 10 / 20</t>
        </is>
      </c>
    </row>
    <row r="293" ht="28" customHeight="1">
      <c r="A293" s="9" t="inlineStr">
        <is>
          <t>Regulatory &amp; domain consulting</t>
        </is>
      </c>
      <c r="B293" s="63" t="n"/>
      <c r="C293" s="9" t="inlineStr">
        <is>
          <t>Band B · People Manager</t>
        </is>
      </c>
      <c r="D293" s="63" t="n"/>
      <c r="E293" s="17" t="inlineStr">
        <is>
          <t>RC-B-M</t>
        </is>
      </c>
      <c r="F293" s="8">
        <f>D255+E266</f>
        <v>37</v>
      </c>
      <c r="G293" s="8">
        <f>E255+F266</f>
        <v>18</v>
      </c>
      <c r="H293" s="8">
        <f>F255+G266</f>
        <v>11</v>
      </c>
      <c r="I293" s="8">
        <f>G255+H266</f>
        <v>15</v>
      </c>
      <c r="J293" s="8">
        <f>H255+I266</f>
        <v>10</v>
      </c>
      <c r="K293" s="8">
        <f>I255+J266</f>
        <v>9</v>
      </c>
      <c r="L293" s="8">
        <f>SUM(F293:K293)</f>
        <v>100</v>
      </c>
      <c r="M293" s="8" t="n">
        <v>3</v>
      </c>
      <c r="N293" s="8" t="inlineStr">
        <is>
          <t>20 / 15 / 25 / 20 / 20</t>
        </is>
      </c>
    </row>
    <row r="294" ht="28" customHeight="1">
      <c r="A294" s="9" t="inlineStr">
        <is>
          <t>Regulatory &amp; domain consulting</t>
        </is>
      </c>
      <c r="B294" s="63" t="n"/>
      <c r="C294" s="9" t="inlineStr">
        <is>
          <t>Band C · Principal specialist</t>
        </is>
      </c>
      <c r="D294" s="63" t="n"/>
      <c r="E294" s="17" t="inlineStr">
        <is>
          <t>RC-C-IC</t>
        </is>
      </c>
      <c r="F294" s="8">
        <f>D256+E266</f>
        <v>54</v>
      </c>
      <c r="G294" s="8">
        <f>E256+F266</f>
        <v>18</v>
      </c>
      <c r="H294" s="8">
        <f>F256+G266</f>
        <v>10</v>
      </c>
      <c r="I294" s="8">
        <f>G256+H266</f>
        <v>5</v>
      </c>
      <c r="J294" s="8">
        <f>H256+I266</f>
        <v>5</v>
      </c>
      <c r="K294" s="8">
        <f>I256+J266</f>
        <v>8</v>
      </c>
      <c r="L294" s="8">
        <f>SUM(F294:K294)</f>
        <v>100</v>
      </c>
      <c r="M294" s="8" t="n">
        <v>0</v>
      </c>
      <c r="N294" s="8" t="inlineStr">
        <is>
          <t>30 / 15 / 30 / 10 / 15</t>
        </is>
      </c>
    </row>
    <row r="295" ht="28" customHeight="1">
      <c r="A295" s="9" t="inlineStr">
        <is>
          <t>Regulatory &amp; domain consulting</t>
        </is>
      </c>
      <c r="B295" s="63" t="n"/>
      <c r="C295" s="9" t="inlineStr">
        <is>
          <t>Band C · Head / manager</t>
        </is>
      </c>
      <c r="D295" s="63" t="n"/>
      <c r="E295" s="17" t="inlineStr">
        <is>
          <t>RC-C-M</t>
        </is>
      </c>
      <c r="F295" s="8">
        <f>D257+E266</f>
        <v>43</v>
      </c>
      <c r="G295" s="8">
        <f>E257+F266</f>
        <v>18</v>
      </c>
      <c r="H295" s="8">
        <f>F257+G266</f>
        <v>11</v>
      </c>
      <c r="I295" s="8">
        <f>G257+H266</f>
        <v>15</v>
      </c>
      <c r="J295" s="8">
        <f>H257+I266</f>
        <v>5</v>
      </c>
      <c r="K295" s="8">
        <f>I257+J266</f>
        <v>8</v>
      </c>
      <c r="L295" s="8">
        <f>SUM(F295:K295)</f>
        <v>100</v>
      </c>
      <c r="M295" s="8" t="n">
        <v>1</v>
      </c>
      <c r="N295" s="8" t="inlineStr">
        <is>
          <t>20 / 15 / 30 / 20 / 15</t>
        </is>
      </c>
    </row>
    <row r="296" ht="28" customHeight="1">
      <c r="A296" s="9" t="inlineStr">
        <is>
          <t>Regulatory &amp; domain consulting</t>
        </is>
      </c>
      <c r="B296" s="63" t="n"/>
      <c r="C296" s="9" t="inlineStr">
        <is>
          <t>Bands D–E</t>
        </is>
      </c>
      <c r="D296" s="63" t="n"/>
      <c r="E296" s="17" t="inlineStr">
        <is>
          <t>RC-DE</t>
        </is>
      </c>
      <c r="F296" s="8">
        <f>D258</f>
        <v>37</v>
      </c>
      <c r="G296" s="8">
        <f>E258</f>
        <v>19</v>
      </c>
      <c r="H296" s="8">
        <f>F258</f>
        <v>11</v>
      </c>
      <c r="I296" s="8">
        <f>G258</f>
        <v>20</v>
      </c>
      <c r="J296" s="8">
        <f>H258</f>
        <v>5</v>
      </c>
      <c r="K296" s="8">
        <f>I258</f>
        <v>8</v>
      </c>
      <c r="L296" s="8">
        <f>SUM(F296:K296)</f>
        <v>100</v>
      </c>
      <c r="M296" s="8" t="n">
        <v>0</v>
      </c>
      <c r="N296" s="8" t="inlineStr">
        <is>
          <t>10 / 15 / 40 / 25 / 10</t>
        </is>
      </c>
    </row>
    <row r="297" ht="28" customHeight="1">
      <c r="A297" s="9" t="inlineStr">
        <is>
          <t>Regulatory &amp; domain consulting</t>
        </is>
      </c>
      <c r="B297" s="63" t="n"/>
      <c r="C297" s="9" t="inlineStr">
        <is>
          <t>Player-Coach B+ · between B and C</t>
        </is>
      </c>
      <c r="D297" s="63" t="n"/>
      <c r="E297" s="17" t="inlineStr">
        <is>
          <t>RC-PC-B+</t>
        </is>
      </c>
      <c r="F297" s="8">
        <f>D259+E266</f>
        <v>44</v>
      </c>
      <c r="G297" s="8">
        <f>E259+F266</f>
        <v>18</v>
      </c>
      <c r="H297" s="8">
        <f>F259+G266</f>
        <v>10</v>
      </c>
      <c r="I297" s="8">
        <f>G259+H266</f>
        <v>10</v>
      </c>
      <c r="J297" s="8">
        <f>H259+I266</f>
        <v>10</v>
      </c>
      <c r="K297" s="8">
        <f>I259+J266</f>
        <v>8</v>
      </c>
      <c r="L297" s="8">
        <f>SUM(F297:K297)</f>
        <v>100</v>
      </c>
      <c r="M297" s="8" t="n">
        <v>0</v>
      </c>
      <c r="N297" s="8" t="inlineStr">
        <is>
          <t>—</t>
        </is>
      </c>
    </row>
    <row r="298" ht="28" customHeight="1">
      <c r="A298" s="9" t="inlineStr">
        <is>
          <t>Regulatory &amp; domain consulting</t>
        </is>
      </c>
      <c r="B298" s="63" t="n"/>
      <c r="C298" s="9" t="inlineStr">
        <is>
          <t>Player-Coach C+ · between C and D</t>
        </is>
      </c>
      <c r="D298" s="63" t="n"/>
      <c r="E298" s="17" t="inlineStr">
        <is>
          <t>RC-PC-C+</t>
        </is>
      </c>
      <c r="F298" s="8">
        <f>D260</f>
        <v>38</v>
      </c>
      <c r="G298" s="8">
        <f>E260</f>
        <v>18</v>
      </c>
      <c r="H298" s="8">
        <f>F260</f>
        <v>11</v>
      </c>
      <c r="I298" s="8">
        <f>G260</f>
        <v>20</v>
      </c>
      <c r="J298" s="8">
        <f>H260</f>
        <v>5</v>
      </c>
      <c r="K298" s="8">
        <f>I260</f>
        <v>8</v>
      </c>
      <c r="L298" s="8">
        <f>SUM(F298:K298)</f>
        <v>100</v>
      </c>
      <c r="M298" s="8" t="n">
        <v>0</v>
      </c>
      <c r="N298" s="8" t="inlineStr">
        <is>
          <t>—</t>
        </is>
      </c>
    </row>
    <row r="299" ht="28" customHeight="1">
      <c r="A299" s="9" t="inlineStr">
        <is>
          <t>Service delivery &amp; data operations</t>
        </is>
      </c>
      <c r="B299" s="63" t="n"/>
      <c r="C299" s="9" t="inlineStr">
        <is>
          <t>Band A</t>
        </is>
      </c>
      <c r="D299" s="63" t="n"/>
      <c r="E299" s="17" t="inlineStr">
        <is>
          <t>SD-A</t>
        </is>
      </c>
      <c r="F299" s="8">
        <f>D253+E267</f>
        <v>54</v>
      </c>
      <c r="G299" s="8">
        <f>E253+F267</f>
        <v>16</v>
      </c>
      <c r="H299" s="8">
        <f>F253+G267</f>
        <v>14</v>
      </c>
      <c r="I299" s="8">
        <f>G253+H267</f>
        <v>0</v>
      </c>
      <c r="J299" s="8">
        <f>H253+I267</f>
        <v>10</v>
      </c>
      <c r="K299" s="8">
        <f>I253+J267</f>
        <v>6</v>
      </c>
      <c r="L299" s="8">
        <f>SUM(F299:K299)</f>
        <v>100</v>
      </c>
      <c r="M299" s="8" t="n">
        <v>69</v>
      </c>
      <c r="N299" s="8" t="inlineStr">
        <is>
          <t>30 / 10 / 35 / 0 / 25</t>
        </is>
      </c>
    </row>
    <row r="300" ht="28" customHeight="1">
      <c r="A300" s="9" t="inlineStr">
        <is>
          <t>Service delivery &amp; data operations</t>
        </is>
      </c>
      <c r="B300" s="63" t="n"/>
      <c r="C300" s="9" t="inlineStr">
        <is>
          <t>Band B · IC / POD Lead</t>
        </is>
      </c>
      <c r="D300" s="63" t="n"/>
      <c r="E300" s="17" t="inlineStr">
        <is>
          <t>SD-B-IC</t>
        </is>
      </c>
      <c r="F300" s="8">
        <f>D254+E267</f>
        <v>46</v>
      </c>
      <c r="G300" s="8">
        <f>E254+F267</f>
        <v>17</v>
      </c>
      <c r="H300" s="8">
        <f>F254+G267</f>
        <v>15</v>
      </c>
      <c r="I300" s="8">
        <f>G254+H267</f>
        <v>5</v>
      </c>
      <c r="J300" s="8">
        <f>H254+I267</f>
        <v>10</v>
      </c>
      <c r="K300" s="8">
        <f>I254+J267</f>
        <v>7</v>
      </c>
      <c r="L300" s="8">
        <f>SUM(F300:K300)</f>
        <v>100</v>
      </c>
      <c r="M300" s="8" t="n">
        <v>18</v>
      </c>
      <c r="N300" s="8" t="inlineStr">
        <is>
          <t>25 / 15 / 30 / 10 / 20</t>
        </is>
      </c>
    </row>
    <row r="301" ht="28" customHeight="1">
      <c r="A301" s="9" t="inlineStr">
        <is>
          <t>Service delivery &amp; data operations</t>
        </is>
      </c>
      <c r="B301" s="63" t="n"/>
      <c r="C301" s="9" t="inlineStr">
        <is>
          <t>Band B · People Manager</t>
        </is>
      </c>
      <c r="D301" s="63" t="n"/>
      <c r="E301" s="17" t="inlineStr">
        <is>
          <t>SD-B-M</t>
        </is>
      </c>
      <c r="F301" s="8">
        <f>D255+E267</f>
        <v>32</v>
      </c>
      <c r="G301" s="8">
        <f>E255+F267</f>
        <v>18</v>
      </c>
      <c r="H301" s="8">
        <f>F255+G267</f>
        <v>16</v>
      </c>
      <c r="I301" s="8">
        <f>G255+H267</f>
        <v>15</v>
      </c>
      <c r="J301" s="8">
        <f>H255+I267</f>
        <v>10</v>
      </c>
      <c r="K301" s="8">
        <f>I255+J267</f>
        <v>9</v>
      </c>
      <c r="L301" s="8">
        <f>SUM(F301:K301)</f>
        <v>100</v>
      </c>
      <c r="M301" s="8" t="n">
        <v>12</v>
      </c>
      <c r="N301" s="8" t="inlineStr">
        <is>
          <t>15 / 15 / 30 / 25 / 15</t>
        </is>
      </c>
    </row>
    <row r="302" ht="28" customHeight="1">
      <c r="A302" s="9" t="inlineStr">
        <is>
          <t>Service delivery &amp; data operations</t>
        </is>
      </c>
      <c r="B302" s="63" t="n"/>
      <c r="C302" s="9" t="inlineStr">
        <is>
          <t>Band C · Principal specialist</t>
        </is>
      </c>
      <c r="D302" s="63" t="n"/>
      <c r="E302" s="17" t="inlineStr">
        <is>
          <t>SD-C-IC</t>
        </is>
      </c>
      <c r="F302" s="8">
        <f>D256+E267</f>
        <v>49</v>
      </c>
      <c r="G302" s="8">
        <f>E256+F267</f>
        <v>18</v>
      </c>
      <c r="H302" s="8">
        <f>F256+G267</f>
        <v>15</v>
      </c>
      <c r="I302" s="8">
        <f>G256+H267</f>
        <v>5</v>
      </c>
      <c r="J302" s="8">
        <f>H256+I267</f>
        <v>5</v>
      </c>
      <c r="K302" s="8">
        <f>I256+J267</f>
        <v>8</v>
      </c>
      <c r="L302" s="8">
        <f>SUM(F302:K302)</f>
        <v>100</v>
      </c>
      <c r="M302" s="8" t="n">
        <v>0</v>
      </c>
      <c r="N302" s="8" t="inlineStr">
        <is>
          <t>25 / 15 / 35 / 15 / 10</t>
        </is>
      </c>
    </row>
    <row r="303" ht="28" customHeight="1">
      <c r="A303" s="9" t="inlineStr">
        <is>
          <t>Service delivery &amp; data operations</t>
        </is>
      </c>
      <c r="B303" s="63" t="n"/>
      <c r="C303" s="9" t="inlineStr">
        <is>
          <t>Band C · Head / manager</t>
        </is>
      </c>
      <c r="D303" s="63" t="n"/>
      <c r="E303" s="17" t="inlineStr">
        <is>
          <t>SD-C-M</t>
        </is>
      </c>
      <c r="F303" s="8">
        <f>D257+E267</f>
        <v>38</v>
      </c>
      <c r="G303" s="8">
        <f>E257+F267</f>
        <v>18</v>
      </c>
      <c r="H303" s="8">
        <f>F257+G267</f>
        <v>16</v>
      </c>
      <c r="I303" s="8">
        <f>G257+H267</f>
        <v>15</v>
      </c>
      <c r="J303" s="8">
        <f>H257+I267</f>
        <v>5</v>
      </c>
      <c r="K303" s="8">
        <f>I257+J267</f>
        <v>8</v>
      </c>
      <c r="L303" s="8">
        <f>SUM(F303:K303)</f>
        <v>100</v>
      </c>
      <c r="M303" s="8" t="n">
        <v>3</v>
      </c>
      <c r="N303" s="8" t="inlineStr">
        <is>
          <t>15 / 15 / 35 / 25 / 10</t>
        </is>
      </c>
    </row>
    <row r="304" ht="28" customHeight="1">
      <c r="A304" s="9" t="inlineStr">
        <is>
          <t>Service delivery &amp; data operations</t>
        </is>
      </c>
      <c r="B304" s="63" t="n"/>
      <c r="C304" s="9" t="inlineStr">
        <is>
          <t>Bands D–E</t>
        </is>
      </c>
      <c r="D304" s="63" t="n"/>
      <c r="E304" s="17" t="inlineStr">
        <is>
          <t>SD-DE</t>
        </is>
      </c>
      <c r="F304" s="8">
        <f>D258</f>
        <v>37</v>
      </c>
      <c r="G304" s="8">
        <f>E258</f>
        <v>19</v>
      </c>
      <c r="H304" s="8">
        <f>F258</f>
        <v>11</v>
      </c>
      <c r="I304" s="8">
        <f>G258</f>
        <v>20</v>
      </c>
      <c r="J304" s="8">
        <f>H258</f>
        <v>5</v>
      </c>
      <c r="K304" s="8">
        <f>I258</f>
        <v>8</v>
      </c>
      <c r="L304" s="8">
        <f>SUM(F304:K304)</f>
        <v>100</v>
      </c>
      <c r="M304" s="8" t="n">
        <v>0</v>
      </c>
      <c r="N304" s="8" t="inlineStr">
        <is>
          <t>10 / 15 / 40 / 25 / 10</t>
        </is>
      </c>
    </row>
    <row r="305" ht="28" customHeight="1">
      <c r="A305" s="9" t="inlineStr">
        <is>
          <t>Service delivery &amp; data operations</t>
        </is>
      </c>
      <c r="B305" s="63" t="n"/>
      <c r="C305" s="9" t="inlineStr">
        <is>
          <t>Player-Coach B+ · between B and C</t>
        </is>
      </c>
      <c r="D305" s="63" t="n"/>
      <c r="E305" s="17" t="inlineStr">
        <is>
          <t>SD-PC-B+</t>
        </is>
      </c>
      <c r="F305" s="8">
        <f>D259+E267</f>
        <v>39</v>
      </c>
      <c r="G305" s="8">
        <f>E259+F267</f>
        <v>18</v>
      </c>
      <c r="H305" s="8">
        <f>F259+G267</f>
        <v>15</v>
      </c>
      <c r="I305" s="8">
        <f>G259+H267</f>
        <v>10</v>
      </c>
      <c r="J305" s="8">
        <f>H259+I267</f>
        <v>10</v>
      </c>
      <c r="K305" s="8">
        <f>I259+J267</f>
        <v>8</v>
      </c>
      <c r="L305" s="8">
        <f>SUM(F305:K305)</f>
        <v>100</v>
      </c>
      <c r="M305" s="8" t="n">
        <v>0</v>
      </c>
      <c r="N305" s="8" t="inlineStr">
        <is>
          <t>—</t>
        </is>
      </c>
    </row>
    <row r="306" ht="28" customHeight="1">
      <c r="A306" s="9" t="inlineStr">
        <is>
          <t>Service delivery &amp; data operations</t>
        </is>
      </c>
      <c r="B306" s="63" t="n"/>
      <c r="C306" s="9" t="inlineStr">
        <is>
          <t>Player-Coach C+ · between C and D</t>
        </is>
      </c>
      <c r="D306" s="63" t="n"/>
      <c r="E306" s="17" t="inlineStr">
        <is>
          <t>SD-PC-C+</t>
        </is>
      </c>
      <c r="F306" s="8">
        <f>D260</f>
        <v>38</v>
      </c>
      <c r="G306" s="8">
        <f>E260</f>
        <v>18</v>
      </c>
      <c r="H306" s="8">
        <f>F260</f>
        <v>11</v>
      </c>
      <c r="I306" s="8">
        <f>G260</f>
        <v>20</v>
      </c>
      <c r="J306" s="8">
        <f>H260</f>
        <v>5</v>
      </c>
      <c r="K306" s="8">
        <f>I260</f>
        <v>8</v>
      </c>
      <c r="L306" s="8">
        <f>SUM(F306:K306)</f>
        <v>100</v>
      </c>
      <c r="M306" s="8" t="n">
        <v>0</v>
      </c>
      <c r="N306" s="8" t="inlineStr">
        <is>
          <t>—</t>
        </is>
      </c>
    </row>
    <row r="307" ht="28" customHeight="1">
      <c r="A307" s="9" t="inlineStr">
        <is>
          <t>Customer support &amp; success</t>
        </is>
      </c>
      <c r="B307" s="63" t="n"/>
      <c r="C307" s="9" t="inlineStr">
        <is>
          <t>Band A</t>
        </is>
      </c>
      <c r="D307" s="63" t="n"/>
      <c r="E307" s="17" t="inlineStr">
        <is>
          <t>CS-A</t>
        </is>
      </c>
      <c r="F307" s="8">
        <f>D253+E268</f>
        <v>54</v>
      </c>
      <c r="G307" s="8">
        <f>E253+F268</f>
        <v>16</v>
      </c>
      <c r="H307" s="8">
        <f>F253+G268</f>
        <v>9</v>
      </c>
      <c r="I307" s="8">
        <f>G253+H268</f>
        <v>0</v>
      </c>
      <c r="J307" s="8">
        <f>H253+I268</f>
        <v>10</v>
      </c>
      <c r="K307" s="8">
        <f>I253+J268</f>
        <v>11</v>
      </c>
      <c r="L307" s="8">
        <f>SUM(F307:K307)</f>
        <v>100</v>
      </c>
      <c r="M307" s="8" t="n">
        <v>21</v>
      </c>
      <c r="N307" s="8" t="inlineStr">
        <is>
          <t>30 / 15 / 30 / 0 / 25</t>
        </is>
      </c>
    </row>
    <row r="308" ht="28" customHeight="1">
      <c r="A308" s="9" t="inlineStr">
        <is>
          <t>Customer support &amp; success</t>
        </is>
      </c>
      <c r="B308" s="63" t="n"/>
      <c r="C308" s="9" t="inlineStr">
        <is>
          <t>Band B · IC / POD Lead</t>
        </is>
      </c>
      <c r="D308" s="63" t="n"/>
      <c r="E308" s="17" t="inlineStr">
        <is>
          <t>CS-B-IC</t>
        </is>
      </c>
      <c r="F308" s="8">
        <f>D254+E268</f>
        <v>46</v>
      </c>
      <c r="G308" s="8">
        <f>E254+F268</f>
        <v>17</v>
      </c>
      <c r="H308" s="8">
        <f>F254+G268</f>
        <v>10</v>
      </c>
      <c r="I308" s="8">
        <f>G254+H268</f>
        <v>5</v>
      </c>
      <c r="J308" s="8">
        <f>H254+I268</f>
        <v>10</v>
      </c>
      <c r="K308" s="8">
        <f>I254+J268</f>
        <v>12</v>
      </c>
      <c r="L308" s="8">
        <f>SUM(F308:K308)</f>
        <v>100</v>
      </c>
      <c r="M308" s="8" t="n">
        <v>9</v>
      </c>
      <c r="N308" s="8" t="inlineStr">
        <is>
          <t>25 / 15 / 30 / 10 / 20</t>
        </is>
      </c>
    </row>
    <row r="309" ht="28" customHeight="1">
      <c r="A309" s="9" t="inlineStr">
        <is>
          <t>Customer support &amp; success</t>
        </is>
      </c>
      <c r="B309" s="63" t="n"/>
      <c r="C309" s="9" t="inlineStr">
        <is>
          <t>Band B · People Manager</t>
        </is>
      </c>
      <c r="D309" s="63" t="n"/>
      <c r="E309" s="17" t="inlineStr">
        <is>
          <t>CS-B-M</t>
        </is>
      </c>
      <c r="F309" s="8">
        <f>D255+E268</f>
        <v>32</v>
      </c>
      <c r="G309" s="8">
        <f>E255+F268</f>
        <v>18</v>
      </c>
      <c r="H309" s="8">
        <f>F255+G268</f>
        <v>11</v>
      </c>
      <c r="I309" s="8">
        <f>G255+H268</f>
        <v>15</v>
      </c>
      <c r="J309" s="8">
        <f>H255+I268</f>
        <v>10</v>
      </c>
      <c r="K309" s="8">
        <f>I255+J268</f>
        <v>14</v>
      </c>
      <c r="L309" s="8">
        <f>SUM(F309:K309)</f>
        <v>100</v>
      </c>
      <c r="M309" s="8" t="n">
        <v>1</v>
      </c>
      <c r="N309" s="8" t="inlineStr">
        <is>
          <t>15 / 15 / 30 / 25 / 15</t>
        </is>
      </c>
    </row>
    <row r="310" ht="28" customHeight="1">
      <c r="A310" s="9" t="inlineStr">
        <is>
          <t>Customer support &amp; success</t>
        </is>
      </c>
      <c r="B310" s="63" t="n"/>
      <c r="C310" s="9" t="inlineStr">
        <is>
          <t>Band C · Principal specialist</t>
        </is>
      </c>
      <c r="D310" s="63" t="n"/>
      <c r="E310" s="17" t="inlineStr">
        <is>
          <t>CS-C-IC</t>
        </is>
      </c>
      <c r="F310" s="8">
        <f>D256+E268</f>
        <v>49</v>
      </c>
      <c r="G310" s="8">
        <f>E256+F268</f>
        <v>18</v>
      </c>
      <c r="H310" s="8">
        <f>F256+G268</f>
        <v>10</v>
      </c>
      <c r="I310" s="8">
        <f>G256+H268</f>
        <v>5</v>
      </c>
      <c r="J310" s="8">
        <f>H256+I268</f>
        <v>5</v>
      </c>
      <c r="K310" s="8">
        <f>I256+J268</f>
        <v>13</v>
      </c>
      <c r="L310" s="8">
        <f>SUM(F310:K310)</f>
        <v>100</v>
      </c>
      <c r="M310" s="8" t="n">
        <v>0</v>
      </c>
      <c r="N310" s="8" t="inlineStr">
        <is>
          <t>25 / 15 / 35 / 15 / 10</t>
        </is>
      </c>
    </row>
    <row r="311" ht="28" customHeight="1">
      <c r="A311" s="9" t="inlineStr">
        <is>
          <t>Customer support &amp; success</t>
        </is>
      </c>
      <c r="B311" s="63" t="n"/>
      <c r="C311" s="9" t="inlineStr">
        <is>
          <t>Band C · Head / manager</t>
        </is>
      </c>
      <c r="D311" s="63" t="n"/>
      <c r="E311" s="17" t="inlineStr">
        <is>
          <t>CS-C-M</t>
        </is>
      </c>
      <c r="F311" s="8">
        <f>D257+E268</f>
        <v>38</v>
      </c>
      <c r="G311" s="8">
        <f>E257+F268</f>
        <v>18</v>
      </c>
      <c r="H311" s="8">
        <f>F257+G268</f>
        <v>11</v>
      </c>
      <c r="I311" s="8">
        <f>G257+H268</f>
        <v>15</v>
      </c>
      <c r="J311" s="8">
        <f>H257+I268</f>
        <v>5</v>
      </c>
      <c r="K311" s="8">
        <f>I257+J268</f>
        <v>13</v>
      </c>
      <c r="L311" s="8">
        <f>SUM(F311:K311)</f>
        <v>100</v>
      </c>
      <c r="M311" s="8" t="n">
        <v>1</v>
      </c>
      <c r="N311" s="8" t="inlineStr">
        <is>
          <t>15 / 15 / 35 / 25 / 10</t>
        </is>
      </c>
    </row>
    <row r="312" ht="28" customHeight="1">
      <c r="A312" s="9" t="inlineStr">
        <is>
          <t>Customer support &amp; success</t>
        </is>
      </c>
      <c r="B312" s="63" t="n"/>
      <c r="C312" s="9" t="inlineStr">
        <is>
          <t>Bands D–E</t>
        </is>
      </c>
      <c r="D312" s="63" t="n"/>
      <c r="E312" s="17" t="inlineStr">
        <is>
          <t>CS-DE</t>
        </is>
      </c>
      <c r="F312" s="8">
        <f>D258</f>
        <v>37</v>
      </c>
      <c r="G312" s="8">
        <f>E258</f>
        <v>19</v>
      </c>
      <c r="H312" s="8">
        <f>F258</f>
        <v>11</v>
      </c>
      <c r="I312" s="8">
        <f>G258</f>
        <v>20</v>
      </c>
      <c r="J312" s="8">
        <f>H258</f>
        <v>5</v>
      </c>
      <c r="K312" s="8">
        <f>I258</f>
        <v>8</v>
      </c>
      <c r="L312" s="8">
        <f>SUM(F312:K312)</f>
        <v>100</v>
      </c>
      <c r="M312" s="8" t="n">
        <v>1</v>
      </c>
      <c r="N312" s="8" t="inlineStr">
        <is>
          <t>10 / 15 / 40 / 25 / 10</t>
        </is>
      </c>
    </row>
    <row r="313" ht="28" customHeight="1">
      <c r="A313" s="9" t="inlineStr">
        <is>
          <t>Customer support &amp; success</t>
        </is>
      </c>
      <c r="B313" s="63" t="n"/>
      <c r="C313" s="9" t="inlineStr">
        <is>
          <t>Player-Coach B+ · between B and C</t>
        </is>
      </c>
      <c r="D313" s="63" t="n"/>
      <c r="E313" s="17" t="inlineStr">
        <is>
          <t>CS-PC-B+</t>
        </is>
      </c>
      <c r="F313" s="8">
        <f>D259+E268</f>
        <v>39</v>
      </c>
      <c r="G313" s="8">
        <f>E259+F268</f>
        <v>18</v>
      </c>
      <c r="H313" s="8">
        <f>F259+G268</f>
        <v>10</v>
      </c>
      <c r="I313" s="8">
        <f>G259+H268</f>
        <v>10</v>
      </c>
      <c r="J313" s="8">
        <f>H259+I268</f>
        <v>10</v>
      </c>
      <c r="K313" s="8">
        <f>I259+J268</f>
        <v>13</v>
      </c>
      <c r="L313" s="8">
        <f>SUM(F313:K313)</f>
        <v>100</v>
      </c>
      <c r="M313" s="8" t="n">
        <v>0</v>
      </c>
      <c r="N313" s="8" t="inlineStr">
        <is>
          <t>—</t>
        </is>
      </c>
    </row>
    <row r="314" ht="28" customHeight="1">
      <c r="A314" s="9" t="inlineStr">
        <is>
          <t>Customer support &amp; success</t>
        </is>
      </c>
      <c r="B314" s="63" t="n"/>
      <c r="C314" s="9" t="inlineStr">
        <is>
          <t>Player-Coach C+ · between C and D</t>
        </is>
      </c>
      <c r="D314" s="63" t="n"/>
      <c r="E314" s="17" t="inlineStr">
        <is>
          <t>CS-PC-C+</t>
        </is>
      </c>
      <c r="F314" s="8">
        <f>D260</f>
        <v>38</v>
      </c>
      <c r="G314" s="8">
        <f>E260</f>
        <v>18</v>
      </c>
      <c r="H314" s="8">
        <f>F260</f>
        <v>11</v>
      </c>
      <c r="I314" s="8">
        <f>G260</f>
        <v>20</v>
      </c>
      <c r="J314" s="8">
        <f>H260</f>
        <v>5</v>
      </c>
      <c r="K314" s="8">
        <f>I260</f>
        <v>8</v>
      </c>
      <c r="L314" s="8">
        <f>SUM(F314:K314)</f>
        <v>100</v>
      </c>
      <c r="M314" s="8" t="n">
        <v>0</v>
      </c>
      <c r="N314" s="8" t="inlineStr">
        <is>
          <t>—</t>
        </is>
      </c>
    </row>
    <row r="315" ht="28" customHeight="1">
      <c r="A315" s="9" t="inlineStr">
        <is>
          <t>Sales &amp; marketing</t>
        </is>
      </c>
      <c r="B315" s="63" t="n"/>
      <c r="C315" s="9" t="inlineStr">
        <is>
          <t>Band A</t>
        </is>
      </c>
      <c r="D315" s="63" t="n"/>
      <c r="E315" s="17" t="inlineStr">
        <is>
          <t>SM-A</t>
        </is>
      </c>
      <c r="F315" s="8">
        <f>D253+E269</f>
        <v>54</v>
      </c>
      <c r="G315" s="8">
        <f>E253+F269</f>
        <v>21</v>
      </c>
      <c r="H315" s="8">
        <f>F253+G269</f>
        <v>4</v>
      </c>
      <c r="I315" s="8">
        <f>G253+H269</f>
        <v>0</v>
      </c>
      <c r="J315" s="8">
        <f>H253+I269</f>
        <v>10</v>
      </c>
      <c r="K315" s="8">
        <f>I253+J269</f>
        <v>11</v>
      </c>
      <c r="L315" s="8">
        <f>SUM(F315:K315)</f>
        <v>100</v>
      </c>
      <c r="M315" s="8" t="n">
        <v>35</v>
      </c>
      <c r="N315" s="8" t="inlineStr">
        <is>
          <t>25 / 20 / 35 / 0 / 20</t>
        </is>
      </c>
    </row>
    <row r="316" ht="28" customHeight="1">
      <c r="A316" s="9" t="inlineStr">
        <is>
          <t>Sales &amp; marketing</t>
        </is>
      </c>
      <c r="B316" s="63" t="n"/>
      <c r="C316" s="9" t="inlineStr">
        <is>
          <t>Band B · IC / POD Lead</t>
        </is>
      </c>
      <c r="D316" s="63" t="n"/>
      <c r="E316" s="17" t="inlineStr">
        <is>
          <t>SM-B-IC</t>
        </is>
      </c>
      <c r="F316" s="8">
        <f>D254+E269</f>
        <v>46</v>
      </c>
      <c r="G316" s="8">
        <f>E254+F269</f>
        <v>22</v>
      </c>
      <c r="H316" s="8">
        <f>F254+G269</f>
        <v>5</v>
      </c>
      <c r="I316" s="8">
        <f>G254+H269</f>
        <v>5</v>
      </c>
      <c r="J316" s="8">
        <f>H254+I269</f>
        <v>10</v>
      </c>
      <c r="K316" s="8">
        <f>I254+J269</f>
        <v>12</v>
      </c>
      <c r="L316" s="8">
        <f>SUM(F316:K316)</f>
        <v>100</v>
      </c>
      <c r="M316" s="8" t="n">
        <v>16</v>
      </c>
      <c r="N316" s="8" t="inlineStr">
        <is>
          <t>20 / 20 / 35 / 10 / 15</t>
        </is>
      </c>
    </row>
    <row r="317" ht="28" customHeight="1">
      <c r="A317" s="9" t="inlineStr">
        <is>
          <t>Sales &amp; marketing</t>
        </is>
      </c>
      <c r="B317" s="63" t="n"/>
      <c r="C317" s="9" t="inlineStr">
        <is>
          <t>Band B · People Manager</t>
        </is>
      </c>
      <c r="D317" s="63" t="n"/>
      <c r="E317" s="17" t="inlineStr">
        <is>
          <t>SM-B-M</t>
        </is>
      </c>
      <c r="F317" s="8">
        <f>D255+E269</f>
        <v>32</v>
      </c>
      <c r="G317" s="8">
        <f>E255+F269</f>
        <v>23</v>
      </c>
      <c r="H317" s="8">
        <f>F255+G269</f>
        <v>6</v>
      </c>
      <c r="I317" s="8">
        <f>G255+H269</f>
        <v>15</v>
      </c>
      <c r="J317" s="8">
        <f>H255+I269</f>
        <v>10</v>
      </c>
      <c r="K317" s="8">
        <f>I255+J269</f>
        <v>14</v>
      </c>
      <c r="L317" s="8">
        <f>SUM(F317:K317)</f>
        <v>100</v>
      </c>
      <c r="M317" s="8" t="n">
        <v>6</v>
      </c>
      <c r="N317" s="8" t="inlineStr">
        <is>
          <t>15 / 20 / 35 / 20 / 10</t>
        </is>
      </c>
    </row>
    <row r="318" ht="28" customHeight="1">
      <c r="A318" s="9" t="inlineStr">
        <is>
          <t>Sales &amp; marketing</t>
        </is>
      </c>
      <c r="B318" s="63" t="n"/>
      <c r="C318" s="9" t="inlineStr">
        <is>
          <t>Band C · Principal specialist</t>
        </is>
      </c>
      <c r="D318" s="63" t="n"/>
      <c r="E318" s="17" t="inlineStr">
        <is>
          <t>SM-C-IC</t>
        </is>
      </c>
      <c r="F318" s="8">
        <f>D256+E269</f>
        <v>49</v>
      </c>
      <c r="G318" s="8">
        <f>E256+F269</f>
        <v>23</v>
      </c>
      <c r="H318" s="8">
        <f>F256+G269</f>
        <v>5</v>
      </c>
      <c r="I318" s="8">
        <f>G256+H269</f>
        <v>5</v>
      </c>
      <c r="J318" s="8">
        <f>H256+I269</f>
        <v>5</v>
      </c>
      <c r="K318" s="8">
        <f>I256+J269</f>
        <v>13</v>
      </c>
      <c r="L318" s="8">
        <f>SUM(F318:K318)</f>
        <v>100</v>
      </c>
      <c r="M318" s="8" t="n">
        <v>3</v>
      </c>
      <c r="N318" s="8" t="inlineStr">
        <is>
          <t>20 / 20 / 40 / 10 / 10</t>
        </is>
      </c>
    </row>
    <row r="319" ht="28" customHeight="1">
      <c r="A319" s="9" t="inlineStr">
        <is>
          <t>Sales &amp; marketing</t>
        </is>
      </c>
      <c r="B319" s="63" t="n"/>
      <c r="C319" s="9" t="inlineStr">
        <is>
          <t>Band C · Head / manager</t>
        </is>
      </c>
      <c r="D319" s="63" t="n"/>
      <c r="E319" s="17" t="inlineStr">
        <is>
          <t>SM-C-M</t>
        </is>
      </c>
      <c r="F319" s="8">
        <f>D257+E269</f>
        <v>38</v>
      </c>
      <c r="G319" s="8">
        <f>E257+F269</f>
        <v>23</v>
      </c>
      <c r="H319" s="8">
        <f>F257+G269</f>
        <v>6</v>
      </c>
      <c r="I319" s="8">
        <f>G257+H269</f>
        <v>15</v>
      </c>
      <c r="J319" s="8">
        <f>H257+I269</f>
        <v>5</v>
      </c>
      <c r="K319" s="8">
        <f>I257+J269</f>
        <v>13</v>
      </c>
      <c r="L319" s="8">
        <f>SUM(F319:K319)</f>
        <v>100</v>
      </c>
      <c r="M319" s="8" t="n">
        <v>1</v>
      </c>
      <c r="N319" s="8" t="inlineStr">
        <is>
          <t>10 / 20 / 40 / 20 / 10</t>
        </is>
      </c>
    </row>
    <row r="320" ht="28" customHeight="1">
      <c r="A320" s="9" t="inlineStr">
        <is>
          <t>Sales &amp; marketing</t>
        </is>
      </c>
      <c r="B320" s="63" t="n"/>
      <c r="C320" s="9" t="inlineStr">
        <is>
          <t>Bands D–E</t>
        </is>
      </c>
      <c r="D320" s="63" t="n"/>
      <c r="E320" s="17" t="inlineStr">
        <is>
          <t>SM-DE</t>
        </is>
      </c>
      <c r="F320" s="8">
        <f>D258</f>
        <v>37</v>
      </c>
      <c r="G320" s="8">
        <f>E258</f>
        <v>19</v>
      </c>
      <c r="H320" s="8">
        <f>F258</f>
        <v>11</v>
      </c>
      <c r="I320" s="8">
        <f>G258</f>
        <v>20</v>
      </c>
      <c r="J320" s="8">
        <f>H258</f>
        <v>5</v>
      </c>
      <c r="K320" s="8">
        <f>I258</f>
        <v>8</v>
      </c>
      <c r="L320" s="8">
        <f>SUM(F320:K320)</f>
        <v>100</v>
      </c>
      <c r="M320" s="8" t="n">
        <v>2</v>
      </c>
      <c r="N320" s="8" t="inlineStr">
        <is>
          <t>10 / 15 / 40 / 25 / 10</t>
        </is>
      </c>
    </row>
    <row r="321" ht="28" customHeight="1">
      <c r="A321" s="9" t="inlineStr">
        <is>
          <t>Sales &amp; marketing</t>
        </is>
      </c>
      <c r="B321" s="63" t="n"/>
      <c r="C321" s="9" t="inlineStr">
        <is>
          <t>Player-Coach B+ · between B and C</t>
        </is>
      </c>
      <c r="D321" s="63" t="n"/>
      <c r="E321" s="17" t="inlineStr">
        <is>
          <t>SM-PC-B+</t>
        </is>
      </c>
      <c r="F321" s="8">
        <f>D259+E269</f>
        <v>39</v>
      </c>
      <c r="G321" s="8">
        <f>E259+F269</f>
        <v>23</v>
      </c>
      <c r="H321" s="8">
        <f>F259+G269</f>
        <v>5</v>
      </c>
      <c r="I321" s="8">
        <f>G259+H269</f>
        <v>10</v>
      </c>
      <c r="J321" s="8">
        <f>H259+I269</f>
        <v>10</v>
      </c>
      <c r="K321" s="8">
        <f>I259+J269</f>
        <v>13</v>
      </c>
      <c r="L321" s="8">
        <f>SUM(F321:K321)</f>
        <v>100</v>
      </c>
      <c r="M321" s="8" t="n">
        <v>0</v>
      </c>
      <c r="N321" s="8" t="inlineStr">
        <is>
          <t>—</t>
        </is>
      </c>
    </row>
    <row r="322" ht="28" customHeight="1">
      <c r="A322" s="9" t="inlineStr">
        <is>
          <t>Sales &amp; marketing</t>
        </is>
      </c>
      <c r="B322" s="63" t="n"/>
      <c r="C322" s="9" t="inlineStr">
        <is>
          <t>Player-Coach C+ · between C and D</t>
        </is>
      </c>
      <c r="D322" s="63" t="n"/>
      <c r="E322" s="17" t="inlineStr">
        <is>
          <t>SM-PC-C+</t>
        </is>
      </c>
      <c r="F322" s="8">
        <f>D260</f>
        <v>38</v>
      </c>
      <c r="G322" s="8">
        <f>E260</f>
        <v>18</v>
      </c>
      <c r="H322" s="8">
        <f>F260</f>
        <v>11</v>
      </c>
      <c r="I322" s="8">
        <f>G260</f>
        <v>20</v>
      </c>
      <c r="J322" s="8">
        <f>H260</f>
        <v>5</v>
      </c>
      <c r="K322" s="8">
        <f>I260</f>
        <v>8</v>
      </c>
      <c r="L322" s="8">
        <f>SUM(F322:K322)</f>
        <v>100</v>
      </c>
      <c r="M322" s="8" t="n">
        <v>0</v>
      </c>
      <c r="N322" s="8" t="inlineStr">
        <is>
          <t>—</t>
        </is>
      </c>
    </row>
    <row r="323" ht="28" customHeight="1">
      <c r="A323" s="9" t="inlineStr">
        <is>
          <t>Corporate functions</t>
        </is>
      </c>
      <c r="B323" s="63" t="n"/>
      <c r="C323" s="9" t="inlineStr">
        <is>
          <t>Band A</t>
        </is>
      </c>
      <c r="D323" s="63" t="n"/>
      <c r="E323" s="17" t="inlineStr">
        <is>
          <t>CF-A</t>
        </is>
      </c>
      <c r="F323" s="8">
        <f>D253+E270</f>
        <v>54</v>
      </c>
      <c r="G323" s="8">
        <f>E253+F270</f>
        <v>16</v>
      </c>
      <c r="H323" s="8">
        <f>F253+G270</f>
        <v>9</v>
      </c>
      <c r="I323" s="8">
        <f>G253+H270</f>
        <v>0</v>
      </c>
      <c r="J323" s="8">
        <f>H253+I270</f>
        <v>15</v>
      </c>
      <c r="K323" s="8">
        <f>I253+J270</f>
        <v>6</v>
      </c>
      <c r="L323" s="8">
        <f>SUM(F323:K323)</f>
        <v>100</v>
      </c>
      <c r="M323" s="8" t="n">
        <v>10</v>
      </c>
      <c r="N323" s="8" t="inlineStr">
        <is>
          <t>30 / 15 / 25 / 0 / 30</t>
        </is>
      </c>
    </row>
    <row r="324" ht="28" customHeight="1">
      <c r="A324" s="9" t="inlineStr">
        <is>
          <t>Corporate functions</t>
        </is>
      </c>
      <c r="B324" s="63" t="n"/>
      <c r="C324" s="9" t="inlineStr">
        <is>
          <t>Band B · IC / POD Lead</t>
        </is>
      </c>
      <c r="D324" s="63" t="n"/>
      <c r="E324" s="17" t="inlineStr">
        <is>
          <t>CF-B-IC</t>
        </is>
      </c>
      <c r="F324" s="8">
        <f>D254+E270</f>
        <v>46</v>
      </c>
      <c r="G324" s="8">
        <f>E254+F270</f>
        <v>17</v>
      </c>
      <c r="H324" s="8">
        <f>F254+G270</f>
        <v>10</v>
      </c>
      <c r="I324" s="8">
        <f>G254+H270</f>
        <v>5</v>
      </c>
      <c r="J324" s="8">
        <f>H254+I270</f>
        <v>15</v>
      </c>
      <c r="K324" s="8">
        <f>I254+J270</f>
        <v>7</v>
      </c>
      <c r="L324" s="8">
        <f>SUM(F324:K324)</f>
        <v>100</v>
      </c>
      <c r="M324" s="8" t="n">
        <v>10</v>
      </c>
      <c r="N324" s="8" t="inlineStr">
        <is>
          <t>25 / 15 / 25 / 10 / 25</t>
        </is>
      </c>
    </row>
    <row r="325" ht="28" customHeight="1">
      <c r="A325" s="9" t="inlineStr">
        <is>
          <t>Corporate functions</t>
        </is>
      </c>
      <c r="B325" s="63" t="n"/>
      <c r="C325" s="9" t="inlineStr">
        <is>
          <t>Band B · People Manager</t>
        </is>
      </c>
      <c r="D325" s="63" t="n"/>
      <c r="E325" s="17" t="inlineStr">
        <is>
          <t>CF-B-M</t>
        </is>
      </c>
      <c r="F325" s="8">
        <f>D255+E270</f>
        <v>32</v>
      </c>
      <c r="G325" s="8">
        <f>E255+F270</f>
        <v>18</v>
      </c>
      <c r="H325" s="8">
        <f>F255+G270</f>
        <v>11</v>
      </c>
      <c r="I325" s="8">
        <f>G255+H270</f>
        <v>15</v>
      </c>
      <c r="J325" s="8">
        <f>H255+I270</f>
        <v>15</v>
      </c>
      <c r="K325" s="8">
        <f>I255+J270</f>
        <v>9</v>
      </c>
      <c r="L325" s="8">
        <f>SUM(F325:K325)</f>
        <v>100</v>
      </c>
      <c r="M325" s="8" t="n">
        <v>1</v>
      </c>
      <c r="N325" s="8" t="inlineStr">
        <is>
          <t>15 / 15 / 30 / 20 / 20</t>
        </is>
      </c>
    </row>
    <row r="326" ht="28" customHeight="1">
      <c r="A326" s="9" t="inlineStr">
        <is>
          <t>Corporate functions</t>
        </is>
      </c>
      <c r="B326" s="63" t="n"/>
      <c r="C326" s="9" t="inlineStr">
        <is>
          <t>Band C · Principal specialist</t>
        </is>
      </c>
      <c r="D326" s="63" t="n"/>
      <c r="E326" s="17" t="inlineStr">
        <is>
          <t>CF-C-IC</t>
        </is>
      </c>
      <c r="F326" s="8">
        <f>D256+E270</f>
        <v>49</v>
      </c>
      <c r="G326" s="8">
        <f>E256+F270</f>
        <v>18</v>
      </c>
      <c r="H326" s="8">
        <f>F256+G270</f>
        <v>10</v>
      </c>
      <c r="I326" s="8">
        <f>G256+H270</f>
        <v>5</v>
      </c>
      <c r="J326" s="8">
        <f>H256+I270</f>
        <v>10</v>
      </c>
      <c r="K326" s="8">
        <f>I256+J270</f>
        <v>8</v>
      </c>
      <c r="L326" s="8">
        <f>SUM(F326:K326)</f>
        <v>100</v>
      </c>
      <c r="M326" s="8" t="n">
        <v>1</v>
      </c>
      <c r="N326" s="8" t="inlineStr">
        <is>
          <t>25 / 15 / 35 / 10 / 15</t>
        </is>
      </c>
    </row>
    <row r="327" ht="28" customHeight="1">
      <c r="A327" s="9" t="inlineStr">
        <is>
          <t>Corporate functions</t>
        </is>
      </c>
      <c r="B327" s="63" t="n"/>
      <c r="C327" s="9" t="inlineStr">
        <is>
          <t>Band C · Head / manager</t>
        </is>
      </c>
      <c r="D327" s="63" t="n"/>
      <c r="E327" s="17" t="inlineStr">
        <is>
          <t>CF-C-M</t>
        </is>
      </c>
      <c r="F327" s="8">
        <f>D257+E270</f>
        <v>38</v>
      </c>
      <c r="G327" s="8">
        <f>E257+F270</f>
        <v>18</v>
      </c>
      <c r="H327" s="8">
        <f>F257+G270</f>
        <v>11</v>
      </c>
      <c r="I327" s="8">
        <f>G257+H270</f>
        <v>15</v>
      </c>
      <c r="J327" s="8">
        <f>H257+I270</f>
        <v>10</v>
      </c>
      <c r="K327" s="8">
        <f>I257+J270</f>
        <v>8</v>
      </c>
      <c r="L327" s="8">
        <f>SUM(F327:K327)</f>
        <v>100</v>
      </c>
      <c r="M327" s="8" t="n">
        <v>2</v>
      </c>
      <c r="N327" s="8" t="inlineStr">
        <is>
          <t>15 / 15 / 35 / 20 / 15</t>
        </is>
      </c>
    </row>
    <row r="328" ht="28" customHeight="1">
      <c r="A328" s="9" t="inlineStr">
        <is>
          <t>Corporate functions</t>
        </is>
      </c>
      <c r="B328" s="63" t="n"/>
      <c r="C328" s="9" t="inlineStr">
        <is>
          <t>Bands D–E</t>
        </is>
      </c>
      <c r="D328" s="63" t="n"/>
      <c r="E328" s="17" t="inlineStr">
        <is>
          <t>CF-DE</t>
        </is>
      </c>
      <c r="F328" s="8">
        <f>D258</f>
        <v>37</v>
      </c>
      <c r="G328" s="8">
        <f>E258</f>
        <v>19</v>
      </c>
      <c r="H328" s="8">
        <f>F258</f>
        <v>11</v>
      </c>
      <c r="I328" s="8">
        <f>G258</f>
        <v>20</v>
      </c>
      <c r="J328" s="8">
        <f>H258</f>
        <v>5</v>
      </c>
      <c r="K328" s="8">
        <f>I258</f>
        <v>8</v>
      </c>
      <c r="L328" s="8">
        <f>SUM(F328:K328)</f>
        <v>100</v>
      </c>
      <c r="M328" s="8" t="n">
        <v>2</v>
      </c>
      <c r="N328" s="8" t="inlineStr">
        <is>
          <t>10 / 15 / 40 / 25 / 10</t>
        </is>
      </c>
    </row>
    <row r="329" ht="28" customHeight="1">
      <c r="A329" s="9" t="inlineStr">
        <is>
          <t>Corporate functions</t>
        </is>
      </c>
      <c r="B329" s="63" t="n"/>
      <c r="C329" s="9" t="inlineStr">
        <is>
          <t>Player-Coach B+ · between B and C</t>
        </is>
      </c>
      <c r="D329" s="63" t="n"/>
      <c r="E329" s="17" t="inlineStr">
        <is>
          <t>CF-PC-B+</t>
        </is>
      </c>
      <c r="F329" s="8">
        <f>D259+E270</f>
        <v>39</v>
      </c>
      <c r="G329" s="8">
        <f>E259+F270</f>
        <v>18</v>
      </c>
      <c r="H329" s="8">
        <f>F259+G270</f>
        <v>10</v>
      </c>
      <c r="I329" s="8">
        <f>G259+H270</f>
        <v>10</v>
      </c>
      <c r="J329" s="8">
        <f>H259+I270</f>
        <v>15</v>
      </c>
      <c r="K329" s="8">
        <f>I259+J270</f>
        <v>8</v>
      </c>
      <c r="L329" s="8">
        <f>SUM(F329:K329)</f>
        <v>100</v>
      </c>
      <c r="M329" s="8" t="n">
        <v>0</v>
      </c>
      <c r="N329" s="8" t="inlineStr">
        <is>
          <t>—</t>
        </is>
      </c>
    </row>
    <row r="330" ht="28" customHeight="1">
      <c r="A330" s="9" t="inlineStr">
        <is>
          <t>Corporate functions</t>
        </is>
      </c>
      <c r="B330" s="63" t="n"/>
      <c r="C330" s="9" t="inlineStr">
        <is>
          <t>Player-Coach C+ · between C and D</t>
        </is>
      </c>
      <c r="D330" s="63" t="n"/>
      <c r="E330" s="17" t="inlineStr">
        <is>
          <t>CF-PC-C+</t>
        </is>
      </c>
      <c r="F330" s="8">
        <f>D260</f>
        <v>38</v>
      </c>
      <c r="G330" s="8">
        <f>E260</f>
        <v>18</v>
      </c>
      <c r="H330" s="8">
        <f>F260</f>
        <v>11</v>
      </c>
      <c r="I330" s="8">
        <f>G260</f>
        <v>20</v>
      </c>
      <c r="J330" s="8">
        <f>H260</f>
        <v>5</v>
      </c>
      <c r="K330" s="8">
        <f>I260</f>
        <v>8</v>
      </c>
      <c r="L330" s="8">
        <f>SUM(F330:K330)</f>
        <v>100</v>
      </c>
      <c r="M330" s="8" t="n">
        <v>0</v>
      </c>
      <c r="N330" s="8" t="inlineStr">
        <is>
          <t>—</t>
        </is>
      </c>
    </row>
    <row r="331" ht="28" customHeight="1">
      <c r="A331" s="9" t="inlineStr">
        <is>
          <t>General management</t>
        </is>
      </c>
      <c r="B331" s="63" t="n"/>
      <c r="C331" s="9" t="inlineStr">
        <is>
          <t>Band A</t>
        </is>
      </c>
      <c r="D331" s="63" t="n"/>
      <c r="E331" s="17" t="inlineStr">
        <is>
          <t>GM-A</t>
        </is>
      </c>
      <c r="F331" s="8">
        <f>D253+E271</f>
        <v>59</v>
      </c>
      <c r="G331" s="8">
        <f>E253+F271</f>
        <v>16</v>
      </c>
      <c r="H331" s="8">
        <f>F253+G271</f>
        <v>9</v>
      </c>
      <c r="I331" s="8">
        <f>G253+H271</f>
        <v>0</v>
      </c>
      <c r="J331" s="8">
        <f>H253+I271</f>
        <v>10</v>
      </c>
      <c r="K331" s="8">
        <f>I253+J271</f>
        <v>6</v>
      </c>
      <c r="L331" s="8">
        <f>SUM(F331:K331)</f>
        <v>100</v>
      </c>
      <c r="M331" s="8" t="n">
        <v>0</v>
      </c>
      <c r="N331" s="8" t="inlineStr">
        <is>
          <t>30 / 15 / 25 / 0 / 30</t>
        </is>
      </c>
    </row>
    <row r="332" ht="28" customHeight="1">
      <c r="A332" s="9" t="inlineStr">
        <is>
          <t>General management</t>
        </is>
      </c>
      <c r="B332" s="63" t="n"/>
      <c r="C332" s="9" t="inlineStr">
        <is>
          <t>Band B · IC / POD Lead</t>
        </is>
      </c>
      <c r="D332" s="63" t="n"/>
      <c r="E332" s="17" t="inlineStr">
        <is>
          <t>GM-B-IC</t>
        </is>
      </c>
      <c r="F332" s="8">
        <f>D254+E271</f>
        <v>51</v>
      </c>
      <c r="G332" s="8">
        <f>E254+F271</f>
        <v>17</v>
      </c>
      <c r="H332" s="8">
        <f>F254+G271</f>
        <v>10</v>
      </c>
      <c r="I332" s="8">
        <f>G254+H271</f>
        <v>5</v>
      </c>
      <c r="J332" s="8">
        <f>H254+I271</f>
        <v>10</v>
      </c>
      <c r="K332" s="8">
        <f>I254+J271</f>
        <v>7</v>
      </c>
      <c r="L332" s="8">
        <f>SUM(F332:K332)</f>
        <v>100</v>
      </c>
      <c r="M332" s="8" t="n">
        <v>0</v>
      </c>
      <c r="N332" s="8" t="inlineStr">
        <is>
          <t>25 / 15 / 25 / 10 / 25</t>
        </is>
      </c>
    </row>
    <row r="333" ht="28" customHeight="1">
      <c r="A333" s="9" t="inlineStr">
        <is>
          <t>General management</t>
        </is>
      </c>
      <c r="B333" s="63" t="n"/>
      <c r="C333" s="9" t="inlineStr">
        <is>
          <t>Band B · People Manager</t>
        </is>
      </c>
      <c r="D333" s="63" t="n"/>
      <c r="E333" s="17" t="inlineStr">
        <is>
          <t>GM-B-M</t>
        </is>
      </c>
      <c r="F333" s="8">
        <f>D255+E271</f>
        <v>37</v>
      </c>
      <c r="G333" s="8">
        <f>E255+F271</f>
        <v>18</v>
      </c>
      <c r="H333" s="8">
        <f>F255+G271</f>
        <v>11</v>
      </c>
      <c r="I333" s="8">
        <f>G255+H271</f>
        <v>15</v>
      </c>
      <c r="J333" s="8">
        <f>H255+I271</f>
        <v>10</v>
      </c>
      <c r="K333" s="8">
        <f>I255+J271</f>
        <v>9</v>
      </c>
      <c r="L333" s="8">
        <f>SUM(F333:K333)</f>
        <v>100</v>
      </c>
      <c r="M333" s="8" t="n">
        <v>0</v>
      </c>
      <c r="N333" s="8" t="inlineStr">
        <is>
          <t>15 / 15 / 30 / 20 / 20</t>
        </is>
      </c>
    </row>
    <row r="334" ht="28" customHeight="1">
      <c r="A334" s="9" t="inlineStr">
        <is>
          <t>General management</t>
        </is>
      </c>
      <c r="B334" s="63" t="n"/>
      <c r="C334" s="9" t="inlineStr">
        <is>
          <t>Band C · Principal specialist</t>
        </is>
      </c>
      <c r="D334" s="63" t="n"/>
      <c r="E334" s="17" t="inlineStr">
        <is>
          <t>GM-C-IC</t>
        </is>
      </c>
      <c r="F334" s="8">
        <f>D256+E271</f>
        <v>54</v>
      </c>
      <c r="G334" s="8">
        <f>E256+F271</f>
        <v>18</v>
      </c>
      <c r="H334" s="8">
        <f>F256+G271</f>
        <v>10</v>
      </c>
      <c r="I334" s="8">
        <f>G256+H271</f>
        <v>5</v>
      </c>
      <c r="J334" s="8">
        <f>H256+I271</f>
        <v>5</v>
      </c>
      <c r="K334" s="8">
        <f>I256+J271</f>
        <v>8</v>
      </c>
      <c r="L334" s="8">
        <f>SUM(F334:K334)</f>
        <v>100</v>
      </c>
      <c r="M334" s="8" t="n">
        <v>0</v>
      </c>
      <c r="N334" s="8" t="inlineStr">
        <is>
          <t>25 / 15 / 35 / 15 / 10</t>
        </is>
      </c>
    </row>
    <row r="335" ht="28" customHeight="1">
      <c r="A335" s="9" t="inlineStr">
        <is>
          <t>General management</t>
        </is>
      </c>
      <c r="B335" s="63" t="n"/>
      <c r="C335" s="9" t="inlineStr">
        <is>
          <t>Band C · Head / manager</t>
        </is>
      </c>
      <c r="D335" s="63" t="n"/>
      <c r="E335" s="17" t="inlineStr">
        <is>
          <t>GM-C-M</t>
        </is>
      </c>
      <c r="F335" s="8">
        <f>D257+E271</f>
        <v>43</v>
      </c>
      <c r="G335" s="8">
        <f>E257+F271</f>
        <v>18</v>
      </c>
      <c r="H335" s="8">
        <f>F257+G271</f>
        <v>11</v>
      </c>
      <c r="I335" s="8">
        <f>G257+H271</f>
        <v>15</v>
      </c>
      <c r="J335" s="8">
        <f>H257+I271</f>
        <v>5</v>
      </c>
      <c r="K335" s="8">
        <f>I257+J271</f>
        <v>8</v>
      </c>
      <c r="L335" s="8">
        <f>SUM(F335:K335)</f>
        <v>100</v>
      </c>
      <c r="M335" s="8" t="n">
        <v>0</v>
      </c>
      <c r="N335" s="8" t="inlineStr">
        <is>
          <t>15 / 15 / 35 / 25 / 10</t>
        </is>
      </c>
    </row>
    <row r="336" ht="28" customHeight="1">
      <c r="A336" s="9" t="inlineStr">
        <is>
          <t>General management</t>
        </is>
      </c>
      <c r="B336" s="63" t="n"/>
      <c r="C336" s="9" t="inlineStr">
        <is>
          <t>Bands D–E</t>
        </is>
      </c>
      <c r="D336" s="63" t="n"/>
      <c r="E336" s="17" t="inlineStr">
        <is>
          <t>GM-DE</t>
        </is>
      </c>
      <c r="F336" s="8">
        <f>D258</f>
        <v>37</v>
      </c>
      <c r="G336" s="8">
        <f>E258</f>
        <v>19</v>
      </c>
      <c r="H336" s="8">
        <f>F258</f>
        <v>11</v>
      </c>
      <c r="I336" s="8">
        <f>G258</f>
        <v>20</v>
      </c>
      <c r="J336" s="8">
        <f>H258</f>
        <v>5</v>
      </c>
      <c r="K336" s="8">
        <f>I258</f>
        <v>8</v>
      </c>
      <c r="L336" s="8">
        <f>SUM(F336:K336)</f>
        <v>100</v>
      </c>
      <c r="M336" s="8" t="n">
        <v>5</v>
      </c>
      <c r="N336" s="8" t="inlineStr">
        <is>
          <t>10 / 15 / 40 / 25 / 10</t>
        </is>
      </c>
    </row>
    <row r="337" ht="28" customHeight="1">
      <c r="A337" s="9" t="inlineStr">
        <is>
          <t>General management</t>
        </is>
      </c>
      <c r="B337" s="63" t="n"/>
      <c r="C337" s="9" t="inlineStr">
        <is>
          <t>Player-Coach B+ · between B and C</t>
        </is>
      </c>
      <c r="D337" s="63" t="n"/>
      <c r="E337" s="17" t="inlineStr">
        <is>
          <t>GM-PC-B+</t>
        </is>
      </c>
      <c r="F337" s="8">
        <f>D259+E271</f>
        <v>44</v>
      </c>
      <c r="G337" s="8">
        <f>E259+F271</f>
        <v>18</v>
      </c>
      <c r="H337" s="8">
        <f>F259+G271</f>
        <v>10</v>
      </c>
      <c r="I337" s="8">
        <f>G259+H271</f>
        <v>10</v>
      </c>
      <c r="J337" s="8">
        <f>H259+I271</f>
        <v>10</v>
      </c>
      <c r="K337" s="8">
        <f>I259+J271</f>
        <v>8</v>
      </c>
      <c r="L337" s="8">
        <f>SUM(F337:K337)</f>
        <v>100</v>
      </c>
      <c r="M337" s="8" t="n">
        <v>0</v>
      </c>
      <c r="N337" s="8" t="inlineStr">
        <is>
          <t>—</t>
        </is>
      </c>
    </row>
    <row r="338" ht="28" customHeight="1">
      <c r="A338" s="9" t="inlineStr">
        <is>
          <t>General management</t>
        </is>
      </c>
      <c r="B338" s="63" t="n"/>
      <c r="C338" s="9" t="inlineStr">
        <is>
          <t>Player-Coach C+ · between C and D</t>
        </is>
      </c>
      <c r="D338" s="63" t="n"/>
      <c r="E338" s="17" t="inlineStr">
        <is>
          <t>GM-PC-C+</t>
        </is>
      </c>
      <c r="F338" s="8">
        <f>D260</f>
        <v>38</v>
      </c>
      <c r="G338" s="8">
        <f>E260</f>
        <v>18</v>
      </c>
      <c r="H338" s="8">
        <f>F260</f>
        <v>11</v>
      </c>
      <c r="I338" s="8">
        <f>G260</f>
        <v>20</v>
      </c>
      <c r="J338" s="8">
        <f>H260</f>
        <v>5</v>
      </c>
      <c r="K338" s="8">
        <f>I260</f>
        <v>8</v>
      </c>
      <c r="L338" s="8">
        <f>SUM(F338:K338)</f>
        <v>100</v>
      </c>
      <c r="M338" s="8" t="n">
        <v>0</v>
      </c>
      <c r="N338" s="8" t="inlineStr">
        <is>
          <t>—</t>
        </is>
      </c>
    </row>
    <row r="339" ht="15" customHeight="1"/>
    <row r="340" ht="15" customHeight="1">
      <c r="A340" s="7" t="inlineStr">
        <is>
          <t>Validation of the weight model</t>
        </is>
      </c>
      <c r="B340" s="64" t="n"/>
      <c r="C340" s="63" t="n"/>
      <c r="D340" s="7" t="inlineStr">
        <is>
          <t>Result</t>
        </is>
      </c>
      <c r="E340" s="64" t="n"/>
      <c r="F340" s="64" t="n"/>
      <c r="G340" s="64" t="n"/>
      <c r="H340" s="64" t="n"/>
      <c r="I340" s="64" t="n"/>
      <c r="J340" s="64" t="n"/>
      <c r="K340" s="64" t="n"/>
      <c r="L340" s="64" t="n"/>
      <c r="M340" s="64" t="n"/>
      <c r="N340" s="63" t="n"/>
    </row>
    <row r="341" ht="28" customHeight="1">
      <c r="A341" s="14" t="inlineStr">
        <is>
          <t>Reproduction test</t>
        </is>
      </c>
      <c r="B341" s="64" t="n"/>
      <c r="C341" s="63" t="n"/>
      <c r="D341" s="9" t="inlineStr">
        <is>
          <t>With the v1 weights, the engine reproduces all 587 v1 placements, so rules R1–R9 are exactly the v1 rules made explicit; R10 · the Player-Coach transition step is the one new rule.</t>
        </is>
      </c>
      <c r="E341" s="64" t="n"/>
      <c r="F341" s="64" t="n"/>
      <c r="G341" s="64" t="n"/>
      <c r="H341" s="64" t="n"/>
      <c r="I341" s="64" t="n"/>
      <c r="J341" s="64" t="n"/>
      <c r="K341" s="64" t="n"/>
      <c r="L341" s="64" t="n"/>
      <c r="M341" s="64" t="n"/>
      <c r="N341" s="63" t="n"/>
    </row>
    <row r="342" ht="28" customHeight="1">
      <c r="A342" s="14" t="inlineStr">
        <is>
          <t>Consistency</t>
        </is>
      </c>
      <c r="B342" s="64" t="n"/>
      <c r="C342" s="63" t="n"/>
      <c r="D342" s="9" t="inlineStr">
        <is>
          <t>48 of 48 v1 weight sets did not follow one rule. All sets are now derived from W1 + W2.</t>
        </is>
      </c>
      <c r="E342" s="64" t="n"/>
      <c r="F342" s="64" t="n"/>
      <c r="G342" s="64" t="n"/>
      <c r="H342" s="64" t="n"/>
      <c r="I342" s="64" t="n"/>
      <c r="J342" s="64" t="n"/>
      <c r="K342" s="64" t="n"/>
      <c r="L342" s="64" t="n"/>
      <c r="M342" s="64" t="n"/>
      <c r="N342" s="63" t="n"/>
    </row>
    <row r="343" ht="67" customHeight="1">
      <c r="A343" s="14" t="inlineStr">
        <is>
          <t>Impact on people</t>
        </is>
      </c>
      <c r="B343" s="64" t="n"/>
      <c r="C343" s="63" t="n"/>
      <c r="D343" s="9" t="inlineStr">
        <is>
          <t>54 people change level under the derived weights: 1 in CARBON, D1 → D2; 1 in CARBON, D2 → D1; 2 in CARBON, B2 → B1; 1 in CARBON, X2 → X3; 5 in CARBON, B3 → B2; 3 in CARBON, B1 → A3; 1 in CARBON, B1 → B2; 9 in iFile, B3 → B2; 7 in iFile, B1 → A3; 1 in iFile, E1 → X3; 1 in iFile, D1 → D2; 3 in iFile, C1 → B+; 1 in iFile, C1 → B3; 2 in iFile, B3 → B+; 4 in iFile, B2 → B1; 2 in iDEAL, B2 → B1; 1 in iDEAL, B3 → B+; 2 in iDEAL, B1 → A3; 1 in Datatech, D1 → D2; 1 in Datatech, B1 → B2; 1 in Consume, B1 → A3; 1 in Corporate, B2 → B3; 1 in Corporate, B3 → B2; 1 in Corporate, B2 → B1; 1 in Corporate, B1 → A3. Everyone else is unchanged.</t>
        </is>
      </c>
      <c r="E343" s="64" t="n"/>
      <c r="F343" s="64" t="n"/>
      <c r="G343" s="64" t="n"/>
      <c r="H343" s="64" t="n"/>
      <c r="I343" s="64" t="n"/>
      <c r="J343" s="64" t="n"/>
      <c r="K343" s="64" t="n"/>
      <c r="L343" s="64" t="n"/>
      <c r="M343" s="64" t="n"/>
      <c r="N343" s="63" t="n"/>
    </row>
    <row r="344" ht="28" customHeight="1">
      <c r="A344" s="14" t="inlineStr">
        <is>
          <t>Sensitivity</t>
        </is>
      </c>
      <c r="B344" s="64" t="n"/>
      <c r="C344" s="63" t="n"/>
      <c r="D344" s="9" t="inlineStr">
        <is>
          <t>38 close calls · score within ±0.05 of a rounding point, and the score decided the level and 30 near a gate · a rule set the level; within a quarter-point of its threshold — the calibration lists.</t>
        </is>
      </c>
      <c r="E344" s="64" t="n"/>
      <c r="F344" s="64" t="n"/>
      <c r="G344" s="64" t="n"/>
      <c r="H344" s="64" t="n"/>
      <c r="I344" s="64" t="n"/>
      <c r="J344" s="64" t="n"/>
      <c r="K344" s="64" t="n"/>
      <c r="L344" s="64" t="n"/>
      <c r="M344" s="64" t="n"/>
      <c r="N344" s="63" t="n"/>
    </row>
    <row r="345" ht="28" customHeight="1">
      <c r="A345" s="14" t="inlineStr">
        <is>
          <t>Traceability</t>
        </is>
      </c>
      <c r="B345" s="64" t="n"/>
      <c r="C345" s="63" t="n"/>
      <c r="D345" s="9" t="inlineStr">
        <is>
          <t>134 people sit at a level different from the one their score indicates; every one of them has the rule that moved them recorded, in plain words on sheet 2. None is unexplained.</t>
        </is>
      </c>
      <c r="E345" s="64" t="n"/>
      <c r="F345" s="64" t="n"/>
      <c r="G345" s="64" t="n"/>
      <c r="H345" s="64" t="n"/>
      <c r="I345" s="64" t="n"/>
      <c r="J345" s="64" t="n"/>
      <c r="K345" s="64" t="n"/>
      <c r="L345" s="64" t="n"/>
      <c r="M345" s="64" t="n"/>
      <c r="N345" s="63" t="n"/>
    </row>
    <row r="346" ht="15" customHeight="1"/>
    <row r="347" ht="20" customHeight="1">
      <c r="A347" s="6" t="inlineStr">
        <is>
          <t>M8. Placement rules — applied in this order for every person</t>
        </is>
      </c>
    </row>
    <row r="348" ht="41" customHeight="1">
      <c r="A348" s="7" t="inlineStr">
        <is>
          <t>ID</t>
        </is>
      </c>
      <c r="B348" s="7" t="inlineStr">
        <is>
          <t>Rule</t>
        </is>
      </c>
      <c r="C348" s="64" t="n"/>
      <c r="D348" s="64" t="n"/>
      <c r="E348" s="64" t="n"/>
      <c r="F348" s="64" t="n"/>
      <c r="G348" s="64" t="n"/>
      <c r="H348" s="64" t="n"/>
      <c r="I348" s="64" t="n"/>
      <c r="J348" s="63" t="n"/>
      <c r="K348" s="7" t="inlineStr">
        <is>
          <t>Source / justification</t>
        </is>
      </c>
      <c r="L348" s="64" t="n"/>
      <c r="M348" s="63" t="n"/>
      <c r="N348" s="7" t="inlineStr">
        <is>
          <t>People affected · enterprise</t>
        </is>
      </c>
    </row>
    <row r="349" ht="15" customHeight="1">
      <c r="A349" s="14" t="inlineStr">
        <is>
          <t>R1</t>
        </is>
      </c>
      <c r="B349" s="9" t="inlineStr">
        <is>
          <r>
            <rPr>
              <rFont val="Calibri"/>
              <b val="1"/>
              <sz val="10"/>
            </rPr>
            <t>Category rule:</t>
          </r>
          <r>
            <rPr>
              <rFont val="Calibri"/>
              <sz val="10"/>
            </rPr>
            <t xml:space="preserve"> interns and trainees in their first year at IRIS → A1; consultants → X1–X3 · outside the ladder</t>
          </r>
        </is>
      </c>
      <c r="C349" s="64" t="n"/>
      <c r="D349" s="64" t="n"/>
      <c r="E349" s="64" t="n"/>
      <c r="F349" s="64" t="n"/>
      <c r="G349" s="64" t="n"/>
      <c r="H349" s="64" t="n"/>
      <c r="I349" s="64" t="n"/>
      <c r="J349" s="63" t="n"/>
      <c r="K349" s="9" t="inlineStr">
        <is>
          <t>S38; G4</t>
        </is>
      </c>
      <c r="L349" s="64" t="n"/>
      <c r="M349" s="63" t="n"/>
      <c r="N349" s="8" t="n">
        <v>44</v>
      </c>
    </row>
    <row r="350" ht="15" customHeight="1">
      <c r="A350" s="14" t="inlineStr">
        <is>
          <t>R2</t>
        </is>
      </c>
      <c r="B350" s="9" t="inlineStr">
        <is>
          <r>
            <rPr>
              <rFont val="Calibri"/>
              <b val="1"/>
              <sz val="10"/>
            </rPr>
            <t>Provisional:</t>
          </r>
          <r>
            <rPr>
              <rFont val="Calibri"/>
              <sz val="10"/>
            </rPr>
            <t xml:space="preserve"> experience to be confirmed by HR — level kept until confirmed</t>
          </r>
        </is>
      </c>
      <c r="C350" s="64" t="n"/>
      <c r="D350" s="64" t="n"/>
      <c r="E350" s="64" t="n"/>
      <c r="F350" s="64" t="n"/>
      <c r="G350" s="64" t="n"/>
      <c r="H350" s="64" t="n"/>
      <c r="I350" s="64" t="n"/>
      <c r="J350" s="63" t="n"/>
      <c r="K350" s="9" t="inlineStr">
        <is>
          <t>D3</t>
        </is>
      </c>
      <c r="L350" s="64" t="n"/>
      <c r="M350" s="63" t="n"/>
      <c r="N350" s="8" t="n">
        <v>9</v>
      </c>
    </row>
    <row r="351" ht="28" customHeight="1">
      <c r="A351" s="14" t="inlineStr">
        <is>
          <t>R3</t>
        </is>
      </c>
      <c r="B351" s="9" t="inlineStr">
        <is>
          <t>Weighted score on each band's own weights; the person sits in the highest band where the score holds, rounded to the nearest level</t>
        </is>
      </c>
      <c r="C351" s="64" t="n"/>
      <c r="D351" s="64" t="n"/>
      <c r="E351" s="64" t="n"/>
      <c r="F351" s="64" t="n"/>
      <c r="G351" s="64" t="n"/>
      <c r="H351" s="64" t="n"/>
      <c r="I351" s="64" t="n"/>
      <c r="J351" s="63" t="n"/>
      <c r="K351" s="9" t="inlineStr">
        <is>
          <t>S05, S04, S07</t>
        </is>
      </c>
      <c r="L351" s="64" t="n"/>
      <c r="M351" s="63" t="n"/>
      <c r="N351" s="8" t="n">
        <v>540</v>
      </c>
    </row>
    <row r="352" ht="28" customHeight="1">
      <c r="A352" s="14" t="inlineStr">
        <is>
          <t>R4</t>
        </is>
      </c>
      <c r="B352" s="9" t="inlineStr">
        <is>
          <r>
            <rPr>
              <rFont val="Calibri"/>
              <b val="1"/>
              <sz val="10"/>
            </rPr>
            <t>Role-substance limit:</t>
          </r>
          <r>
            <rPr>
              <rFont val="Calibri"/>
              <sz val="10"/>
            </rPr>
            <t xml:space="preserve"> at most one level above what Complexity and Accountability show · this is the Band B gate at B1; people managers exempt — the reporting structure is the evidence</t>
          </r>
        </is>
      </c>
      <c r="C352" s="64" t="n"/>
      <c r="D352" s="64" t="n"/>
      <c r="E352" s="64" t="n"/>
      <c r="F352" s="64" t="n"/>
      <c r="G352" s="64" t="n"/>
      <c r="H352" s="64" t="n"/>
      <c r="I352" s="64" t="n"/>
      <c r="J352" s="63" t="n"/>
      <c r="K352" s="9" t="inlineStr">
        <is>
          <t>P7; S05 · know-how never outweighs the role</t>
        </is>
      </c>
      <c r="L352" s="64" t="n"/>
      <c r="M352" s="63" t="n"/>
      <c r="N352" s="8" t="n">
        <v>6</v>
      </c>
    </row>
    <row r="353" ht="41" customHeight="1">
      <c r="A353" s="14" t="inlineStr">
        <is>
          <t>R5</t>
        </is>
      </c>
      <c r="B353" s="9" t="inlineStr">
        <is>
          <r>
            <rPr>
              <rFont val="Calibri"/>
              <b val="1"/>
              <sz val="10"/>
            </rPr>
            <t>Structural gate:</t>
          </r>
          <r>
            <rPr>
              <rFont val="Calibri"/>
              <sz val="10"/>
            </rPr>
            <t xml:space="preserve"> C1+ needs a function / sub-function or principal authority, C2 a function or company-wide discipline, D a business line, E an enterprise mandate, B3 on the manager track team leads or 10+ people — evidenced by the org chart</t>
          </r>
        </is>
      </c>
      <c r="C353" s="64" t="n"/>
      <c r="D353" s="64" t="n"/>
      <c r="E353" s="64" t="n"/>
      <c r="F353" s="64" t="n"/>
      <c r="G353" s="64" t="n"/>
      <c r="H353" s="64" t="n"/>
      <c r="I353" s="64" t="n"/>
      <c r="J353" s="63" t="n"/>
      <c r="K353" s="9" t="inlineStr">
        <is>
          <t>S07 · banding before grading, S03, S09</t>
        </is>
      </c>
      <c r="L353" s="64" t="n"/>
      <c r="M353" s="63" t="n"/>
      <c r="N353" s="8" t="n">
        <v>8</v>
      </c>
    </row>
    <row r="354" ht="15" customHeight="1">
      <c r="A354" s="14" t="inlineStr">
        <is>
          <t>R6</t>
        </is>
      </c>
      <c r="B354" s="9" t="inlineStr">
        <is>
          <r>
            <rPr>
              <rFont val="Calibri"/>
              <b val="1"/>
              <sz val="10"/>
            </rPr>
            <t>Top of band:</t>
          </r>
          <r>
            <rPr>
              <rFont val="Calibri"/>
              <sz val="10"/>
            </rPr>
            <t xml:space="preserve"> the score passes the band but does not hold on the next band's weights</t>
          </r>
        </is>
      </c>
      <c r="C354" s="64" t="n"/>
      <c r="D354" s="64" t="n"/>
      <c r="E354" s="64" t="n"/>
      <c r="F354" s="64" t="n"/>
      <c r="G354" s="64" t="n"/>
      <c r="H354" s="64" t="n"/>
      <c r="I354" s="64" t="n"/>
      <c r="J354" s="63" t="n"/>
      <c r="K354" s="9" t="inlineStr">
        <is>
          <t>S07</t>
        </is>
      </c>
      <c r="L354" s="64" t="n"/>
      <c r="M354" s="63" t="n"/>
      <c r="N354" s="8" t="n">
        <v>21</v>
      </c>
    </row>
    <row r="355" ht="28" customHeight="1">
      <c r="A355" s="14" t="inlineStr">
        <is>
          <t>R7</t>
        </is>
      </c>
      <c r="B355" s="9" t="inlineStr">
        <is>
          <r>
            <rPr>
              <rFont val="Calibri"/>
              <b val="1"/>
              <sz val="10"/>
            </rPr>
            <t>Band A experience rule:</t>
          </r>
          <r>
            <rPr>
              <rFont val="Calibri"/>
              <sz val="10"/>
            </rPr>
            <t xml:space="preserve"> under 1 yr → A2 at most; 2+ yrs → A3 · still subject to R4; between 1 and 2 yrs the score decides</t>
          </r>
        </is>
      </c>
      <c r="C355" s="64" t="n"/>
      <c r="D355" s="64" t="n"/>
      <c r="E355" s="64" t="n"/>
      <c r="F355" s="64" t="n"/>
      <c r="G355" s="64" t="n"/>
      <c r="H355" s="64" t="n"/>
      <c r="I355" s="64" t="n"/>
      <c r="J355" s="63" t="n"/>
      <c r="K355" s="9" t="inlineStr">
        <is>
          <t>S33, S35 · entry 0–2 / 2–5 yrs</t>
        </is>
      </c>
      <c r="L355" s="64" t="n"/>
      <c r="M355" s="63" t="n"/>
      <c r="N355" s="8" t="n">
        <v>97</v>
      </c>
    </row>
    <row r="356" ht="28" customHeight="1">
      <c r="A356" s="14" t="inlineStr">
        <is>
          <t>R8</t>
        </is>
      </c>
      <c r="B356" s="9" t="inlineStr">
        <is>
          <r>
            <rPr>
              <rFont val="Calibri"/>
              <b val="1"/>
              <sz val="10"/>
            </rPr>
            <t>Experience limit:</t>
          </r>
          <r>
            <rPr>
              <rFont val="Calibri"/>
              <sz val="10"/>
            </rPr>
            <t xml:space="preserve"> in Bands A–B at most one level above the experience-fit level · people managers exempt — structure is the proof</t>
          </r>
        </is>
      </c>
      <c r="C356" s="64" t="n"/>
      <c r="D356" s="64" t="n"/>
      <c r="E356" s="64" t="n"/>
      <c r="F356" s="64" t="n"/>
      <c r="G356" s="64" t="n"/>
      <c r="H356" s="64" t="n"/>
      <c r="I356" s="64" t="n"/>
      <c r="J356" s="63" t="n"/>
      <c r="K356" s="9" t="inlineStr">
        <is>
          <t>P7; S01</t>
        </is>
      </c>
      <c r="L356" s="64" t="n"/>
      <c r="M356" s="63" t="n"/>
      <c r="N356" s="8" t="n">
        <v>0</v>
      </c>
    </row>
    <row r="357" ht="15" customHeight="1">
      <c r="A357" s="14" t="inlineStr">
        <is>
          <t>R9</t>
        </is>
      </c>
      <c r="B357" s="9" t="inlineStr">
        <is>
          <r>
            <rPr>
              <rFont val="Calibri"/>
              <b val="1"/>
              <sz val="10"/>
            </rPr>
            <t>Track minimum:</t>
          </r>
          <r>
            <rPr>
              <rFont val="Calibri"/>
              <sz val="10"/>
            </rPr>
            <t xml:space="preserve"> POD Leads and People Managers sit at B1 or above</t>
          </r>
        </is>
      </c>
      <c r="C357" s="64" t="n"/>
      <c r="D357" s="64" t="n"/>
      <c r="E357" s="64" t="n"/>
      <c r="F357" s="64" t="n"/>
      <c r="G357" s="64" t="n"/>
      <c r="H357" s="64" t="n"/>
      <c r="I357" s="64" t="n"/>
      <c r="J357" s="63" t="n"/>
      <c r="K357" s="9" t="inlineStr">
        <is>
          <t>K3, K4; S03</t>
        </is>
      </c>
      <c r="L357" s="64" t="n"/>
      <c r="M357" s="63" t="n"/>
      <c r="N357" s="8" t="n">
        <v>6</v>
      </c>
    </row>
    <row r="358" ht="67" customHeight="1">
      <c r="A358" s="14" t="inlineStr">
        <is>
          <t>R10</t>
        </is>
      </c>
      <c r="B358" s="9" t="inlineStr">
        <is>
          <r>
            <rPr>
              <rFont val="Calibri"/>
              <b val="1"/>
              <sz val="10"/>
            </rPr>
            <t>Player-Coach transition step:</t>
          </r>
          <r>
            <rPr>
              <rFont val="Calibri"/>
              <sz val="10"/>
            </rPr>
            <t xml:space="preserve"> at B3 or C2, a person who leads people while still delivering hands-on work moves to the Player-Coach transition step above · B+, between B3 and C1; C+, between C2 and D1 when the score on the Player-Coach weights reaches 6.25 for B+ / 8.25 for C+ and the Complexity–Accountability average reaches 5.5 / 7.5. A shortfall of up to 0.15 on either is accepted · tolerance, and a span outside the norm · B+ 3–6, C+ 4–8 direct reports is flagged, never blocking; both go to calibration. The next band's structural gate is not needed</t>
          </r>
        </is>
      </c>
      <c r="C358" s="64" t="n"/>
      <c r="D358" s="64" t="n"/>
      <c r="E358" s="64" t="n"/>
      <c r="F358" s="64" t="n"/>
      <c r="G358" s="64" t="n"/>
      <c r="H358" s="64" t="n"/>
      <c r="I358" s="64" t="n"/>
      <c r="J358" s="63" t="n"/>
      <c r="K358" s="9" t="inlineStr">
        <is>
          <t>K6; S09, S44, S45</t>
        </is>
      </c>
      <c r="L358" s="64" t="n"/>
      <c r="M358" s="63" t="n"/>
      <c r="N358" s="8" t="n">
        <v>6</v>
      </c>
    </row>
    <row r="359" ht="28" customHeight="1">
      <c r="A359" s="14" t="inlineStr">
        <is>
          <t>R11</t>
        </is>
      </c>
      <c r="B359" s="9" t="inlineStr">
        <is>
          <r>
            <rPr>
              <rFont val="Calibri"/>
              <b val="1"/>
              <sz val="10"/>
            </rPr>
            <t>Leadership decision:</t>
          </r>
          <r>
            <rPr>
              <rFont val="Calibri"/>
              <sz val="10"/>
            </rPr>
            <t xml:space="preserve"> the level is set by the approved leadership structure · validated input in inputs/overrides.csv, field 'Approved level'</t>
          </r>
        </is>
      </c>
      <c r="C359" s="64" t="n"/>
      <c r="D359" s="64" t="n"/>
      <c r="E359" s="64" t="n"/>
      <c r="F359" s="64" t="n"/>
      <c r="G359" s="64" t="n"/>
      <c r="H359" s="64" t="n"/>
      <c r="I359" s="64" t="n"/>
      <c r="J359" s="63" t="n"/>
      <c r="K359" s="9" t="inlineStr">
        <is>
          <t>Governance V2–V3; HR / leadership review of 9 Oct 2026</t>
        </is>
      </c>
      <c r="L359" s="64" t="n"/>
      <c r="M359" s="63" t="n"/>
      <c r="N359" s="8" t="n">
        <v>5</v>
      </c>
    </row>
    <row r="360" ht="28" customHeight="1">
      <c r="A360" s="14" t="inlineStr">
        <is>
          <t>R12</t>
        </is>
      </c>
      <c r="B360" s="9" t="inlineStr">
        <is>
          <t>Reporting-line cap in Bands D–E: no one sits above their reporting manager's level</t>
        </is>
      </c>
      <c r="C360" s="64" t="n"/>
      <c r="D360" s="64" t="n"/>
      <c r="E360" s="64" t="n"/>
      <c r="F360" s="64" t="n"/>
      <c r="G360" s="64" t="n"/>
      <c r="H360" s="64" t="n"/>
      <c r="I360" s="64" t="n"/>
      <c r="J360" s="63" t="n"/>
      <c r="K360" s="9" t="inlineStr">
        <is>
          <t>Reporting line · HRIS; HR / leadership review of 9 Oct 2026</t>
        </is>
      </c>
      <c r="L360" s="64" t="n"/>
      <c r="M360" s="63" t="n"/>
      <c r="N360" s="8" t="n">
        <v>0</v>
      </c>
    </row>
    <row r="361" ht="28" customHeight="1">
      <c r="A361" s="14" t="inlineStr">
        <is>
          <t>R13</t>
        </is>
      </c>
      <c r="B361" s="9" t="inlineStr">
        <is>
          <r>
            <rPr>
              <rFont val="Calibri"/>
              <b val="1"/>
              <sz val="10"/>
            </rPr>
            <t>Reports to the top:</t>
          </r>
          <r>
            <rPr>
              <rFont val="Calibri"/>
              <sz val="10"/>
            </rPr>
            <t xml:space="preserve"> anyone in Band D who reports directly to an E1 or E2 sits at D2</t>
          </r>
        </is>
      </c>
      <c r="C361" s="64" t="n"/>
      <c r="D361" s="64" t="n"/>
      <c r="E361" s="64" t="n"/>
      <c r="F361" s="64" t="n"/>
      <c r="G361" s="64" t="n"/>
      <c r="H361" s="64" t="n"/>
      <c r="I361" s="64" t="n"/>
      <c r="J361" s="63" t="n"/>
      <c r="K361" s="9" t="inlineStr">
        <is>
          <t>Reporting line · HRIS; HR / leadership decision of 9 Oct 2026</t>
        </is>
      </c>
      <c r="L361" s="64" t="n"/>
      <c r="M361" s="63" t="n"/>
      <c r="N361" s="8" t="n">
        <v>1</v>
      </c>
    </row>
    <row r="362" ht="15" customHeight="1"/>
    <row r="363" ht="20" customHeight="1">
      <c r="A363" s="6" t="inlineStr">
        <is>
          <t>M9. Title model</t>
        </is>
      </c>
    </row>
    <row r="364" ht="15" customHeight="1">
      <c r="A364" s="7" t="inlineStr">
        <is>
          <t>ID</t>
        </is>
      </c>
      <c r="B364" s="7" t="inlineStr">
        <is>
          <t>Rule</t>
        </is>
      </c>
      <c r="C364" s="64" t="n"/>
      <c r="D364" s="64" t="n"/>
      <c r="E364" s="64" t="n"/>
      <c r="F364" s="64" t="n"/>
      <c r="G364" s="64" t="n"/>
      <c r="H364" s="64" t="n"/>
      <c r="I364" s="64" t="n"/>
      <c r="J364" s="64" t="n"/>
      <c r="K364" s="64" t="n"/>
      <c r="L364" s="63" t="n"/>
      <c r="M364" s="7" t="inlineStr">
        <is>
          <t>Sources</t>
        </is>
      </c>
      <c r="N364" s="63" t="n"/>
    </row>
    <row r="365" ht="54" customHeight="1">
      <c r="A365" s="14" t="inlineStr">
        <is>
          <t>N1</t>
        </is>
      </c>
      <c r="B365" s="9" t="inlineStr">
        <is>
          <t>Title = level marker + role noun of the sub-family. Level markers: A1 Trainee / Intern · A2 none · A3 Senior · B1 Specialist · IC / Team Lead · M · B2 Senior Specialist / Manager · B3 Lead / Senior Manager · C1 Principal / Associate Head · C2 Senior Principal or Architect / Head · D1 Associate Vice President / Business Head · D2 Vice President · E1 Chief … Officer / President · E2 Chief Executive Officer.</t>
        </is>
      </c>
      <c r="C365" s="64" t="n"/>
      <c r="D365" s="64" t="n"/>
      <c r="E365" s="64" t="n"/>
      <c r="F365" s="64" t="n"/>
      <c r="G365" s="64" t="n"/>
      <c r="H365" s="64" t="n"/>
      <c r="I365" s="64" t="n"/>
      <c r="J365" s="64" t="n"/>
      <c r="K365" s="64" t="n"/>
      <c r="L365" s="63" t="n"/>
      <c r="M365" s="9" t="inlineStr">
        <is>
          <t>S01, S36, S37</t>
        </is>
      </c>
      <c r="N365" s="63" t="n"/>
    </row>
    <row r="366" ht="15" customHeight="1">
      <c r="A366" s="14" t="inlineStr">
        <is>
          <t>N2</t>
        </is>
      </c>
      <c r="B366" s="9" t="inlineStr">
        <is>
          <t>POD Leads keep their IC title and add "– POD Lead".</t>
        </is>
      </c>
      <c r="C366" s="64" t="n"/>
      <c r="D366" s="64" t="n"/>
      <c r="E366" s="64" t="n"/>
      <c r="F366" s="64" t="n"/>
      <c r="G366" s="64" t="n"/>
      <c r="H366" s="64" t="n"/>
      <c r="I366" s="64" t="n"/>
      <c r="J366" s="64" t="n"/>
      <c r="K366" s="64" t="n"/>
      <c r="L366" s="63" t="n"/>
      <c r="M366" s="9" t="inlineStr">
        <is>
          <t>K3</t>
        </is>
      </c>
      <c r="N366" s="63" t="n"/>
    </row>
    <row r="367" ht="28" customHeight="1">
      <c r="A367" s="14" t="inlineStr">
        <is>
          <t>N3</t>
        </is>
      </c>
      <c r="B367" s="9" t="inlineStr">
        <is>
          <t>Where the market uses its own ladder · Product Manager, Project / Program Manager, Account Executive, Architect, Agile Coach, Company Secretary, that title is kept and the level is shown by the grade.</t>
        </is>
      </c>
      <c r="C367" s="64" t="n"/>
      <c r="D367" s="64" t="n"/>
      <c r="E367" s="64" t="n"/>
      <c r="F367" s="64" t="n"/>
      <c r="G367" s="64" t="n"/>
      <c r="H367" s="64" t="n"/>
      <c r="I367" s="64" t="n"/>
      <c r="J367" s="64" t="n"/>
      <c r="K367" s="64" t="n"/>
      <c r="L367" s="63" t="n"/>
      <c r="M367" s="9" t="inlineStr">
        <is>
          <t>S30, S33, S35, S36</t>
        </is>
      </c>
      <c r="N367" s="63" t="n"/>
    </row>
    <row r="368" ht="15" customHeight="1">
      <c r="A368" s="14" t="inlineStr">
        <is>
          <t>N4</t>
        </is>
      </c>
      <c r="B368" s="9" t="inlineStr">
        <is>
          <t>A title is never higher than the level. Titles that are higher today are protected for one cycle, flagged, and reviewed.</t>
        </is>
      </c>
      <c r="C368" s="64" t="n"/>
      <c r="D368" s="64" t="n"/>
      <c r="E368" s="64" t="n"/>
      <c r="F368" s="64" t="n"/>
      <c r="G368" s="64" t="n"/>
      <c r="H368" s="64" t="n"/>
      <c r="I368" s="64" t="n"/>
      <c r="J368" s="64" t="n"/>
      <c r="K368" s="64" t="n"/>
      <c r="L368" s="63" t="n"/>
      <c r="M368" s="9" t="inlineStr">
        <is>
          <t>P1</t>
        </is>
      </c>
      <c r="N368" s="63" t="n"/>
    </row>
    <row r="369" ht="15" customHeight="1">
      <c r="A369" s="14" t="inlineStr">
        <is>
          <t>N5</t>
        </is>
      </c>
      <c r="B369" s="9" t="inlineStr">
        <is>
          <r>
            <rPr>
              <rFont val="Calibri"/>
              <b val="1"/>
              <sz val="10"/>
            </rPr>
            <t>Player-Coach titles:</t>
          </r>
          <r>
            <rPr>
              <rFont val="Calibri"/>
              <sz val="10"/>
            </rPr>
            <t xml:space="preserve"> B+ = "Practice Lead – &lt;specialism&gt; · Player-Coach"; C+ = "Group Head – &lt;function&gt; · Player-Coach".</t>
          </r>
        </is>
      </c>
      <c r="C369" s="64" t="n"/>
      <c r="D369" s="64" t="n"/>
      <c r="E369" s="64" t="n"/>
      <c r="F369" s="64" t="n"/>
      <c r="G369" s="64" t="n"/>
      <c r="H369" s="64" t="n"/>
      <c r="I369" s="64" t="n"/>
      <c r="J369" s="64" t="n"/>
      <c r="K369" s="64" t="n"/>
      <c r="L369" s="63" t="n"/>
      <c r="M369" s="9" t="inlineStr">
        <is>
          <t>K6</t>
        </is>
      </c>
      <c r="N369" s="63" t="n"/>
    </row>
    <row r="370" ht="15" customHeight="1"/>
    <row r="371" ht="15" customHeight="1">
      <c r="A371" s="12" t="inlineStr">
        <is>
          <r>
            <rPr>
              <rFont val="Calibri"/>
              <b val="1"/>
              <i val="1"/>
              <color rgb="00595959"/>
              <sz val="10"/>
            </rPr>
            <t>Title check today:</t>
          </r>
          <r>
            <rPr>
              <rFont val="Calibri"/>
              <i val="1"/>
              <color rgb="00595959"/>
              <sz val="10"/>
            </rPr>
            <t xml:space="preserve"> OK 511 · Check title against ladder 27 · Consultant title 25 · Market-standard role title 23</t>
          </r>
        </is>
      </c>
    </row>
    <row r="372" ht="15" customHeight="1">
      <c r="A372" s="7" t="inlineStr">
        <is>
          <t>Job family</t>
        </is>
      </c>
      <c r="B372" s="63" t="n"/>
      <c r="C372" s="7" t="inlineStr">
        <is>
          <t>IC title ladder · A2 → C1</t>
        </is>
      </c>
      <c r="D372" s="64" t="n"/>
      <c r="E372" s="64" t="n"/>
      <c r="F372" s="63" t="n"/>
      <c r="G372" s="7" t="inlineStr">
        <is>
          <t>Manager title ladder · B1 → C2</t>
        </is>
      </c>
      <c r="H372" s="64" t="n"/>
      <c r="I372" s="63" t="n"/>
      <c r="J372" s="7" t="inlineStr">
        <is>
          <t>Market comparison</t>
        </is>
      </c>
      <c r="K372" s="64" t="n"/>
      <c r="L372" s="63" t="n"/>
      <c r="M372" s="7" t="inlineStr">
        <is>
          <t>Reference</t>
        </is>
      </c>
      <c r="N372" s="63" t="n"/>
    </row>
    <row r="373" ht="41" customHeight="1">
      <c r="A373" s="14" t="inlineStr">
        <is>
          <t>Consulting &amp; Professional Services</t>
        </is>
      </c>
      <c r="B373" s="63" t="n"/>
      <c r="C373" s="9" t="inlineStr">
        <is>
          <t>Financial Analyst → Senior FA → XBRL Specialist → Senior XBRL Specialist → Lead Financial Analyst → Principal XBRL Specialist</t>
        </is>
      </c>
      <c r="D373" s="64" t="n"/>
      <c r="E373" s="64" t="n"/>
      <c r="F373" s="63" t="n"/>
      <c r="G373" s="9" t="inlineStr">
        <is>
          <t>Team Lead → Manager – Assisted Services → Senior Manager → Head – XBRL Assisted Services</t>
        </is>
      </c>
      <c r="H373" s="64" t="n"/>
      <c r="I373" s="63" t="n"/>
      <c r="J373" s="9" t="inlineStr">
        <is>
          <r>
            <rPr>
              <rFont val="Calibri"/>
              <b val="1"/>
              <sz val="10"/>
            </rPr>
            <t>DataTracks · XBRL peer:</t>
          </r>
          <r>
            <rPr>
              <rFont val="Calibri"/>
              <sz val="10"/>
            </rPr>
            <t xml:space="preserve"> Associate → Senior Associate · the two rungs on its careers site; nothing higher published</t>
          </r>
        </is>
      </c>
      <c r="K373" s="64" t="n"/>
      <c r="L373" s="63" t="n"/>
      <c r="M373" s="9" t="inlineStr">
        <is>
          <t>DataTracks careers site</t>
        </is>
      </c>
      <c r="N373" s="63" t="n"/>
    </row>
    <row r="374" ht="41" customHeight="1">
      <c r="A374" s="14" t="inlineStr">
        <is>
          <t>Engineering &amp; Development</t>
        </is>
      </c>
      <c r="B374" s="63" t="n"/>
      <c r="C374" s="9" t="inlineStr">
        <is>
          <t>Software Engineer → Senior Software Engineer → Technical Specialist → Senior Technical Specialist → Lead Software Engineer → Principal Software Engineer</t>
        </is>
      </c>
      <c r="D374" s="64" t="n"/>
      <c r="E374" s="64" t="n"/>
      <c r="F374" s="63" t="n"/>
      <c r="G374" s="9" t="inlineStr">
        <is>
          <t>Team Lead → Engineering Manager → Senior Engineering Manager → Head – Product Engineering</t>
        </is>
      </c>
      <c r="H374" s="64" t="n"/>
      <c r="I374" s="63" t="n"/>
      <c r="J374" s="9" t="inlineStr">
        <is>
          <r>
            <rPr>
              <rFont val="Calibri"/>
              <b val="1"/>
              <sz val="10"/>
            </rPr>
            <t>Workiva:</t>
          </r>
          <r>
            <rPr>
              <rFont val="Calibri"/>
              <sz val="10"/>
            </rPr>
            <t xml:space="preserve"> Associate SE → SE → Senior → Staff; Radford engineering P1–P6 / M3–M6</t>
          </r>
        </is>
      </c>
      <c r="K374" s="64" t="n"/>
      <c r="L374" s="63" t="n"/>
      <c r="M374" s="9" t="inlineStr">
        <is>
          <t>Workiva · Levels.fyi, Radford / Pave</t>
        </is>
      </c>
      <c r="N374" s="63" t="n"/>
    </row>
    <row r="375" ht="41" customHeight="1">
      <c r="A375" s="14" t="inlineStr">
        <is>
          <t>Data Operations &amp; Digitization</t>
        </is>
      </c>
      <c r="B375" s="63" t="n"/>
      <c r="C375" s="9" t="inlineStr">
        <is>
          <t>Digitization Associate → Senior Digitization Associate → Digitization Specialist → Senior Specialist → Lead Specialist</t>
        </is>
      </c>
      <c r="D375" s="64" t="n"/>
      <c r="E375" s="64" t="n"/>
      <c r="F375" s="63" t="n"/>
      <c r="G375" s="9" t="inlineStr">
        <is>
          <t>Team Lead → Digitization Manager → Senior Manager → Head – Digitization</t>
        </is>
      </c>
      <c r="H375" s="64" t="n"/>
      <c r="I375" s="63" t="n"/>
      <c r="J375" s="9" t="inlineStr">
        <is>
          <r>
            <rPr>
              <rFont val="Calibri"/>
              <b val="1"/>
              <sz val="10"/>
            </rPr>
            <t>DataTracks:</t>
          </r>
          <r>
            <rPr>
              <rFont val="Calibri"/>
              <sz val="10"/>
            </rPr>
            <t xml:space="preserve"> Associate → Senior Associate · two published rungs</t>
          </r>
        </is>
      </c>
      <c r="K375" s="64" t="n"/>
      <c r="L375" s="63" t="n"/>
      <c r="M375" s="9" t="inlineStr">
        <is>
          <t>DataTracks</t>
        </is>
      </c>
      <c r="N375" s="63" t="n"/>
    </row>
    <row r="376" ht="41" customHeight="1">
      <c r="A376" s="14" t="inlineStr">
        <is>
          <t>Customer Success &amp; Support</t>
        </is>
      </c>
      <c r="B376" s="63" t="n"/>
      <c r="C376" s="9" t="inlineStr">
        <is>
          <t>Support / CS Executive → Senior Executive → Specialist → Senior Specialist → Lead Specialist</t>
        </is>
      </c>
      <c r="D376" s="64" t="n"/>
      <c r="E376" s="64" t="n"/>
      <c r="F376" s="63" t="n"/>
      <c r="G376" s="9" t="inlineStr">
        <is>
          <t>Team Lead → Support / Customer Success Manager → Senior Manager → Head – Customer Success</t>
        </is>
      </c>
      <c r="H376" s="64" t="n"/>
      <c r="I376" s="63" t="n"/>
      <c r="J376" s="9" t="inlineStr">
        <is>
          <t>Support P1–P5 / M3–M5</t>
        </is>
      </c>
      <c r="K376" s="64" t="n"/>
      <c r="L376" s="63" t="n"/>
      <c r="M376" s="9" t="inlineStr">
        <is>
          <t>Radford / Pave</t>
        </is>
      </c>
      <c r="N376" s="63" t="n"/>
    </row>
    <row r="377" ht="41" customHeight="1">
      <c r="A377" s="14" t="inlineStr">
        <is>
          <t>Sales &amp; Business Development</t>
        </is>
      </c>
      <c r="B377" s="63" t="n"/>
      <c r="C377" s="9" t="inlineStr">
        <is>
          <t>SDR → Senior SDR → Account Executive → Senior Account Executive → Lead Account Executive</t>
        </is>
      </c>
      <c r="D377" s="64" t="n"/>
      <c r="E377" s="64" t="n"/>
      <c r="F377" s="63" t="n"/>
      <c r="G377" s="9" t="inlineStr">
        <is>
          <t>Team Lead → Sales / SDR Manager → Senior Sales Manager → Head – Sales → AVP / VP Sales</t>
        </is>
      </c>
      <c r="H377" s="64" t="n"/>
      <c r="I377" s="63" t="n"/>
      <c r="J377" s="9" t="inlineStr">
        <is>
          <t>SDR → AE → Senior AE; Sales Manager M3; Head of Sales M5</t>
        </is>
      </c>
      <c r="K377" s="64" t="n"/>
      <c r="L377" s="63" t="n"/>
      <c r="M377" s="9" t="inlineStr">
        <is>
          <t>Radford / Pave, JobsPipe title hierarchy</t>
        </is>
      </c>
      <c r="N377" s="63" t="n"/>
    </row>
    <row r="378" ht="28" customHeight="1">
      <c r="A378" s="14" t="inlineStr">
        <is>
          <t>Marketing &amp; Communications</t>
        </is>
      </c>
      <c r="B378" s="63" t="n"/>
      <c r="C378" s="9" t="inlineStr">
        <is>
          <t>Marketing Associate → Senior Associate → Marketing Specialist → Senior Specialist → Lead Specialist</t>
        </is>
      </c>
      <c r="D378" s="64" t="n"/>
      <c r="E378" s="64" t="n"/>
      <c r="F378" s="63" t="n"/>
      <c r="G378" s="9" t="inlineStr">
        <is>
          <t>Team Lead → Marketing Manager → Senior Marketing Manager → Head – Marketing</t>
        </is>
      </c>
      <c r="H378" s="64" t="n"/>
      <c r="I378" s="63" t="n"/>
      <c r="J378" s="9" t="inlineStr">
        <is>
          <t>Specialist P2–P5; Manager M3–M5</t>
        </is>
      </c>
      <c r="K378" s="64" t="n"/>
      <c r="L378" s="63" t="n"/>
      <c r="M378" s="9" t="inlineStr">
        <is>
          <t>Radford / Pave</t>
        </is>
      </c>
      <c r="N378" s="63" t="n"/>
    </row>
    <row r="379" ht="41" customHeight="1">
      <c r="A379" s="14" t="inlineStr">
        <is>
          <t>Quality Assurance</t>
        </is>
      </c>
      <c r="B379" s="63" t="n"/>
      <c r="C379" s="9" t="inlineStr">
        <is>
          <t>QA Engineer → Senior QA Engineer → QA Specialist → Senior QA Specialist → Lead QA Engineer → Principal QA Engineer</t>
        </is>
      </c>
      <c r="D379" s="64" t="n"/>
      <c r="E379" s="64" t="n"/>
      <c r="F379" s="63" t="n"/>
      <c r="G379" s="9" t="inlineStr">
        <is>
          <t>Team Lead → QA Manager → Senior QA Manager → Head – Quality</t>
        </is>
      </c>
      <c r="H379" s="64" t="n"/>
      <c r="I379" s="63" t="n"/>
      <c r="J379" s="9" t="inlineStr">
        <is>
          <t>QA ladders follow engineering P1–P6 / M3–M6</t>
        </is>
      </c>
      <c r="K379" s="64" t="n"/>
      <c r="L379" s="63" t="n"/>
      <c r="M379" s="9" t="inlineStr">
        <is>
          <t>Radford / Pave</t>
        </is>
      </c>
      <c r="N379" s="63" t="n"/>
    </row>
    <row r="380" ht="41" customHeight="1">
      <c r="A380" s="14" t="inlineStr">
        <is>
          <t>Solution Consulting &amp; Implementation</t>
        </is>
      </c>
      <c r="B380" s="63" t="n"/>
      <c r="C380" s="9" t="inlineStr">
        <is>
          <t>Functional Analyst → Senior Functional Analyst → Functional Specialist → Senior Functional Specialist → Lead → Principal Solution Specialist</t>
        </is>
      </c>
      <c r="D380" s="64" t="n"/>
      <c r="E380" s="64" t="n"/>
      <c r="F380" s="63" t="n"/>
      <c r="G380" s="9" t="inlineStr">
        <is>
          <t>Team Lead → Solutions Manager → Head – Solutions</t>
        </is>
      </c>
      <c r="H380" s="64" t="n"/>
      <c r="I380" s="63" t="n"/>
      <c r="J380" s="9" t="inlineStr">
        <is>
          <t>Implementation consultant P2–P6</t>
        </is>
      </c>
      <c r="K380" s="64" t="n"/>
      <c r="L380" s="63" t="n"/>
      <c r="M380" s="9" t="inlineStr">
        <is>
          <t>Radford / Pave</t>
        </is>
      </c>
      <c r="N380" s="63" t="n"/>
    </row>
    <row r="381" ht="41" customHeight="1">
      <c r="A381" s="14" t="inlineStr">
        <is>
          <t>Product Management</t>
        </is>
      </c>
      <c r="B381" s="63" t="n"/>
      <c r="C381" s="9" t="inlineStr">
        <is>
          <t>Product Associate → Senior Product Associate → Associate PM → Product Manager → Senior PM → Principal PM</t>
        </is>
      </c>
      <c r="D381" s="64" t="n"/>
      <c r="E381" s="64" t="n"/>
      <c r="F381" s="63" t="n"/>
      <c r="G381" s="9" t="inlineStr">
        <is>
          <t>Group Product Manager → Associate Head – Product → Head – Product</t>
        </is>
      </c>
      <c r="H381" s="64" t="n"/>
      <c r="I381" s="63" t="n"/>
      <c r="J381" s="9" t="inlineStr">
        <is>
          <t>APM → PM → Senior PM → Principal / Group PM</t>
        </is>
      </c>
      <c r="K381" s="64" t="n"/>
      <c r="L381" s="63" t="n"/>
      <c r="M381" s="9" t="inlineStr">
        <is>
          <t>Radford / Pave</t>
        </is>
      </c>
      <c r="N381" s="63" t="n"/>
    </row>
    <row r="382" ht="41" customHeight="1">
      <c r="A382" s="14" t="inlineStr">
        <is>
          <t>Executive Leadership</t>
        </is>
      </c>
      <c r="B382" s="63" t="n"/>
      <c r="C382" s="9" t="inlineStr">
        <is>
          <t>—</t>
        </is>
      </c>
      <c r="D382" s="64" t="n"/>
      <c r="E382" s="64" t="n"/>
      <c r="F382" s="63" t="n"/>
      <c r="G382" s="9" t="inlineStr">
        <is>
          <t>Associate Vice President / Business Head → Vice President → CXO → CEO</t>
        </is>
      </c>
      <c r="H382" s="64" t="n"/>
      <c r="I382" s="63" t="n"/>
      <c r="J382" s="9" t="inlineStr">
        <is>
          <t>Executive E1–E6</t>
        </is>
      </c>
      <c r="K382" s="64" t="n"/>
      <c r="L382" s="63" t="n"/>
      <c r="M382" s="9" t="inlineStr">
        <is>
          <t>Radford / Pave</t>
        </is>
      </c>
      <c r="N382" s="63" t="n"/>
    </row>
    <row r="383" ht="28" customHeight="1">
      <c r="A383" s="14" t="inlineStr">
        <is>
          <t>Design &amp; Creative</t>
        </is>
      </c>
      <c r="B383" s="63" t="n"/>
      <c r="C383" s="9" t="inlineStr">
        <is>
          <t>Designer → Senior Designer → Design Specialist → Senior Design Specialist → Lead Designer</t>
        </is>
      </c>
      <c r="D383" s="64" t="n"/>
      <c r="E383" s="64" t="n"/>
      <c r="F383" s="63" t="n"/>
      <c r="G383" s="9" t="inlineStr">
        <is>
          <t>Team Lead → Design Manager → Head – Design</t>
        </is>
      </c>
      <c r="H383" s="64" t="n"/>
      <c r="I383" s="63" t="n"/>
      <c r="J383" s="9" t="inlineStr">
        <is>
          <t>Designer P1–P5 / M3–M5</t>
        </is>
      </c>
      <c r="K383" s="64" t="n"/>
      <c r="L383" s="63" t="n"/>
      <c r="M383" s="9" t="inlineStr">
        <is>
          <t>Radford / Pave</t>
        </is>
      </c>
      <c r="N383" s="63" t="n"/>
    </row>
    <row r="384" ht="28" customHeight="1">
      <c r="A384" s="14" t="inlineStr">
        <is>
          <t>Business Analysis</t>
        </is>
      </c>
      <c r="B384" s="63" t="n"/>
      <c r="C384" s="9" t="inlineStr">
        <is>
          <t>Business Analyst → Senior BA → BA Specialist → Senior BA Specialist → Lead BA → Principal BA</t>
        </is>
      </c>
      <c r="D384" s="64" t="n"/>
      <c r="E384" s="64" t="n"/>
      <c r="F384" s="63" t="n"/>
      <c r="G384" s="9" t="inlineStr">
        <is>
          <t>Team Lead → BA Manager → Senior Manager – BA</t>
        </is>
      </c>
      <c r="H384" s="64" t="n"/>
      <c r="I384" s="63" t="n"/>
      <c r="J384" s="9" t="inlineStr">
        <is>
          <t>Analyst → Senior → Lead → Principal</t>
        </is>
      </c>
      <c r="K384" s="64" t="n"/>
      <c r="L384" s="63" t="n"/>
      <c r="M384" s="9" t="inlineStr">
        <is>
          <t>Radford / Pave</t>
        </is>
      </c>
      <c r="N384" s="63" t="n"/>
    </row>
    <row r="385" ht="41" customHeight="1">
      <c r="A385" s="14" t="inlineStr">
        <is>
          <t>Project &amp; Program Management</t>
        </is>
      </c>
      <c r="B385" s="63" t="n"/>
      <c r="C385" s="9" t="inlineStr">
        <is>
          <t>Project Coordinator → Senior Coordinator → Associate Project Manager → Project Manager → Program Manager → Senior Program Manager</t>
        </is>
      </c>
      <c r="D385" s="64" t="n"/>
      <c r="E385" s="64" t="n"/>
      <c r="F385" s="63" t="n"/>
      <c r="G385" s="9" t="inlineStr">
        <is>
          <t>Delivery Manager → Associate Head – Delivery → Head – Delivery</t>
        </is>
      </c>
      <c r="H385" s="64" t="n"/>
      <c r="I385" s="63" t="n"/>
      <c r="J385" s="9" t="inlineStr">
        <is>
          <t>Project / Program Manager P3–P6; Delivery Manager M3–M5</t>
        </is>
      </c>
      <c r="K385" s="64" t="n"/>
      <c r="L385" s="63" t="n"/>
      <c r="M385" s="9" t="inlineStr">
        <is>
          <t>Radford / Pave</t>
        </is>
      </c>
      <c r="N385" s="63" t="n"/>
    </row>
    <row r="386" ht="41" customHeight="1">
      <c r="A386" s="14" t="inlineStr">
        <is>
          <t>Data &amp; Analytics</t>
        </is>
      </c>
      <c r="B386" s="63" t="n"/>
      <c r="C386" s="9" t="inlineStr">
        <is>
          <t>Data Analyst → Senior Data Analyst → Data Analytics Specialist → Senior Specialist → Lead Data Analyst</t>
        </is>
      </c>
      <c r="D386" s="64" t="n"/>
      <c r="E386" s="64" t="n"/>
      <c r="F386" s="63" t="n"/>
      <c r="G386" s="9" t="inlineStr">
        <is>
          <t>Team Lead → Data Operations Manager → Senior Manager</t>
        </is>
      </c>
      <c r="H386" s="64" t="n"/>
      <c r="I386" s="63" t="n"/>
      <c r="J386" s="9" t="inlineStr">
        <is>
          <t>Analyst P1–P5 / Manager M3–M4</t>
        </is>
      </c>
      <c r="K386" s="64" t="n"/>
      <c r="L386" s="63" t="n"/>
      <c r="M386" s="9" t="inlineStr">
        <is>
          <t>Radford / Pave</t>
        </is>
      </c>
      <c r="N386" s="63" t="n"/>
    </row>
    <row r="387" ht="28" customHeight="1">
      <c r="A387" s="14" t="inlineStr">
        <is>
          <t>Engineering &amp; Architecture</t>
        </is>
      </c>
      <c r="B387" s="63" t="n"/>
      <c r="C387" s="9" t="inlineStr">
        <is>
          <t>Lead Software Engineer → Technical Architect → Senior Technical / Solution Architect</t>
        </is>
      </c>
      <c r="D387" s="64" t="n"/>
      <c r="E387" s="64" t="n"/>
      <c r="F387" s="63" t="n"/>
      <c r="G387" s="9" t="inlineStr">
        <is>
          <t>—</t>
        </is>
      </c>
      <c r="H387" s="64" t="n"/>
      <c r="I387" s="63" t="n"/>
      <c r="J387" s="9" t="inlineStr">
        <is>
          <t>Staff / Principal architect ≈ P6–P7</t>
        </is>
      </c>
      <c r="K387" s="64" t="n"/>
      <c r="L387" s="63" t="n"/>
      <c r="M387" s="9" t="inlineStr">
        <is>
          <t>Radford / Pave, Workiva</t>
        </is>
      </c>
      <c r="N387" s="63" t="n"/>
    </row>
    <row r="388" ht="41" customHeight="1">
      <c r="A388" s="14" t="inlineStr">
        <is>
          <t>IT &amp; Infrastructure</t>
        </is>
      </c>
      <c r="B388" s="63" t="n"/>
      <c r="C388" s="9" t="inlineStr">
        <is>
          <t>System Administrator → Senior SysAdmin → Infrastructure Specialist → Senior Specialist → Lead Infrastructure Engineer</t>
        </is>
      </c>
      <c r="D388" s="64" t="n"/>
      <c r="E388" s="64" t="n"/>
      <c r="F388" s="63" t="n"/>
      <c r="G388" s="9" t="inlineStr">
        <is>
          <t>Team Lead → IT Manager → Head – IT</t>
        </is>
      </c>
      <c r="H388" s="64" t="n"/>
      <c r="I388" s="63" t="n"/>
      <c r="J388" s="9" t="inlineStr">
        <is>
          <t>SysAdmin / Infra engineer P1–P5</t>
        </is>
      </c>
      <c r="K388" s="64" t="n"/>
      <c r="L388" s="63" t="n"/>
      <c r="M388" s="9" t="inlineStr">
        <is>
          <t>Radford / Pave</t>
        </is>
      </c>
      <c r="N388" s="63" t="n"/>
    </row>
    <row r="389" ht="41" customHeight="1">
      <c r="A389" s="14" t="inlineStr">
        <is>
          <t>Finance &amp; Accounts</t>
        </is>
      </c>
      <c r="B389" s="63" t="n"/>
      <c r="C389" s="9" t="inlineStr">
        <is>
          <t>Accounts Executive → Senior Accounts Executive → Finance Specialist → Senior Finance Specialist → Lead Finance Specialist</t>
        </is>
      </c>
      <c r="D389" s="64" t="n"/>
      <c r="E389" s="64" t="n"/>
      <c r="F389" s="63" t="n"/>
      <c r="G389" s="9" t="inlineStr">
        <is>
          <t>Team Lead → Finance Manager → Head – Finance &amp; Accounts → CFO</t>
        </is>
      </c>
      <c r="H389" s="64" t="n"/>
      <c r="I389" s="63" t="n"/>
      <c r="J389" s="9" t="inlineStr">
        <is>
          <t>Accountant P1–P5; Finance Manager M3; Head M5–M6</t>
        </is>
      </c>
      <c r="K389" s="64" t="n"/>
      <c r="L389" s="63" t="n"/>
      <c r="M389" s="9" t="inlineStr">
        <is>
          <t>Radford / Mercer</t>
        </is>
      </c>
      <c r="N389" s="63" t="n"/>
    </row>
    <row r="390" ht="28" customHeight="1">
      <c r="A390" s="14" t="inlineStr">
        <is>
          <t>Administration, Legal &amp; Secretarial</t>
        </is>
      </c>
      <c r="B390" s="63" t="n"/>
      <c r="C390" s="9" t="inlineStr">
        <is>
          <t>Admin / Secretarial Executive → Senior Executive → Specialist → Company Secretary</t>
        </is>
      </c>
      <c r="D390" s="64" t="n"/>
      <c r="E390" s="64" t="n"/>
      <c r="F390" s="63" t="n"/>
      <c r="G390" s="9" t="inlineStr">
        <is>
          <t>Team Lead → Admin Manager → Head – Admin</t>
        </is>
      </c>
      <c r="H390" s="64" t="n"/>
      <c r="I390" s="63" t="n"/>
      <c r="J390" s="9" t="inlineStr">
        <is>
          <t>Admin P1–P4; Company Secretary statutory officer</t>
        </is>
      </c>
      <c r="K390" s="64" t="n"/>
      <c r="L390" s="63" t="n"/>
      <c r="M390" s="9" t="inlineStr">
        <is>
          <t>Mercer</t>
        </is>
      </c>
      <c r="N390" s="63" t="n"/>
    </row>
    <row r="391" ht="28" customHeight="1">
      <c r="A391" s="14" t="inlineStr">
        <is>
          <t>Human Resources</t>
        </is>
      </c>
      <c r="B391" s="63" t="n"/>
      <c r="C391" s="9" t="inlineStr">
        <is>
          <t>HR Executive → Senior HR Executive → HR Specialist → Senior HR Specialist → Lead HR Specialist</t>
        </is>
      </c>
      <c r="D391" s="64" t="n"/>
      <c r="E391" s="64" t="n"/>
      <c r="F391" s="63" t="n"/>
      <c r="G391" s="9" t="inlineStr">
        <is>
          <t>Team Lead → HR Manager → Head – HR → VP HR</t>
        </is>
      </c>
      <c r="H391" s="64" t="n"/>
      <c r="I391" s="63" t="n"/>
      <c r="J391" s="9" t="inlineStr">
        <is>
          <t>HR generalist / specialist P1–P5; HR Manager M3</t>
        </is>
      </c>
      <c r="K391" s="64" t="n"/>
      <c r="L391" s="63" t="n"/>
      <c r="M391" s="9" t="inlineStr">
        <is>
          <t>Radford / Mercer</t>
        </is>
      </c>
      <c r="N391" s="63" t="n"/>
    </row>
    <row r="392" ht="15" customHeight="1"/>
    <row r="393" ht="20" customHeight="1">
      <c r="A393" s="6" t="inlineStr">
        <is>
          <t>M10. Spans &amp; layers</t>
        </is>
      </c>
    </row>
    <row r="394" ht="15" customHeight="1">
      <c r="A394" s="7" t="inlineStr">
        <is>
          <t>Role</t>
        </is>
      </c>
      <c r="B394" s="64" t="n"/>
      <c r="C394" s="63" t="n"/>
      <c r="D394" s="7" t="inlineStr">
        <is>
          <t>McKinsey archetype</t>
        </is>
      </c>
      <c r="E394" s="63" t="n"/>
      <c r="F394" s="7" t="inlineStr">
        <is>
          <t>Span norm</t>
        </is>
      </c>
      <c r="G394" s="63" t="n"/>
      <c r="H394" s="7" t="inlineStr">
        <is>
          <t>When it applies</t>
        </is>
      </c>
      <c r="I394" s="64" t="n"/>
      <c r="J394" s="64" t="n"/>
      <c r="K394" s="64" t="n"/>
      <c r="L394" s="63" t="n"/>
      <c r="M394" s="7" t="inlineStr">
        <is>
          <t>Sources</t>
        </is>
      </c>
      <c r="N394" s="63" t="n"/>
    </row>
    <row r="395" ht="15" customHeight="1">
      <c r="A395" s="14" t="inlineStr">
        <is>
          <t>B1 Team Lead / POD Lead</t>
        </is>
      </c>
      <c r="B395" s="64" t="n"/>
      <c r="C395" s="63" t="n"/>
      <c r="D395" s="9" t="inlineStr">
        <is>
          <t>Player / coach</t>
        </is>
      </c>
      <c r="E395" s="63" t="n"/>
      <c r="F395" s="9" t="inlineStr">
        <is>
          <t>3–5 · POD Lead 1–3</t>
        </is>
      </c>
      <c r="G395" s="63" t="n"/>
      <c r="H395" s="9" t="inlineStr">
        <is>
          <t>Does own work and leads a small team</t>
        </is>
      </c>
      <c r="I395" s="64" t="n"/>
      <c r="J395" s="64" t="n"/>
      <c r="K395" s="64" t="n"/>
      <c r="L395" s="63" t="n"/>
      <c r="M395" s="9" t="inlineStr">
        <is>
          <t>S09, S03</t>
        </is>
      </c>
      <c r="N395" s="63" t="n"/>
    </row>
    <row r="396" ht="15" customHeight="1">
      <c r="A396" s="14" t="inlineStr">
        <is>
          <t>B2 Manager — knowledge work</t>
        </is>
      </c>
      <c r="B396" s="64" t="n"/>
      <c r="C396" s="63" t="n"/>
      <c r="D396" s="9" t="inlineStr">
        <is>
          <t>Coach</t>
        </is>
      </c>
      <c r="E396" s="63" t="n"/>
      <c r="F396" s="9" t="inlineStr">
        <is>
          <t>6–7 · up to 8</t>
        </is>
      </c>
      <c r="G396" s="63" t="n"/>
      <c r="H396" s="9" t="inlineStr">
        <is>
          <t>Non-standard work, varied team</t>
        </is>
      </c>
      <c r="I396" s="64" t="n"/>
      <c r="J396" s="64" t="n"/>
      <c r="K396" s="64" t="n"/>
      <c r="L396" s="63" t="n"/>
      <c r="M396" s="9" t="inlineStr">
        <is>
          <t>S09</t>
        </is>
      </c>
      <c r="N396" s="63" t="n"/>
    </row>
    <row r="397" ht="15" customHeight="1">
      <c r="A397" s="14" t="inlineStr">
        <is>
          <t>B2 Manager — standardised delivery</t>
        </is>
      </c>
      <c r="B397" s="64" t="n"/>
      <c r="C397" s="63" t="n"/>
      <c r="D397" s="9" t="inlineStr">
        <is>
          <t>Supervisor</t>
        </is>
      </c>
      <c r="E397" s="63" t="n"/>
      <c r="F397" s="9" t="inlineStr">
        <is>
          <t>8–10 · up to 12</t>
        </is>
      </c>
      <c r="G397" s="63" t="n"/>
      <c r="H397" s="9" t="inlineStr">
        <is>
          <t>Standard, repeatable work · Services, Digitizing</t>
        </is>
      </c>
      <c r="I397" s="64" t="n"/>
      <c r="J397" s="64" t="n"/>
      <c r="K397" s="64" t="n"/>
      <c r="L397" s="63" t="n"/>
      <c r="M397" s="9" t="inlineStr">
        <is>
          <t>S09</t>
        </is>
      </c>
      <c r="N397" s="63" t="n"/>
    </row>
    <row r="398" ht="15" customHeight="1">
      <c r="A398" s="14" t="inlineStr">
        <is>
          <t>B3 Senior Manager</t>
        </is>
      </c>
      <c r="B398" s="64" t="n"/>
      <c r="C398" s="63" t="n"/>
      <c r="D398" s="9" t="inlineStr">
        <is>
          <t>Coach / facilitator</t>
        </is>
      </c>
      <c r="E398" s="63" t="n"/>
      <c r="F398" s="9" t="inlineStr">
        <is>
          <t>5–8 including team leads</t>
        </is>
      </c>
      <c r="G398" s="63" t="n"/>
      <c r="H398" s="9" t="inlineStr">
        <is>
          <t>Manages through team leads</t>
        </is>
      </c>
      <c r="I398" s="64" t="n"/>
      <c r="J398" s="64" t="n"/>
      <c r="K398" s="64" t="n"/>
      <c r="L398" s="63" t="n"/>
      <c r="M398" s="9" t="inlineStr">
        <is>
          <t>S09</t>
        </is>
      </c>
      <c r="N398" s="63" t="n"/>
    </row>
    <row r="399" ht="28" customHeight="1">
      <c r="A399" s="14" t="inlineStr">
        <is>
          <t>B+ Practice Lead · Player-Coach</t>
        </is>
      </c>
      <c r="B399" s="64" t="n"/>
      <c r="C399" s="63" t="n"/>
      <c r="D399" s="9" t="inlineStr">
        <is>
          <t>Player / coach</t>
        </is>
      </c>
      <c r="E399" s="63" t="n"/>
      <c r="F399" s="9" t="inlineStr">
        <is>
          <t>3–6, with ≥ 40% own delivery</t>
        </is>
      </c>
      <c r="G399" s="63" t="n"/>
      <c r="H399" s="9" t="inlineStr">
        <is>
          <t>Leads a practice or pod and still does the hardest work · Google Tech Lead Manager</t>
        </is>
      </c>
      <c r="I399" s="64" t="n"/>
      <c r="J399" s="64" t="n"/>
      <c r="K399" s="64" t="n"/>
      <c r="L399" s="63" t="n"/>
      <c r="M399" s="9" t="inlineStr">
        <is>
          <t>S09, S44</t>
        </is>
      </c>
      <c r="N399" s="63" t="n"/>
    </row>
    <row r="400" ht="28" customHeight="1">
      <c r="A400" s="14" t="inlineStr">
        <is>
          <t>C+ Group Head · Player-Coach</t>
        </is>
      </c>
      <c r="B400" s="64" t="n"/>
      <c r="C400" s="63" t="n"/>
      <c r="D400" s="9" t="inlineStr">
        <is>
          <t>Player / coach at function level</t>
        </is>
      </c>
      <c r="E400" s="63" t="n"/>
      <c r="F400" s="9" t="inlineStr">
        <is>
          <t>4–8 managers / leads, ≥ 25% own delivery</t>
        </is>
      </c>
      <c r="G400" s="63" t="n"/>
      <c r="H400" s="9" t="inlineStr">
        <is>
          <t>Heads a function and personally carries critical clients or principal work</t>
        </is>
      </c>
      <c r="I400" s="64" t="n"/>
      <c r="J400" s="64" t="n"/>
      <c r="K400" s="64" t="n"/>
      <c r="L400" s="63" t="n"/>
      <c r="M400" s="9" t="inlineStr">
        <is>
          <t>S09, S45</t>
        </is>
      </c>
      <c r="N400" s="63" t="n"/>
    </row>
    <row r="401" ht="15" customHeight="1">
      <c r="A401" s="14" t="inlineStr">
        <is>
          <t>High-volume operations heads</t>
        </is>
      </c>
      <c r="B401" s="64" t="n"/>
      <c r="C401" s="63" t="n"/>
      <c r="D401" s="9" t="inlineStr">
        <is>
          <t>Facilitator</t>
        </is>
      </c>
      <c r="E401" s="63" t="n"/>
      <c r="F401" s="9" t="inlineStr">
        <is>
          <t>11–15</t>
        </is>
      </c>
      <c r="G401" s="63" t="n"/>
      <c r="H401" s="9" t="inlineStr">
        <is>
          <t>Highly standard work with strong team leads</t>
        </is>
      </c>
      <c r="I401" s="64" t="n"/>
      <c r="J401" s="64" t="n"/>
      <c r="K401" s="64" t="n"/>
      <c r="L401" s="63" t="n"/>
      <c r="M401" s="9" t="inlineStr">
        <is>
          <t>S09</t>
        </is>
      </c>
      <c r="N401" s="63" t="n"/>
    </row>
    <row r="402" ht="15" customHeight="1">
      <c r="A402" s="14" t="inlineStr">
        <is>
          <t>C1–E2 Heads and executives</t>
        </is>
      </c>
      <c r="B402" s="64" t="n"/>
      <c r="C402" s="63" t="n"/>
      <c r="D402" s="9" t="inlineStr">
        <is>
          <t>Coach</t>
        </is>
      </c>
      <c r="E402" s="63" t="n"/>
      <c r="F402" s="9" t="inlineStr">
        <is>
          <t>5–8 heads / managers</t>
        </is>
      </c>
      <c r="G402" s="63" t="n"/>
      <c r="H402" s="9" t="inlineStr">
        <is>
          <t>Strategic, varied direct reports</t>
        </is>
      </c>
      <c r="I402" s="64" t="n"/>
      <c r="J402" s="64" t="n"/>
      <c r="K402" s="64" t="n"/>
      <c r="L402" s="63" t="n"/>
      <c r="M402" s="9" t="inlineStr">
        <is>
          <t>S09, S37</t>
        </is>
      </c>
      <c r="N402" s="63" t="n"/>
    </row>
    <row r="403" ht="15" customHeight="1">
      <c r="A403" s="14" t="inlineStr">
        <is>
          <t>Layers</t>
        </is>
      </c>
      <c r="B403" s="64" t="n"/>
      <c r="C403" s="63" t="n"/>
      <c r="D403" s="9" t="inlineStr">
        <is>
          <t>—</t>
        </is>
      </c>
      <c r="E403" s="63" t="n"/>
      <c r="F403" s="9" t="inlineStr">
        <is>
          <t>≤ 8 layers CEO → A1</t>
        </is>
      </c>
      <c r="G403" s="63" t="n"/>
      <c r="H403" s="9" t="inlineStr">
        <is>
          <t>GitLab runs at most eight layers; more layers slow decisions</t>
        </is>
      </c>
      <c r="I403" s="64" t="n"/>
      <c r="J403" s="64" t="n"/>
      <c r="K403" s="64" t="n"/>
      <c r="L403" s="63" t="n"/>
      <c r="M403" s="9" t="inlineStr">
        <is>
          <t>S37</t>
        </is>
      </c>
      <c r="N403" s="63" t="n"/>
    </row>
    <row r="404" ht="15" customHeight="1"/>
    <row r="405" ht="20" customHeight="1">
      <c r="A405" s="6" t="inlineStr">
        <is>
          <t>M11. Competency model</t>
        </is>
      </c>
    </row>
    <row r="406" ht="15" customHeight="1">
      <c r="A406" s="7" t="inlineStr">
        <is>
          <t>ID</t>
        </is>
      </c>
      <c r="B406" s="7" t="inlineStr">
        <is>
          <t>Rule</t>
        </is>
      </c>
      <c r="C406" s="64" t="n"/>
      <c r="D406" s="64" t="n"/>
      <c r="E406" s="64" t="n"/>
      <c r="F406" s="64" t="n"/>
      <c r="G406" s="64" t="n"/>
      <c r="H406" s="64" t="n"/>
      <c r="I406" s="64" t="n"/>
      <c r="J406" s="64" t="n"/>
      <c r="K406" s="64" t="n"/>
      <c r="L406" s="63" t="n"/>
      <c r="M406" s="7" t="inlineStr">
        <is>
          <t>Sources</t>
        </is>
      </c>
      <c r="N406" s="63" t="n"/>
    </row>
    <row r="407" ht="28" customHeight="1">
      <c r="A407" s="14" t="inlineStr">
        <is>
          <t>C1</t>
        </is>
      </c>
      <c r="B407" s="9" t="inlineStr">
        <is>
          <r>
            <rPr>
              <rFont val="Calibri"/>
              <b val="1"/>
              <sz val="10"/>
            </rPr>
            <t>Four clusters:</t>
          </r>
          <r>
            <rPr>
              <rFont val="Calibri"/>
              <sz val="10"/>
            </rPr>
            <t xml:space="preserve"> Core, Future-ready, Functional · 6 per family plus department technical competencies, Leadership. Additional requirements are gates, not scores.</t>
          </r>
        </is>
      </c>
      <c r="C407" s="64" t="n"/>
      <c r="D407" s="64" t="n"/>
      <c r="E407" s="64" t="n"/>
      <c r="F407" s="64" t="n"/>
      <c r="G407" s="64" t="n"/>
      <c r="H407" s="64" t="n"/>
      <c r="I407" s="64" t="n"/>
      <c r="J407" s="64" t="n"/>
      <c r="K407" s="64" t="n"/>
      <c r="L407" s="63" t="n"/>
      <c r="M407" s="9" t="inlineStr">
        <is>
          <t>S14, S15, S12, S08</t>
        </is>
      </c>
      <c r="N407" s="63" t="n"/>
    </row>
    <row r="408" ht="15" customHeight="1">
      <c r="A408" s="14" t="inlineStr">
        <is>
          <t>C2</t>
        </is>
      </c>
      <c r="B408" s="9" t="inlineStr">
        <is>
          <t>Proficiency is rated 1–5 on a scale aligned to SFIA levels; the required proficiency is set by level.</t>
        </is>
      </c>
      <c r="C408" s="64" t="n"/>
      <c r="D408" s="64" t="n"/>
      <c r="E408" s="64" t="n"/>
      <c r="F408" s="64" t="n"/>
      <c r="G408" s="64" t="n"/>
      <c r="H408" s="64" t="n"/>
      <c r="I408" s="64" t="n"/>
      <c r="J408" s="64" t="n"/>
      <c r="K408" s="64" t="n"/>
      <c r="L408" s="63" t="n"/>
      <c r="M408" s="9" t="inlineStr">
        <is>
          <t>S08</t>
        </is>
      </c>
      <c r="N408" s="63" t="n"/>
    </row>
    <row r="409" ht="15" customHeight="1">
      <c r="A409" s="14" t="inlineStr">
        <is>
          <t>C+</t>
        </is>
      </c>
      <c r="B409" s="9" t="inlineStr">
        <is>
          <t>Score per competency = rating ÷ required · capped at 120%. Cluster weights by level and track build the competency index.</t>
        </is>
      </c>
      <c r="C409" s="64" t="n"/>
      <c r="D409" s="64" t="n"/>
      <c r="E409" s="64" t="n"/>
      <c r="F409" s="64" t="n"/>
      <c r="G409" s="64" t="n"/>
      <c r="H409" s="64" t="n"/>
      <c r="I409" s="64" t="n"/>
      <c r="J409" s="64" t="n"/>
      <c r="K409" s="64" t="n"/>
      <c r="L409" s="63" t="n"/>
      <c r="M409" s="9" t="inlineStr">
        <is>
          <t>—</t>
        </is>
      </c>
      <c r="N409" s="63" t="n"/>
    </row>
    <row r="410" ht="15" customHeight="1">
      <c r="A410" s="14" t="inlineStr">
        <is>
          <t>C4</t>
        </is>
      </c>
      <c r="B410" s="9" t="inlineStr">
        <is>
          <r>
            <rPr>
              <rFont val="Calibri"/>
              <b val="1"/>
              <sz val="10"/>
            </rPr>
            <t>Fit:</t>
          </r>
          <r>
            <rPr>
              <rFont val="Calibri"/>
              <sz val="10"/>
            </rPr>
            <t xml:space="preserve"> ≥ 105% exceeds · 90–104% meets · 75–89% developing · &lt; 75% gap.</t>
          </r>
        </is>
      </c>
      <c r="C410" s="64" t="n"/>
      <c r="D410" s="64" t="n"/>
      <c r="E410" s="64" t="n"/>
      <c r="F410" s="64" t="n"/>
      <c r="G410" s="64" t="n"/>
      <c r="H410" s="64" t="n"/>
      <c r="I410" s="64" t="n"/>
      <c r="J410" s="64" t="n"/>
      <c r="K410" s="64" t="n"/>
      <c r="L410" s="63" t="n"/>
      <c r="M410" s="9" t="inlineStr">
        <is>
          <t>—</t>
        </is>
      </c>
      <c r="N410" s="63" t="n"/>
    </row>
    <row r="411" ht="15" customHeight="1">
      <c r="A411" s="14" t="inlineStr">
        <is>
          <t>C5</t>
        </is>
      </c>
      <c r="B411" s="9" t="inlineStr">
        <is>
          <t>Must-have · ★ competencies must be at the required proficiency for hiring and lateral moves.</t>
        </is>
      </c>
      <c r="C411" s="64" t="n"/>
      <c r="D411" s="64" t="n"/>
      <c r="E411" s="64" t="n"/>
      <c r="F411" s="64" t="n"/>
      <c r="G411" s="64" t="n"/>
      <c r="H411" s="64" t="n"/>
      <c r="I411" s="64" t="n"/>
      <c r="J411" s="64" t="n"/>
      <c r="K411" s="64" t="n"/>
      <c r="L411" s="63" t="n"/>
      <c r="M411" s="9" t="inlineStr">
        <is>
          <t>S38</t>
        </is>
      </c>
      <c r="N411" s="63" t="n"/>
    </row>
    <row r="412" ht="15" customHeight="1"/>
    <row r="413" ht="15" customHeight="1">
      <c r="A413" s="7" t="inlineStr">
        <is>
          <t>Rating</t>
        </is>
      </c>
      <c r="B413" s="7" t="inlineStr">
        <is>
          <t>Label</t>
        </is>
      </c>
      <c r="C413" s="63" t="n"/>
      <c r="D413" s="7" t="inlineStr">
        <is>
          <t>SFIA alignment</t>
        </is>
      </c>
      <c r="E413" s="64" t="n"/>
      <c r="F413" s="63" t="n"/>
      <c r="G413" s="7" t="inlineStr">
        <is>
          <t>What it looks like</t>
        </is>
      </c>
      <c r="H413" s="64" t="n"/>
      <c r="I413" s="64" t="n"/>
      <c r="J413" s="64" t="n"/>
      <c r="K413" s="64" t="n"/>
      <c r="L413" s="64" t="n"/>
      <c r="M413" s="64" t="n"/>
      <c r="N413" s="63" t="n"/>
    </row>
    <row r="414" ht="15" customHeight="1">
      <c r="A414" s="17" t="n">
        <v>1</v>
      </c>
      <c r="B414" s="9" t="inlineStr">
        <is>
          <t>Awareness</t>
        </is>
      </c>
      <c r="C414" s="63" t="n"/>
      <c r="D414" s="9" t="inlineStr">
        <is>
          <t>SFIA 1–2 · Follow / Assist</t>
        </is>
      </c>
      <c r="E414" s="64" t="n"/>
      <c r="F414" s="63" t="n"/>
      <c r="G414" s="9" t="inlineStr">
        <is>
          <t>Knows the concepts; does defined tasks with close guidance; all work reviewed.</t>
        </is>
      </c>
      <c r="H414" s="64" t="n"/>
      <c r="I414" s="64" t="n"/>
      <c r="J414" s="64" t="n"/>
      <c r="K414" s="64" t="n"/>
      <c r="L414" s="64" t="n"/>
      <c r="M414" s="64" t="n"/>
      <c r="N414" s="63" t="n"/>
    </row>
    <row r="415" ht="15" customHeight="1">
      <c r="A415" s="17" t="n">
        <v>2</v>
      </c>
      <c r="B415" s="9" t="inlineStr">
        <is>
          <t>Working</t>
        </is>
      </c>
      <c r="C415" s="63" t="n"/>
      <c r="D415" s="9" t="inlineStr">
        <is>
          <t>SFIA 2–3 · Assist / Apply</t>
        </is>
      </c>
      <c r="E415" s="64" t="n"/>
      <c r="F415" s="63" t="n"/>
      <c r="G415" s="9" t="inlineStr">
        <is>
          <t>Applies the skill to standard work with routine guidance; work spot-checked.</t>
        </is>
      </c>
      <c r="H415" s="64" t="n"/>
      <c r="I415" s="64" t="n"/>
      <c r="J415" s="64" t="n"/>
      <c r="K415" s="64" t="n"/>
      <c r="L415" s="64" t="n"/>
      <c r="M415" s="64" t="n"/>
      <c r="N415" s="63" t="n"/>
    </row>
    <row r="416" ht="15" customHeight="1">
      <c r="A416" s="17" t="n">
        <v>3</v>
      </c>
      <c r="B416" s="9" t="inlineStr">
        <is>
          <t>Practitioner</t>
        </is>
      </c>
      <c r="C416" s="63" t="n"/>
      <c r="D416" s="9" t="inlineStr">
        <is>
          <t>SFIA 3–4 · Apply / Enable</t>
        </is>
      </c>
      <c r="E416" s="64" t="n"/>
      <c r="F416" s="63" t="n"/>
      <c r="G416" s="9" t="inlineStr">
        <is>
          <t>Applies independently to varied, non-routine work; reviews and helps others.</t>
        </is>
      </c>
      <c r="H416" s="64" t="n"/>
      <c r="I416" s="64" t="n"/>
      <c r="J416" s="64" t="n"/>
      <c r="K416" s="64" t="n"/>
      <c r="L416" s="64" t="n"/>
      <c r="M416" s="64" t="n"/>
      <c r="N416" s="63" t="n"/>
    </row>
    <row r="417" ht="15" customHeight="1">
      <c r="A417" s="17" t="n">
        <v>4</v>
      </c>
      <c r="B417" s="9" t="inlineStr">
        <is>
          <t>Advanced</t>
        </is>
      </c>
      <c r="C417" s="63" t="n"/>
      <c r="D417" s="9" t="inlineStr">
        <is>
          <t>SFIA 4–5 · Enable / Ensure</t>
        </is>
      </c>
      <c r="E417" s="64" t="n"/>
      <c r="F417" s="63" t="n"/>
      <c r="G417" s="9" t="inlineStr">
        <is>
          <t>Solves the hardest problems; sets standards; coaches others; the recognised go-to.</t>
        </is>
      </c>
      <c r="H417" s="64" t="n"/>
      <c r="I417" s="64" t="n"/>
      <c r="J417" s="64" t="n"/>
      <c r="K417" s="64" t="n"/>
      <c r="L417" s="64" t="n"/>
      <c r="M417" s="64" t="n"/>
      <c r="N417" s="63" t="n"/>
    </row>
    <row r="418" ht="15" customHeight="1">
      <c r="A418" s="17" t="n">
        <v>5</v>
      </c>
      <c r="B418" s="9" t="inlineStr">
        <is>
          <t>Expert / Strategic</t>
        </is>
      </c>
      <c r="C418" s="63" t="n"/>
      <c r="D418" s="9" t="inlineStr">
        <is>
          <t>SFIA 6–7 · Initiate / Set strategy</t>
        </is>
      </c>
      <c r="E418" s="64" t="n"/>
      <c r="F418" s="63" t="n"/>
      <c r="G418" s="9" t="inlineStr">
        <is>
          <t>Shapes direction across IRIS or the industry; creates new methods; external authority.</t>
        </is>
      </c>
      <c r="H418" s="64" t="n"/>
      <c r="I418" s="64" t="n"/>
      <c r="J418" s="64" t="n"/>
      <c r="K418" s="64" t="n"/>
      <c r="L418" s="64" t="n"/>
      <c r="M418" s="64" t="n"/>
      <c r="N418" s="63" t="n"/>
    </row>
    <row r="419" ht="15" customHeight="1"/>
    <row r="420" ht="28" customHeight="1">
      <c r="A420" s="7" t="inlineStr">
        <is>
          <t>Level</t>
        </is>
      </c>
      <c r="B420" s="7" t="inlineStr">
        <is>
          <t>Core</t>
        </is>
      </c>
      <c r="C420" s="7" t="inlineStr">
        <is>
          <t>Future-ready</t>
        </is>
      </c>
      <c r="D420" s="7" t="inlineStr">
        <is>
          <t>Functional</t>
        </is>
      </c>
      <c r="E420" s="7" t="inlineStr">
        <is>
          <t>Leadership IC</t>
        </is>
      </c>
      <c r="F420" s="7" t="inlineStr">
        <is>
          <t>Leadership POD / Mgr</t>
        </is>
      </c>
      <c r="G420" s="63" t="n"/>
      <c r="H420" s="7" t="inlineStr">
        <is>
          <t>Cluster weights IC</t>
        </is>
      </c>
      <c r="I420" s="64" t="n"/>
      <c r="J420" s="63" t="n"/>
      <c r="K420" s="7" t="inlineStr">
        <is>
          <t>Cluster weights POD Lead</t>
        </is>
      </c>
      <c r="L420" s="63" t="n"/>
      <c r="M420" s="7" t="inlineStr">
        <is>
          <t>Cluster weights Manager</t>
        </is>
      </c>
      <c r="N420" s="63" t="n"/>
    </row>
    <row r="421" ht="15" customHeight="1">
      <c r="A421" s="42" t="inlineStr">
        <is>
          <t>A1</t>
        </is>
      </c>
      <c r="B421" s="42" t="n">
        <v>1</v>
      </c>
      <c r="C421" s="42" t="n">
        <v>1</v>
      </c>
      <c r="D421" s="42" t="n">
        <v>1</v>
      </c>
      <c r="E421" s="42" t="inlineStr">
        <is>
          <t>not scored</t>
        </is>
      </c>
      <c r="F421" s="42" t="inlineStr">
        <is>
          <t>not scored</t>
        </is>
      </c>
      <c r="G421" s="63" t="n"/>
      <c r="H421" s="42" t="inlineStr">
        <is>
          <t>30% / 20% / 50% / 0%</t>
        </is>
      </c>
      <c r="I421" s="64" t="n"/>
      <c r="J421" s="63" t="n"/>
      <c r="K421" s="42" t="inlineStr">
        <is>
          <t>—</t>
        </is>
      </c>
      <c r="L421" s="63" t="n"/>
      <c r="M421" s="42" t="inlineStr">
        <is>
          <t>30% / 20% / 50% / 0%</t>
        </is>
      </c>
      <c r="N421" s="63" t="n"/>
    </row>
    <row r="422" ht="15" customHeight="1">
      <c r="A422" s="42" t="inlineStr">
        <is>
          <t>A2</t>
        </is>
      </c>
      <c r="B422" s="42" t="n">
        <v>2</v>
      </c>
      <c r="C422" s="42" t="n">
        <v>2</v>
      </c>
      <c r="D422" s="42" t="n">
        <v>2</v>
      </c>
      <c r="E422" s="42" t="inlineStr">
        <is>
          <t>not scored</t>
        </is>
      </c>
      <c r="F422" s="42" t="inlineStr">
        <is>
          <t>not scored</t>
        </is>
      </c>
      <c r="G422" s="63" t="n"/>
      <c r="H422" s="42" t="inlineStr">
        <is>
          <t>30% / 20% / 50% / 0%</t>
        </is>
      </c>
      <c r="I422" s="64" t="n"/>
      <c r="J422" s="63" t="n"/>
      <c r="K422" s="42" t="inlineStr">
        <is>
          <t>—</t>
        </is>
      </c>
      <c r="L422" s="63" t="n"/>
      <c r="M422" s="42" t="inlineStr">
        <is>
          <t>30% / 20% / 50% / 0%</t>
        </is>
      </c>
      <c r="N422" s="63" t="n"/>
    </row>
    <row r="423" ht="15" customHeight="1">
      <c r="A423" s="42" t="inlineStr">
        <is>
          <t>A3</t>
        </is>
      </c>
      <c r="B423" s="42" t="n">
        <v>2</v>
      </c>
      <c r="C423" s="42" t="n">
        <v>2</v>
      </c>
      <c r="D423" s="42" t="n">
        <v>3</v>
      </c>
      <c r="E423" s="42" t="inlineStr">
        <is>
          <t>not scored</t>
        </is>
      </c>
      <c r="F423" s="42" t="inlineStr">
        <is>
          <t>not scored</t>
        </is>
      </c>
      <c r="G423" s="63" t="n"/>
      <c r="H423" s="42" t="inlineStr">
        <is>
          <t>30% / 20% / 50% / 0%</t>
        </is>
      </c>
      <c r="I423" s="64" t="n"/>
      <c r="J423" s="63" t="n"/>
      <c r="K423" s="42" t="inlineStr">
        <is>
          <t>—</t>
        </is>
      </c>
      <c r="L423" s="63" t="n"/>
      <c r="M423" s="42" t="inlineStr">
        <is>
          <t>30% / 20% / 50% / 0%</t>
        </is>
      </c>
      <c r="N423" s="63" t="n"/>
    </row>
    <row r="424" ht="15" customHeight="1">
      <c r="A424" s="43" t="inlineStr">
        <is>
          <t>B1</t>
        </is>
      </c>
      <c r="B424" s="43" t="n">
        <v>3</v>
      </c>
      <c r="C424" s="43" t="n">
        <v>3</v>
      </c>
      <c r="D424" s="43" t="n">
        <v>3</v>
      </c>
      <c r="E424" s="43" t="n">
        <v>1</v>
      </c>
      <c r="F424" s="43" t="n">
        <v>2</v>
      </c>
      <c r="G424" s="63" t="n"/>
      <c r="H424" s="43" t="inlineStr">
        <is>
          <t>25% / 20% / 45% / 10%</t>
        </is>
      </c>
      <c r="I424" s="64" t="n"/>
      <c r="J424" s="63" t="n"/>
      <c r="K424" s="43" t="inlineStr">
        <is>
          <t>25% / 15% / 40% / 20%</t>
        </is>
      </c>
      <c r="L424" s="63" t="n"/>
      <c r="M424" s="43" t="inlineStr">
        <is>
          <t>25% / 15% / 30% / 30%</t>
        </is>
      </c>
      <c r="N424" s="63" t="n"/>
    </row>
    <row r="425" ht="15" customHeight="1">
      <c r="A425" s="43" t="inlineStr">
        <is>
          <t>B2</t>
        </is>
      </c>
      <c r="B425" s="43" t="n">
        <v>3</v>
      </c>
      <c r="C425" s="43" t="n">
        <v>3</v>
      </c>
      <c r="D425" s="43" t="n">
        <v>4</v>
      </c>
      <c r="E425" s="43" t="n">
        <v>2</v>
      </c>
      <c r="F425" s="43" t="n">
        <v>3</v>
      </c>
      <c r="G425" s="63" t="n"/>
      <c r="H425" s="43" t="inlineStr">
        <is>
          <t>25% / 20% / 45% / 10%</t>
        </is>
      </c>
      <c r="I425" s="64" t="n"/>
      <c r="J425" s="63" t="n"/>
      <c r="K425" s="43" t="inlineStr">
        <is>
          <t>25% / 15% / 40% / 20%</t>
        </is>
      </c>
      <c r="L425" s="63" t="n"/>
      <c r="M425" s="43" t="inlineStr">
        <is>
          <t>25% / 15% / 30% / 30%</t>
        </is>
      </c>
      <c r="N425" s="63" t="n"/>
    </row>
    <row r="426" ht="15" customHeight="1">
      <c r="A426" s="43" t="inlineStr">
        <is>
          <t>B3</t>
        </is>
      </c>
      <c r="B426" s="43" t="n">
        <v>4</v>
      </c>
      <c r="C426" s="43" t="n">
        <v>3</v>
      </c>
      <c r="D426" s="43" t="n">
        <v>4</v>
      </c>
      <c r="E426" s="43" t="n">
        <v>3</v>
      </c>
      <c r="F426" s="43" t="n">
        <v>4</v>
      </c>
      <c r="G426" s="63" t="n"/>
      <c r="H426" s="43" t="inlineStr">
        <is>
          <t>25% / 20% / 45% / 10%</t>
        </is>
      </c>
      <c r="I426" s="64" t="n"/>
      <c r="J426" s="63" t="n"/>
      <c r="K426" s="43" t="inlineStr">
        <is>
          <t>25% / 15% / 40% / 20%</t>
        </is>
      </c>
      <c r="L426" s="63" t="n"/>
      <c r="M426" s="43" t="inlineStr">
        <is>
          <t>25% / 15% / 30% / 30%</t>
        </is>
      </c>
      <c r="N426" s="63" t="n"/>
    </row>
    <row r="427" ht="15" customHeight="1">
      <c r="A427" s="44" t="inlineStr">
        <is>
          <t>B+</t>
        </is>
      </c>
      <c r="B427" s="44" t="n">
        <v>4</v>
      </c>
      <c r="C427" s="44" t="n">
        <v>4</v>
      </c>
      <c r="D427" s="44" t="n">
        <v>4</v>
      </c>
      <c r="E427" s="44" t="n">
        <v>4</v>
      </c>
      <c r="F427" s="44" t="n">
        <v>4</v>
      </c>
      <c r="G427" s="63" t="n"/>
      <c r="H427" s="44" t="inlineStr">
        <is>
          <t>25% / 15% / 35% / 25%</t>
        </is>
      </c>
      <c r="I427" s="64" t="n"/>
      <c r="J427" s="63" t="n"/>
      <c r="K427" s="44" t="inlineStr">
        <is>
          <t>25% / 15% / 35% / 25%</t>
        </is>
      </c>
      <c r="L427" s="63" t="n"/>
      <c r="M427" s="44" t="inlineStr">
        <is>
          <t>25% / 15% / 35% / 25%</t>
        </is>
      </c>
      <c r="N427" s="63" t="n"/>
    </row>
    <row r="428" ht="15" customHeight="1">
      <c r="A428" s="45" t="inlineStr">
        <is>
          <t>C1</t>
        </is>
      </c>
      <c r="B428" s="45" t="n">
        <v>4</v>
      </c>
      <c r="C428" s="45" t="n">
        <v>4</v>
      </c>
      <c r="D428" s="45" t="n">
        <v>4</v>
      </c>
      <c r="E428" s="45" t="n">
        <v>4</v>
      </c>
      <c r="F428" s="45" t="n">
        <v>4</v>
      </c>
      <c r="G428" s="63" t="n"/>
      <c r="H428" s="45" t="inlineStr">
        <is>
          <t>20% / 15% / 30% / 35%</t>
        </is>
      </c>
      <c r="I428" s="64" t="n"/>
      <c r="J428" s="63" t="n"/>
      <c r="K428" s="45" t="inlineStr">
        <is>
          <t>20% / 15% / 30% / 35%</t>
        </is>
      </c>
      <c r="L428" s="63" t="n"/>
      <c r="M428" s="45" t="inlineStr">
        <is>
          <t>20% / 15% / 30% / 35%</t>
        </is>
      </c>
      <c r="N428" s="63" t="n"/>
    </row>
    <row r="429" ht="15" customHeight="1">
      <c r="A429" s="45" t="inlineStr">
        <is>
          <t>C2</t>
        </is>
      </c>
      <c r="B429" s="45" t="n">
        <v>4</v>
      </c>
      <c r="C429" s="45" t="n">
        <v>4</v>
      </c>
      <c r="D429" s="45" t="n">
        <v>5</v>
      </c>
      <c r="E429" s="45" t="n">
        <v>4</v>
      </c>
      <c r="F429" s="45" t="n">
        <v>4</v>
      </c>
      <c r="G429" s="63" t="n"/>
      <c r="H429" s="45" t="inlineStr">
        <is>
          <t>20% / 15% / 30% / 35%</t>
        </is>
      </c>
      <c r="I429" s="64" t="n"/>
      <c r="J429" s="63" t="n"/>
      <c r="K429" s="45" t="inlineStr">
        <is>
          <t>20% / 15% / 30% / 35%</t>
        </is>
      </c>
      <c r="L429" s="63" t="n"/>
      <c r="M429" s="45" t="inlineStr">
        <is>
          <t>20% / 15% / 30% / 35%</t>
        </is>
      </c>
      <c r="N429" s="63" t="n"/>
    </row>
    <row r="430" ht="15" customHeight="1">
      <c r="A430" s="46" t="inlineStr">
        <is>
          <t>C+</t>
        </is>
      </c>
      <c r="B430" s="46" t="n">
        <v>5</v>
      </c>
      <c r="C430" s="46" t="n">
        <v>4</v>
      </c>
      <c r="D430" s="46" t="n">
        <v>5</v>
      </c>
      <c r="E430" s="46" t="n">
        <v>5</v>
      </c>
      <c r="F430" s="46" t="n">
        <v>5</v>
      </c>
      <c r="G430" s="63" t="n"/>
      <c r="H430" s="46" t="inlineStr">
        <is>
          <t>25% / 15% / 25% / 35%</t>
        </is>
      </c>
      <c r="I430" s="64" t="n"/>
      <c r="J430" s="63" t="n"/>
      <c r="K430" s="46" t="inlineStr">
        <is>
          <t>25% / 15% / 25% / 35%</t>
        </is>
      </c>
      <c r="L430" s="63" t="n"/>
      <c r="M430" s="46" t="inlineStr">
        <is>
          <t>25% / 15% / 25% / 35%</t>
        </is>
      </c>
      <c r="N430" s="63" t="n"/>
    </row>
    <row r="431" ht="15" customHeight="1">
      <c r="A431" s="47" t="inlineStr">
        <is>
          <t>D1</t>
        </is>
      </c>
      <c r="B431" s="47" t="n">
        <v>5</v>
      </c>
      <c r="C431" s="47" t="n">
        <v>4</v>
      </c>
      <c r="D431" s="47" t="n">
        <v>4</v>
      </c>
      <c r="E431" s="47" t="n">
        <v>5</v>
      </c>
      <c r="F431" s="47" t="n">
        <v>5</v>
      </c>
      <c r="G431" s="63" t="n"/>
      <c r="H431" s="47" t="inlineStr">
        <is>
          <t>25% / 15% / 15% / 45%</t>
        </is>
      </c>
      <c r="I431" s="64" t="n"/>
      <c r="J431" s="63" t="n"/>
      <c r="K431" s="47" t="inlineStr">
        <is>
          <t>—</t>
        </is>
      </c>
      <c r="L431" s="63" t="n"/>
      <c r="M431" s="47" t="inlineStr">
        <is>
          <t>25% / 15% / 15% / 45%</t>
        </is>
      </c>
      <c r="N431" s="63" t="n"/>
    </row>
    <row r="432" ht="15" customHeight="1">
      <c r="A432" s="47" t="inlineStr">
        <is>
          <t>D2</t>
        </is>
      </c>
      <c r="B432" s="47" t="n">
        <v>5</v>
      </c>
      <c r="C432" s="47" t="n">
        <v>4</v>
      </c>
      <c r="D432" s="47" t="n">
        <v>4</v>
      </c>
      <c r="E432" s="47" t="n">
        <v>5</v>
      </c>
      <c r="F432" s="47" t="n">
        <v>5</v>
      </c>
      <c r="G432" s="63" t="n"/>
      <c r="H432" s="47" t="inlineStr">
        <is>
          <t>25% / 15% / 15% / 45%</t>
        </is>
      </c>
      <c r="I432" s="64" t="n"/>
      <c r="J432" s="63" t="n"/>
      <c r="K432" s="47" t="inlineStr">
        <is>
          <t>—</t>
        </is>
      </c>
      <c r="L432" s="63" t="n"/>
      <c r="M432" s="47" t="inlineStr">
        <is>
          <t>25% / 15% / 15% / 45%</t>
        </is>
      </c>
      <c r="N432" s="63" t="n"/>
    </row>
    <row r="433" ht="15" customHeight="1">
      <c r="A433" s="48" t="inlineStr">
        <is>
          <t>E1</t>
        </is>
      </c>
      <c r="B433" s="48" t="n">
        <v>5</v>
      </c>
      <c r="C433" s="48" t="n">
        <v>5</v>
      </c>
      <c r="D433" s="48" t="n">
        <v>4</v>
      </c>
      <c r="E433" s="48" t="n">
        <v>5</v>
      </c>
      <c r="F433" s="48" t="n">
        <v>5</v>
      </c>
      <c r="G433" s="63" t="n"/>
      <c r="H433" s="48" t="inlineStr">
        <is>
          <t>25% / 15% / 15% / 45%</t>
        </is>
      </c>
      <c r="I433" s="64" t="n"/>
      <c r="J433" s="63" t="n"/>
      <c r="K433" s="48" t="inlineStr">
        <is>
          <t>—</t>
        </is>
      </c>
      <c r="L433" s="63" t="n"/>
      <c r="M433" s="48" t="inlineStr">
        <is>
          <t>25% / 15% / 15% / 45%</t>
        </is>
      </c>
      <c r="N433" s="63" t="n"/>
    </row>
    <row r="434" ht="15" customHeight="1">
      <c r="A434" s="48" t="inlineStr">
        <is>
          <t>E2</t>
        </is>
      </c>
      <c r="B434" s="48" t="n">
        <v>5</v>
      </c>
      <c r="C434" s="48" t="n">
        <v>5</v>
      </c>
      <c r="D434" s="48" t="n">
        <v>4</v>
      </c>
      <c r="E434" s="48" t="n">
        <v>5</v>
      </c>
      <c r="F434" s="48" t="n">
        <v>5</v>
      </c>
      <c r="G434" s="63" t="n"/>
      <c r="H434" s="48" t="inlineStr">
        <is>
          <t>25% / 15% / 15% / 45%</t>
        </is>
      </c>
      <c r="I434" s="64" t="n"/>
      <c r="J434" s="63" t="n"/>
      <c r="K434" s="48" t="inlineStr">
        <is>
          <t>—</t>
        </is>
      </c>
      <c r="L434" s="63" t="n"/>
      <c r="M434" s="48" t="inlineStr">
        <is>
          <t>25% / 15% / 15% / 45%</t>
        </is>
      </c>
      <c r="N434" s="63" t="n"/>
    </row>
    <row r="435" ht="15" customHeight="1"/>
    <row r="436" ht="28" customHeight="1">
      <c r="A436" s="7" t="inlineStr">
        <is>
          <t>Cluster</t>
        </is>
      </c>
      <c r="B436" s="7" t="inlineStr">
        <is>
          <t>IRIS competency</t>
        </is>
      </c>
      <c r="C436" s="64" t="n"/>
      <c r="D436" s="63" t="n"/>
      <c r="E436" s="7" t="inlineStr">
        <is>
          <t>SHL Great Eight</t>
        </is>
      </c>
      <c r="F436" s="64" t="n"/>
      <c r="G436" s="63" t="n"/>
      <c r="H436" s="7" t="inlineStr">
        <is>
          <t>Korn Ferry Leadership Architect</t>
        </is>
      </c>
      <c r="I436" s="64" t="n"/>
      <c r="J436" s="63" t="n"/>
      <c r="K436" s="7" t="inlineStr">
        <is>
          <t>Google Project Oxygen</t>
        </is>
      </c>
      <c r="L436" s="63" t="n"/>
      <c r="M436" s="7" t="inlineStr">
        <is>
          <t>Other</t>
        </is>
      </c>
      <c r="N436" s="63" t="n"/>
    </row>
    <row r="437" ht="28" customHeight="1">
      <c r="A437" s="14" t="inlineStr">
        <is>
          <t>Core</t>
        </is>
      </c>
      <c r="B437" s="9" t="inlineStr">
        <is>
          <t>Ownership &amp; Accountability</t>
        </is>
      </c>
      <c r="C437" s="64" t="n"/>
      <c r="D437" s="63" t="n"/>
      <c r="E437" s="9" t="inlineStr">
        <is>
          <t>Organising &amp; Executing; Enterprising &amp; Performing</t>
        </is>
      </c>
      <c r="F437" s="64" t="n"/>
      <c r="G437" s="63" t="n"/>
      <c r="H437" s="9" t="inlineStr">
        <is>
          <t>Results — Ensures accountability</t>
        </is>
      </c>
      <c r="I437" s="64" t="n"/>
      <c r="J437" s="63" t="n"/>
      <c r="K437" s="9" t="inlineStr">
        <is>
          <t>—</t>
        </is>
      </c>
      <c r="L437" s="63" t="n"/>
      <c r="M437" s="9" t="inlineStr">
        <is>
          <t>SFIA autonomy</t>
        </is>
      </c>
      <c r="N437" s="63" t="n"/>
    </row>
    <row r="438" ht="28" customHeight="1">
      <c r="A438" s="14" t="inlineStr">
        <is>
          <t>Core</t>
        </is>
      </c>
      <c r="B438" s="9" t="inlineStr">
        <is>
          <t>Problem Solving &amp; Critical Thinking</t>
        </is>
      </c>
      <c r="C438" s="64" t="n"/>
      <c r="D438" s="63" t="n"/>
      <c r="E438" s="9" t="inlineStr">
        <is>
          <t>Analysing &amp; Interpreting</t>
        </is>
      </c>
      <c r="F438" s="64" t="n"/>
      <c r="G438" s="63" t="n"/>
      <c r="H438" s="9" t="inlineStr">
        <is>
          <t>Thought — Manages complexity; Decision quality</t>
        </is>
      </c>
      <c r="I438" s="64" t="n"/>
      <c r="J438" s="63" t="n"/>
      <c r="K438" s="9" t="inlineStr">
        <is>
          <t>—</t>
        </is>
      </c>
      <c r="L438" s="63" t="n"/>
      <c r="M438" s="9" t="inlineStr">
        <is>
          <t>WEF analytical thinking</t>
        </is>
      </c>
      <c r="N438" s="63" t="n"/>
    </row>
    <row r="439" ht="28" customHeight="1">
      <c r="A439" s="14" t="inlineStr">
        <is>
          <t>Core</t>
        </is>
      </c>
      <c r="B439" s="9" t="inlineStr">
        <is>
          <t>Communication &amp; Collaboration</t>
        </is>
      </c>
      <c r="C439" s="64" t="n"/>
      <c r="D439" s="63" t="n"/>
      <c r="E439" s="9" t="inlineStr">
        <is>
          <t>Interacting &amp; Presenting; Supporting &amp; Co-operating</t>
        </is>
      </c>
      <c r="F439" s="64" t="n"/>
      <c r="G439" s="63" t="n"/>
      <c r="H439" s="9" t="inlineStr">
        <is>
          <t>People — Communicates effectively; Collaborates</t>
        </is>
      </c>
      <c r="I439" s="64" t="n"/>
      <c r="J439" s="63" t="n"/>
      <c r="K439" s="9" t="inlineStr">
        <is>
          <t>Good communicator; collaborates across the company</t>
        </is>
      </c>
      <c r="L439" s="63" t="n"/>
      <c r="M439" s="9" t="inlineStr">
        <is>
          <t>SFIA communication</t>
        </is>
      </c>
      <c r="N439" s="63" t="n"/>
    </row>
    <row r="440" ht="15" customHeight="1">
      <c r="A440" s="14" t="inlineStr">
        <is>
          <t>Core</t>
        </is>
      </c>
      <c r="B440" s="9" t="inlineStr">
        <is>
          <t>Client &amp; Quality Focus</t>
        </is>
      </c>
      <c r="C440" s="64" t="n"/>
      <c r="D440" s="63" t="n"/>
      <c r="E440" s="9" t="inlineStr">
        <is>
          <t>Organising &amp; Executing</t>
        </is>
      </c>
      <c r="F440" s="64" t="n"/>
      <c r="G440" s="63" t="n"/>
      <c r="H440" s="9" t="inlineStr">
        <is>
          <t>Thought — Customer focus</t>
        </is>
      </c>
      <c r="I440" s="64" t="n"/>
      <c r="J440" s="63" t="n"/>
      <c r="K440" s="9" t="inlineStr">
        <is>
          <t>—</t>
        </is>
      </c>
      <c r="L440" s="63" t="n"/>
      <c r="M440" s="9" t="inlineStr">
        <is>
          <t>WEF service orientation</t>
        </is>
      </c>
      <c r="N440" s="63" t="n"/>
    </row>
    <row r="441" ht="28" customHeight="1">
      <c r="A441" s="14" t="inlineStr">
        <is>
          <t>Core</t>
        </is>
      </c>
      <c r="B441" s="9" t="inlineStr">
        <is>
          <t>Learning Agility &amp; Adaptability</t>
        </is>
      </c>
      <c r="C441" s="64" t="n"/>
      <c r="D441" s="63" t="n"/>
      <c r="E441" s="9" t="inlineStr">
        <is>
          <t>Adapting &amp; Coping</t>
        </is>
      </c>
      <c r="F441" s="64" t="n"/>
      <c r="G441" s="63" t="n"/>
      <c r="H441" s="9" t="inlineStr">
        <is>
          <t>Self — Nimble learning; Situational adaptability</t>
        </is>
      </c>
      <c r="I441" s="64" t="n"/>
      <c r="J441" s="63" t="n"/>
      <c r="K441" s="9" t="inlineStr">
        <is>
          <t>—</t>
        </is>
      </c>
      <c r="L441" s="63" t="n"/>
      <c r="M441" s="9" t="inlineStr">
        <is>
          <t>WEF resilience, flexibility &amp; agility; curiosity</t>
        </is>
      </c>
      <c r="N441" s="63" t="n"/>
    </row>
    <row r="442" ht="28" customHeight="1">
      <c r="A442" s="14" t="inlineStr">
        <is>
          <t>Core</t>
        </is>
      </c>
      <c r="B442" s="9" t="inlineStr">
        <is>
          <t>Integrity, Compliance &amp; Information Security</t>
        </is>
      </c>
      <c r="C442" s="64" t="n"/>
      <c r="D442" s="63" t="n"/>
      <c r="E442" s="9" t="inlineStr">
        <is>
          <t>Supporting &amp; Co-operating · adhering to principles</t>
        </is>
      </c>
      <c r="F442" s="64" t="n"/>
      <c r="G442" s="63" t="n"/>
      <c r="H442" s="9" t="inlineStr">
        <is>
          <t>People — Instils trust</t>
        </is>
      </c>
      <c r="I442" s="64" t="n"/>
      <c r="J442" s="63" t="n"/>
      <c r="K442" s="9" t="inlineStr">
        <is>
          <t>—</t>
        </is>
      </c>
      <c r="L442" s="63" t="n"/>
      <c r="M442" s="9" t="inlineStr">
        <is>
          <t>ISO 27001; IRIS mandatory learning</t>
        </is>
      </c>
      <c r="N442" s="63" t="n"/>
    </row>
    <row r="443" ht="28" customHeight="1">
      <c r="A443" s="14" t="inlineStr">
        <is>
          <t>Future-ready</t>
        </is>
      </c>
      <c r="B443" s="9" t="inlineStr">
        <is>
          <t>AI Literacy &amp; Augmentation</t>
        </is>
      </c>
      <c r="C443" s="64" t="n"/>
      <c r="D443" s="63" t="n"/>
      <c r="E443" s="9" t="inlineStr">
        <is>
          <t>Analysing &amp; Interpreting</t>
        </is>
      </c>
      <c r="F443" s="64" t="n"/>
      <c r="G443" s="63" t="n"/>
      <c r="H443" s="9" t="inlineStr">
        <is>
          <t>Thought — Tech savvy</t>
        </is>
      </c>
      <c r="I443" s="64" t="n"/>
      <c r="J443" s="63" t="n"/>
      <c r="K443" s="9" t="inlineStr">
        <is>
          <t>—</t>
        </is>
      </c>
      <c r="L443" s="63" t="n"/>
      <c r="M443" s="9" t="inlineStr">
        <is>
          <t>WEF AI &amp; big data; DEC AI literacy</t>
        </is>
      </c>
      <c r="N443" s="63" t="n"/>
    </row>
    <row r="444" ht="15" customHeight="1">
      <c r="A444" s="14" t="inlineStr">
        <is>
          <t>Future-ready</t>
        </is>
      </c>
      <c r="B444" s="9" t="inlineStr">
        <is>
          <t>Data Literacy &amp; Analytics</t>
        </is>
      </c>
      <c r="C444" s="64" t="n"/>
      <c r="D444" s="63" t="n"/>
      <c r="E444" s="9" t="inlineStr">
        <is>
          <t>Analysing &amp; Interpreting</t>
        </is>
      </c>
      <c r="F444" s="64" t="n"/>
      <c r="G444" s="63" t="n"/>
      <c r="H444" s="9" t="inlineStr">
        <is>
          <t>Thought — Manages complexity</t>
        </is>
      </c>
      <c r="I444" s="64" t="n"/>
      <c r="J444" s="63" t="n"/>
      <c r="K444" s="9" t="inlineStr">
        <is>
          <t>—</t>
        </is>
      </c>
      <c r="L444" s="63" t="n"/>
      <c r="M444" s="9" t="inlineStr">
        <is>
          <t>WEF AI &amp; big data</t>
        </is>
      </c>
      <c r="N444" s="63" t="n"/>
    </row>
    <row r="445" ht="28" customHeight="1">
      <c r="A445" s="14" t="inlineStr">
        <is>
          <t>Future-ready</t>
        </is>
      </c>
      <c r="B445" s="9" t="inlineStr">
        <is>
          <t>Digital Fluency &amp; Automation</t>
        </is>
      </c>
      <c r="C445" s="64" t="n"/>
      <c r="D445" s="63" t="n"/>
      <c r="E445" s="9" t="inlineStr">
        <is>
          <t>Creating &amp; Conceptualising</t>
        </is>
      </c>
      <c r="F445" s="64" t="n"/>
      <c r="G445" s="63" t="n"/>
      <c r="H445" s="9" t="inlineStr">
        <is>
          <t>Thought — Tech savvy</t>
        </is>
      </c>
      <c r="I445" s="64" t="n"/>
      <c r="J445" s="63" t="n"/>
      <c r="K445" s="9" t="inlineStr">
        <is>
          <t>—</t>
        </is>
      </c>
      <c r="L445" s="63" t="n"/>
      <c r="M445" s="9" t="inlineStr">
        <is>
          <t>WEF technological literacy</t>
        </is>
      </c>
      <c r="N445" s="63" t="n"/>
    </row>
    <row r="446" ht="15" customHeight="1">
      <c r="A446" s="14" t="inlineStr">
        <is>
          <t>Future-ready</t>
        </is>
      </c>
      <c r="B446" s="9" t="inlineStr">
        <is>
          <t>Innovation &amp; Continuous Improvement</t>
        </is>
      </c>
      <c r="C446" s="64" t="n"/>
      <c r="D446" s="63" t="n"/>
      <c r="E446" s="9" t="inlineStr">
        <is>
          <t>Creating &amp; Conceptualising</t>
        </is>
      </c>
      <c r="F446" s="64" t="n"/>
      <c r="G446" s="63" t="n"/>
      <c r="H446" s="9" t="inlineStr">
        <is>
          <t>Thought — Cultivates innovation</t>
        </is>
      </c>
      <c r="I446" s="64" t="n"/>
      <c r="J446" s="63" t="n"/>
      <c r="K446" s="9" t="inlineStr">
        <is>
          <t>—</t>
        </is>
      </c>
      <c r="L446" s="63" t="n"/>
      <c r="M446" s="9" t="inlineStr">
        <is>
          <t>WEF creative thinking</t>
        </is>
      </c>
      <c r="N446" s="63" t="n"/>
    </row>
    <row r="447" ht="41" customHeight="1">
      <c r="A447" s="14" t="inlineStr">
        <is>
          <t>Leadership</t>
        </is>
      </c>
      <c r="B447" s="9" t="inlineStr">
        <is>
          <t>Leading &amp; Developing People</t>
        </is>
      </c>
      <c r="C447" s="64" t="n"/>
      <c r="D447" s="63" t="n"/>
      <c r="E447" s="9" t="inlineStr">
        <is>
          <t>Leading &amp; Deciding</t>
        </is>
      </c>
      <c r="F447" s="64" t="n"/>
      <c r="G447" s="63" t="n"/>
      <c r="H447" s="9" t="inlineStr">
        <is>
          <t>People — Develops talent; Builds effective teams</t>
        </is>
      </c>
      <c r="I447" s="64" t="n"/>
      <c r="J447" s="63" t="n"/>
      <c r="K447" s="9" t="inlineStr">
        <is>
          <t>Is a good coach; supports career development; inclusive team</t>
        </is>
      </c>
      <c r="L447" s="63" t="n"/>
      <c r="M447" s="9" t="inlineStr">
        <is>
          <t>PMI power skills</t>
        </is>
      </c>
      <c r="N447" s="63" t="n"/>
    </row>
    <row r="448" ht="41" customHeight="1">
      <c r="A448" s="14" t="inlineStr">
        <is>
          <t>Leadership</t>
        </is>
      </c>
      <c r="B448" s="9" t="inlineStr">
        <is>
          <t>Decision Making &amp; Delegation</t>
        </is>
      </c>
      <c r="C448" s="64" t="n"/>
      <c r="D448" s="63" t="n"/>
      <c r="E448" s="9" t="inlineStr">
        <is>
          <t>Leading &amp; Deciding</t>
        </is>
      </c>
      <c r="F448" s="64" t="n"/>
      <c r="G448" s="63" t="n"/>
      <c r="H448" s="9" t="inlineStr">
        <is>
          <t>Results — Decision quality; Directs work</t>
        </is>
      </c>
      <c r="I448" s="64" t="n"/>
      <c r="J448" s="63" t="n"/>
      <c r="K448" s="9" t="inlineStr">
        <is>
          <t>Empowers, does not micromanage; strong decision maker</t>
        </is>
      </c>
      <c r="L448" s="63" t="n"/>
      <c r="M448" s="9" t="inlineStr">
        <is>
          <t>SFIA decision-making</t>
        </is>
      </c>
      <c r="N448" s="63" t="n"/>
    </row>
    <row r="449" ht="28" customHeight="1">
      <c r="A449" s="14" t="inlineStr">
        <is>
          <t>Leadership</t>
        </is>
      </c>
      <c r="B449" s="9" t="inlineStr">
        <is>
          <t>Strategic &amp; Business Acumen</t>
        </is>
      </c>
      <c r="C449" s="64" t="n"/>
      <c r="D449" s="63" t="n"/>
      <c r="E449" s="9" t="inlineStr">
        <is>
          <t>Enterprising &amp; Performing</t>
        </is>
      </c>
      <c r="F449" s="64" t="n"/>
      <c r="G449" s="63" t="n"/>
      <c r="H449" s="9" t="inlineStr">
        <is>
          <t>Thought — Business insight; Strategic mindset</t>
        </is>
      </c>
      <c r="I449" s="64" t="n"/>
      <c r="J449" s="63" t="n"/>
      <c r="K449" s="9" t="inlineStr">
        <is>
          <t>Clear vision and strategy</t>
        </is>
      </c>
      <c r="L449" s="63" t="n"/>
      <c r="M449" s="9" t="inlineStr">
        <is>
          <t>PMI business acumen</t>
        </is>
      </c>
      <c r="N449" s="63" t="n"/>
    </row>
    <row r="450" ht="28" customHeight="1">
      <c r="A450" s="14" t="inlineStr">
        <is>
          <t>Leadership</t>
        </is>
      </c>
      <c r="B450" s="9" t="inlineStr">
        <is>
          <t>Influence &amp; Change Leadership</t>
        </is>
      </c>
      <c r="C450" s="64" t="n"/>
      <c r="D450" s="63" t="n"/>
      <c r="E450" s="9" t="inlineStr">
        <is>
          <t>Interacting &amp; Presenting</t>
        </is>
      </c>
      <c r="F450" s="64" t="n"/>
      <c r="G450" s="63" t="n"/>
      <c r="H450" s="9" t="inlineStr">
        <is>
          <t>People — Persuades; Drives vision &amp; purpose</t>
        </is>
      </c>
      <c r="I450" s="64" t="n"/>
      <c r="J450" s="63" t="n"/>
      <c r="K450" s="9" t="inlineStr">
        <is>
          <t>Collaborates across the company; results-oriented</t>
        </is>
      </c>
      <c r="L450" s="63" t="n"/>
      <c r="M450" s="9" t="inlineStr">
        <is>
          <t>WEF leadership &amp; social influence</t>
        </is>
      </c>
      <c r="N450" s="63" t="n"/>
    </row>
    <row r="451" ht="15" customHeight="1"/>
    <row r="452" ht="15" customHeight="1">
      <c r="A452" s="12" t="inlineStr">
        <is>
          <t>Functional competencies · 6 per family, two ★ must-haves and department technical competencies are listed on sheet 4 of each workbook, with sources.</t>
        </is>
      </c>
    </row>
    <row r="453" ht="20" customHeight="1">
      <c r="A453" s="6" t="inlineStr">
        <is>
          <t>M12. Career &amp; mobility</t>
        </is>
      </c>
    </row>
    <row r="454" ht="15" customHeight="1">
      <c r="A454" s="7" t="inlineStr">
        <is>
          <t>ID</t>
        </is>
      </c>
      <c r="B454" s="7" t="inlineStr">
        <is>
          <t>Rule</t>
        </is>
      </c>
      <c r="C454" s="64" t="n"/>
      <c r="D454" s="64" t="n"/>
      <c r="E454" s="64" t="n"/>
      <c r="F454" s="64" t="n"/>
      <c r="G454" s="64" t="n"/>
      <c r="H454" s="64" t="n"/>
      <c r="I454" s="64" t="n"/>
      <c r="J454" s="64" t="n"/>
      <c r="K454" s="64" t="n"/>
      <c r="L454" s="63" t="n"/>
      <c r="M454" s="7" t="inlineStr">
        <is>
          <t>Sources</t>
        </is>
      </c>
      <c r="N454" s="63" t="n"/>
    </row>
    <row r="455" ht="28" customHeight="1">
      <c r="A455" s="14" t="inlineStr">
        <is>
          <t>G1</t>
        </is>
      </c>
      <c r="B455" s="9" t="inlineStr">
        <is>
          <r>
            <rPr>
              <rFont val="Calibri"/>
              <b val="1"/>
              <sz val="10"/>
            </rPr>
            <t>Promotion:</t>
          </r>
          <r>
            <rPr>
              <rFont val="Calibri"/>
              <sz val="10"/>
            </rPr>
            <t xml:space="preserve"> a role of the next level's scope exists; rating 4+ in two consecutive cycles; ≥ 90% of the next level's competency profile; six months already working at that scope.</t>
          </r>
        </is>
      </c>
      <c r="C455" s="64" t="n"/>
      <c r="D455" s="64" t="n"/>
      <c r="E455" s="64" t="n"/>
      <c r="F455" s="64" t="n"/>
      <c r="G455" s="64" t="n"/>
      <c r="H455" s="64" t="n"/>
      <c r="I455" s="64" t="n"/>
      <c r="J455" s="64" t="n"/>
      <c r="K455" s="64" t="n"/>
      <c r="L455" s="63" t="n"/>
      <c r="M455" s="9" t="inlineStr">
        <is>
          <t>S05, S08</t>
        </is>
      </c>
      <c r="N455" s="63" t="n"/>
    </row>
    <row r="456" ht="15" customHeight="1">
      <c r="A456" s="14" t="inlineStr">
        <is>
          <t>G2</t>
        </is>
      </c>
      <c r="B456" s="9" t="inlineStr">
        <is>
          <t>Track switch · IC ↔ Manager at the same grade, from B1 upward; trial period of one cycle; no pay cut.</t>
        </is>
      </c>
      <c r="C456" s="64" t="n"/>
      <c r="D456" s="64" t="n"/>
      <c r="E456" s="64" t="n"/>
      <c r="F456" s="64" t="n"/>
      <c r="G456" s="64" t="n"/>
      <c r="H456" s="64" t="n"/>
      <c r="I456" s="64" t="n"/>
      <c r="J456" s="64" t="n"/>
      <c r="K456" s="64" t="n"/>
      <c r="L456" s="63" t="n"/>
      <c r="M456" s="9" t="inlineStr">
        <is>
          <t>S03, S37</t>
        </is>
      </c>
      <c r="N456" s="63" t="n"/>
    </row>
    <row r="457" ht="15" customHeight="1">
      <c r="A457" s="14" t="inlineStr">
        <is>
          <t>G3</t>
        </is>
      </c>
      <c r="B457" s="9" t="inlineStr">
        <is>
          <r>
            <rPr>
              <rFont val="Calibri"/>
              <b val="1"/>
              <sz val="10"/>
            </rPr>
            <t>Lateral move:</t>
          </r>
          <r>
            <rPr>
              <rFont val="Calibri"/>
              <sz val="10"/>
            </rPr>
            <t xml:space="preserve"> both must-haves of the target family evidenced, ≥ 67% of its functional set, index ≥ 75%; 3–6 month plan.</t>
          </r>
        </is>
      </c>
      <c r="C457" s="64" t="n"/>
      <c r="D457" s="64" t="n"/>
      <c r="E457" s="64" t="n"/>
      <c r="F457" s="64" t="n"/>
      <c r="G457" s="64" t="n"/>
      <c r="H457" s="64" t="n"/>
      <c r="I457" s="64" t="n"/>
      <c r="J457" s="64" t="n"/>
      <c r="K457" s="64" t="n"/>
      <c r="L457" s="63" t="n"/>
      <c r="M457" s="9" t="inlineStr">
        <is>
          <t>C5</t>
        </is>
      </c>
      <c r="N457" s="63" t="n"/>
    </row>
    <row r="458" ht="28" customHeight="1">
      <c r="A458" s="14" t="inlineStr">
        <is>
          <t>G4</t>
        </is>
      </c>
      <c r="B458" s="9" t="inlineStr">
        <is>
          <r>
            <rPr>
              <rFont val="Calibri"/>
              <b val="1"/>
              <sz val="10"/>
            </rPr>
            <t>Campus entry:</t>
          </r>
          <r>
            <rPr>
              <rFont val="Calibri"/>
              <sz val="10"/>
            </rPr>
            <t xml:space="preserve"> interns and first-year trainees at A1; graduates at A2; postgraduates / professionally qualified may enter at A3 · campus tiers CT1–CT3.</t>
          </r>
        </is>
      </c>
      <c r="C458" s="64" t="n"/>
      <c r="D458" s="64" t="n"/>
      <c r="E458" s="64" t="n"/>
      <c r="F458" s="64" t="n"/>
      <c r="G458" s="64" t="n"/>
      <c r="H458" s="64" t="n"/>
      <c r="I458" s="64" t="n"/>
      <c r="J458" s="64" t="n"/>
      <c r="K458" s="64" t="n"/>
      <c r="L458" s="63" t="n"/>
      <c r="M458" s="9" t="inlineStr">
        <is>
          <t>S38</t>
        </is>
      </c>
      <c r="N458" s="63" t="n"/>
    </row>
    <row r="459" ht="15" customHeight="1">
      <c r="A459" s="14" t="inlineStr">
        <is>
          <t>G5</t>
        </is>
      </c>
      <c r="B459" s="9" t="inlineStr">
        <is>
          <t>Experienced hires are levelled by a panel independent of the hiring manager, using the same six factors.</t>
        </is>
      </c>
      <c r="C459" s="64" t="n"/>
      <c r="D459" s="64" t="n"/>
      <c r="E459" s="64" t="n"/>
      <c r="F459" s="64" t="n"/>
      <c r="G459" s="64" t="n"/>
      <c r="H459" s="64" t="n"/>
      <c r="I459" s="64" t="n"/>
      <c r="J459" s="64" t="n"/>
      <c r="K459" s="64" t="n"/>
      <c r="L459" s="63" t="n"/>
      <c r="M459" s="9" t="inlineStr">
        <is>
          <t>S38</t>
        </is>
      </c>
      <c r="N459" s="63" t="n"/>
    </row>
    <row r="460" ht="15" customHeight="1">
      <c r="A460" s="14" t="inlineStr">
        <is>
          <t>G6</t>
        </is>
      </c>
      <c r="B460" s="9" t="inlineStr">
        <is>
          <r>
            <rPr>
              <rFont val="Calibri"/>
              <b val="1"/>
              <sz val="10"/>
            </rPr>
            <t>Succession:</t>
          </r>
          <r>
            <rPr>
              <rFont val="Calibri"/>
              <sz val="10"/>
            </rPr>
            <t xml:space="preserve"> roles where "only I do this" plus a single holder at B2+ are succession-critical; each needs a named successor and KT plan.</t>
          </r>
        </is>
      </c>
      <c r="C460" s="64" t="n"/>
      <c r="D460" s="64" t="n"/>
      <c r="E460" s="64" t="n"/>
      <c r="F460" s="64" t="n"/>
      <c r="G460" s="64" t="n"/>
      <c r="H460" s="64" t="n"/>
      <c r="I460" s="64" t="n"/>
      <c r="J460" s="64" t="n"/>
      <c r="K460" s="64" t="n"/>
      <c r="L460" s="63" t="n"/>
      <c r="M460" s="9" t="inlineStr">
        <is>
          <t>S41</t>
        </is>
      </c>
      <c r="N460" s="63" t="n"/>
    </row>
    <row r="461" ht="15" customHeight="1"/>
    <row r="462" ht="20" customHeight="1">
      <c r="A462" s="6" t="inlineStr">
        <is>
          <t>M13. Market benchmarking — methods, level crosswalk and experience triangulation</t>
        </is>
      </c>
    </row>
    <row r="463" ht="15" customHeight="1">
      <c r="A463" s="7" t="inlineStr">
        <is>
          <t>Method</t>
        </is>
      </c>
      <c r="B463" s="63" t="n"/>
      <c r="C463" s="7" t="inlineStr">
        <is>
          <t>What it is</t>
        </is>
      </c>
      <c r="D463" s="64" t="n"/>
      <c r="E463" s="63" t="n"/>
      <c r="F463" s="7" t="inlineStr">
        <is>
          <t>Strength</t>
        </is>
      </c>
      <c r="G463" s="64" t="n"/>
      <c r="H463" s="63" t="n"/>
      <c r="I463" s="7" t="inlineStr">
        <is>
          <t>Limitation</t>
        </is>
      </c>
      <c r="J463" s="64" t="n"/>
      <c r="K463" s="63" t="n"/>
      <c r="L463" s="7" t="inlineStr">
        <is>
          <t>What IRIS took</t>
        </is>
      </c>
      <c r="M463" s="64" t="n"/>
      <c r="N463" s="63" t="n"/>
    </row>
    <row r="464" ht="41" customHeight="1">
      <c r="A464" s="14" t="inlineStr">
        <is>
          <t>Korn Ferry Hay</t>
        </is>
      </c>
      <c r="B464" s="63" t="n"/>
      <c r="C464" s="9" t="inlineStr">
        <is>
          <r>
            <rPr>
              <rFont val="Calibri"/>
              <b val="1"/>
              <sz val="10"/>
            </rPr>
            <t>Point-factor:</t>
          </r>
          <r>
            <rPr>
              <rFont val="Calibri"/>
              <sz val="10"/>
            </rPr>
            <t xml:space="preserve"> Know-How, Problem Solving, Accountability; short profile A / L / P</t>
          </r>
        </is>
      </c>
      <c r="D464" s="64" t="n"/>
      <c r="E464" s="63" t="n"/>
      <c r="F464" s="9" t="inlineStr">
        <is>
          <t>Most widely used; profile shape by type of work</t>
        </is>
      </c>
      <c r="G464" s="64" t="n"/>
      <c r="H464" s="63" t="n"/>
      <c r="I464" s="9" t="inlineStr">
        <is>
          <t>Licensed; heavy per-job evaluation</t>
        </is>
      </c>
      <c r="J464" s="64" t="n"/>
      <c r="K464" s="63" t="n"/>
      <c r="L464" s="9" t="inlineStr">
        <is>
          <t>Factor logic; seniority shift; profile tilt</t>
        </is>
      </c>
      <c r="M464" s="64" t="n"/>
      <c r="N464" s="63" t="n"/>
    </row>
    <row r="465" ht="41" customHeight="1">
      <c r="A465" s="14" t="inlineStr">
        <is>
          <t>Mercer IPE</t>
        </is>
      </c>
      <c r="B465" s="63" t="n"/>
      <c r="C465" s="9" t="inlineStr">
        <is>
          <r>
            <rPr>
              <rFont val="Calibri"/>
              <b val="1"/>
              <sz val="10"/>
            </rPr>
            <t>Point-factor:</t>
          </r>
          <r>
            <rPr>
              <rFont val="Calibri"/>
              <sz val="10"/>
            </rPr>
            <t xml:space="preserve"> Impact, Communication, Innovation, Knowledge · + Effort &amp; Working Conditions</t>
          </r>
        </is>
      </c>
      <c r="D465" s="64" t="n"/>
      <c r="E465" s="63" t="n"/>
      <c r="F465" s="9" t="inlineStr">
        <is>
          <t>Global; size-adjusted</t>
        </is>
      </c>
      <c r="G465" s="64" t="n"/>
      <c r="H465" s="63" t="n"/>
      <c r="I465" s="9" t="inlineStr">
        <is>
          <t>Licensed</t>
        </is>
      </c>
      <c r="J465" s="64" t="n"/>
      <c r="K465" s="63" t="n"/>
      <c r="L465" s="9" t="inlineStr">
        <is>
          <t>Factor mapping; risk inside Accountability</t>
        </is>
      </c>
      <c r="M465" s="64" t="n"/>
      <c r="N465" s="63" t="n"/>
    </row>
    <row r="466" ht="28" customHeight="1">
      <c r="A466" s="14" t="inlineStr">
        <is>
          <t>WTW GGS</t>
        </is>
      </c>
      <c r="B466" s="63" t="n"/>
      <c r="C466" s="9" t="inlineStr">
        <is>
          <t>Banding then grading; IC and management paths; 16–25 grades by size</t>
        </is>
      </c>
      <c r="D466" s="64" t="n"/>
      <c r="E466" s="63" t="n"/>
      <c r="F466" s="9" t="inlineStr">
        <is>
          <t>Two-step logic; dual path</t>
        </is>
      </c>
      <c r="G466" s="64" t="n"/>
      <c r="H466" s="63" t="n"/>
      <c r="I466" s="9" t="inlineStr">
        <is>
          <t>Licensed grade numbers</t>
        </is>
      </c>
      <c r="J466" s="64" t="n"/>
      <c r="K466" s="63" t="n"/>
      <c r="L466" s="9" t="inlineStr">
        <is>
          <t>Band → level design; dual track</t>
        </is>
      </c>
      <c r="M466" s="64" t="n"/>
      <c r="N466" s="63" t="n"/>
    </row>
    <row r="467" ht="28" customHeight="1">
      <c r="A467" s="14" t="inlineStr">
        <is>
          <t>Aon Radford / Pave / Mercer levels</t>
        </is>
      </c>
      <c r="B467" s="63" t="n"/>
      <c r="C467" s="9" t="inlineStr">
        <is>
          <t>Survey levels P / M / E</t>
        </is>
      </c>
      <c r="D467" s="64" t="n"/>
      <c r="E467" s="63" t="n"/>
      <c r="F467" s="9" t="inlineStr">
        <is>
          <t>Direct link to pay data; management definition</t>
        </is>
      </c>
      <c r="G467" s="64" t="n"/>
      <c r="H467" s="63" t="n"/>
      <c r="I467" s="9" t="inlineStr">
        <is>
          <t>Describe levels, do not weight factors</t>
        </is>
      </c>
      <c r="J467" s="64" t="n"/>
      <c r="K467" s="63" t="n"/>
      <c r="L467" s="9" t="inlineStr">
        <is>
          <t>Market code on every level; track rules</t>
        </is>
      </c>
      <c r="M467" s="64" t="n"/>
      <c r="N467" s="63" t="n"/>
    </row>
    <row r="468" ht="28" customHeight="1">
      <c r="A468" s="14" t="inlineStr">
        <is>
          <t>SFIA 9</t>
        </is>
      </c>
      <c r="B468" s="63" t="n"/>
      <c r="C468" s="9" t="inlineStr">
        <is>
          <t>7 levels of responsibility; open standard</t>
        </is>
      </c>
      <c r="D468" s="64" t="n"/>
      <c r="E468" s="63" t="n"/>
      <c r="F468" s="9" t="inlineStr">
        <is>
          <t>Free, detailed descriptors</t>
        </is>
      </c>
      <c r="G468" s="64" t="n"/>
      <c r="H468" s="63" t="n"/>
      <c r="I468" s="9" t="inlineStr">
        <is>
          <t>Built for digital roles</t>
        </is>
      </c>
      <c r="J468" s="64" t="n"/>
      <c r="K468" s="63" t="n"/>
      <c r="L468" s="9" t="inlineStr">
        <is>
          <t>Factor anchors; proficiency scale 1–5</t>
        </is>
      </c>
      <c r="M468" s="64" t="n"/>
      <c r="N468" s="63" t="n"/>
    </row>
    <row r="469" ht="28" customHeight="1">
      <c r="A469" s="14" t="inlineStr">
        <is>
          <t>McKinsey spans · GitLab</t>
        </is>
      </c>
      <c r="B469" s="63" t="n"/>
      <c r="C469" s="9" t="inlineStr">
        <is>
          <t>Span archetypes; public job frameworks</t>
        </is>
      </c>
      <c r="D469" s="64" t="n"/>
      <c r="E469" s="63" t="n"/>
      <c r="F469" s="9" t="inlineStr">
        <is>
          <t>Practical norms</t>
        </is>
      </c>
      <c r="G469" s="64" t="n"/>
      <c r="H469" s="63" t="n"/>
      <c r="I469" s="9" t="inlineStr">
        <is>
          <t>—</t>
        </is>
      </c>
      <c r="J469" s="64" t="n"/>
      <c r="K469" s="63" t="n"/>
      <c r="L469" s="9" t="inlineStr">
        <is>
          <t>Span norms; ≤ 8 layers; IC ↔ manager equivalences</t>
        </is>
      </c>
      <c r="M469" s="64" t="n"/>
      <c r="N469" s="63" t="n"/>
    </row>
    <row r="470" ht="54" customHeight="1">
      <c r="A470" s="14" t="inlineStr">
        <is>
          <t>IRIS hybrid · this model</t>
        </is>
      </c>
      <c r="B470" s="63" t="n"/>
      <c r="C470" s="9" t="inlineStr">
        <is>
          <t>Band → level + 6 factors + derived weights + market codes + proficiency</t>
        </is>
      </c>
      <c r="D470" s="64" t="n"/>
      <c r="E470" s="63" t="n"/>
      <c r="F470" s="9" t="inlineStr">
        <is>
          <t>Transparent, licence-free, traceable</t>
        </is>
      </c>
      <c r="G470" s="64" t="n"/>
      <c r="H470" s="63" t="n"/>
      <c r="I470" s="9" t="inlineStr">
        <is>
          <t>Needs a paid survey to price levels</t>
        </is>
      </c>
      <c r="J470" s="64" t="n"/>
      <c r="K470" s="63" t="n"/>
      <c r="L470" s="9" t="inlineStr">
        <is>
          <t>—</t>
        </is>
      </c>
      <c r="M470" s="64" t="n"/>
      <c r="N470" s="63" t="n"/>
    </row>
    <row r="471" ht="15" customHeight="1"/>
    <row r="472" ht="54" customHeight="1">
      <c r="A472" s="16" t="inlineStr">
        <is>
          <t>Level crosswalk — equivalence by expected scope and typical experience, not by pay. Peer ladders from aggregators are indicative. The rule: Each company cell is the level whose typical experience matches the IRIS level's experience range, or one step lower where the IRIS role carries less scope than the same title at a much larger firm · global product companies from B3 up. It is never higher than the experience match. The build checks every cell against the experience data. Google, Microsoft, Amazon, Workiva, Infosys and TCS titles are engineering-ladder titles: on non-technology roles · sheets 6 and 7 only the grade code is shown. DataTracks publishes only two rungs.</t>
        </is>
      </c>
    </row>
    <row r="473" ht="54" customHeight="1">
      <c r="A473" s="7" t="inlineStr">
        <is>
          <t>IRIS level</t>
        </is>
      </c>
      <c r="B473" s="7" t="inlineStr">
        <is>
          <t>Radford / Mercer code</t>
        </is>
      </c>
      <c r="C473" s="7" t="inlineStr">
        <is>
          <t>Pave level name</t>
        </is>
      </c>
      <c r="D473" s="7" t="inlineStr">
        <is>
          <t>SFIA 9 level</t>
        </is>
      </c>
      <c r="E473" s="7" t="inlineStr">
        <is>
          <t>GitLab</t>
        </is>
      </c>
      <c r="F473" s="7" t="inlineStr">
        <is>
          <t>Google</t>
        </is>
      </c>
      <c r="G473" s="7" t="inlineStr">
        <is>
          <t>Microsoft</t>
        </is>
      </c>
      <c r="H473" s="7" t="inlineStr">
        <is>
          <t>Amazon</t>
        </is>
      </c>
      <c r="I473" s="7" t="inlineStr">
        <is>
          <t>Workiva</t>
        </is>
      </c>
      <c r="J473" s="7" t="inlineStr">
        <is>
          <t>Infosys</t>
        </is>
      </c>
      <c r="K473" s="7" t="inlineStr">
        <is>
          <t>TCS</t>
        </is>
      </c>
      <c r="L473" s="7" t="inlineStr">
        <is>
          <t>Accenture India</t>
        </is>
      </c>
      <c r="M473" s="7" t="inlineStr">
        <is>
          <t>Big Four — Deloitte</t>
        </is>
      </c>
      <c r="N473" s="7" t="inlineStr">
        <is>
          <t>DataTracks · S31; only 2 rungs published</t>
        </is>
      </c>
    </row>
    <row r="474" ht="28" customHeight="1">
      <c r="A474" s="42" t="inlineStr">
        <is>
          <t>A1</t>
        </is>
      </c>
      <c r="B474" s="19" t="inlineStr">
        <is>
          <t>Entry / P1 · intern</t>
        </is>
      </c>
      <c r="C474" s="19" t="inlineStr">
        <is>
          <t>Entry</t>
        </is>
      </c>
      <c r="D474" s="19" t="inlineStr">
        <is>
          <t>1 Follow</t>
        </is>
      </c>
      <c r="E474" s="19" t="inlineStr">
        <is>
          <t>Intern</t>
        </is>
      </c>
      <c r="F474" s="19" t="inlineStr">
        <is>
          <t>Intern</t>
        </is>
      </c>
      <c r="G474" s="19" t="inlineStr">
        <is>
          <t>Intern</t>
        </is>
      </c>
      <c r="H474" s="19" t="inlineStr">
        <is>
          <t>Intern</t>
        </is>
      </c>
      <c r="I474" s="19" t="inlineStr">
        <is>
          <t>Intern</t>
        </is>
      </c>
      <c r="J474" s="19" t="inlineStr">
        <is>
          <t>Trainee</t>
        </is>
      </c>
      <c r="K474" s="19" t="inlineStr">
        <is>
          <t>C1Y ASE Trainee</t>
        </is>
      </c>
      <c r="L474" s="19" t="inlineStr">
        <is>
          <t>L12 Associate</t>
        </is>
      </c>
      <c r="M474" s="19" t="inlineStr">
        <is>
          <t>Intern / Trainee</t>
        </is>
      </c>
      <c r="N474" s="19" t="inlineStr">
        <is>
          <t>—</t>
        </is>
      </c>
    </row>
    <row r="475" ht="41" customHeight="1">
      <c r="A475" s="42" t="inlineStr">
        <is>
          <t>A2</t>
        </is>
      </c>
      <c r="B475" s="19" t="inlineStr">
        <is>
          <t>P1–P2</t>
        </is>
      </c>
      <c r="C475" s="19" t="inlineStr">
        <is>
          <t>Entry / Developing</t>
        </is>
      </c>
      <c r="D475" s="19" t="inlineStr">
        <is>
          <t>2 Assist</t>
        </is>
      </c>
      <c r="E475" s="19" t="inlineStr">
        <is>
          <t>Associate</t>
        </is>
      </c>
      <c r="F475" s="19" t="inlineStr">
        <is>
          <t>L3</t>
        </is>
      </c>
      <c r="G475" s="19" t="inlineStr">
        <is>
          <t>59–60</t>
        </is>
      </c>
      <c r="H475" s="19" t="inlineStr">
        <is>
          <t>L4 · SDE I</t>
        </is>
      </c>
      <c r="I475" s="19" t="inlineStr">
        <is>
          <t>Associate SE</t>
        </is>
      </c>
      <c r="J475" s="19" t="inlineStr">
        <is>
          <t>JL3B Systems Engineer</t>
        </is>
      </c>
      <c r="K475" s="19" t="inlineStr">
        <is>
          <t>C1 Assistant System Engineer</t>
        </is>
      </c>
      <c r="L475" s="19" t="inlineStr">
        <is>
          <t>L11 Analyst</t>
        </is>
      </c>
      <c r="M475" s="19" t="inlineStr">
        <is>
          <t>Analyst</t>
        </is>
      </c>
      <c r="N475" s="19" t="inlineStr">
        <is>
          <t>Associate</t>
        </is>
      </c>
    </row>
    <row r="476" ht="41" customHeight="1">
      <c r="A476" s="42" t="inlineStr">
        <is>
          <t>A3</t>
        </is>
      </c>
      <c r="B476" s="19" t="inlineStr">
        <is>
          <t>P2</t>
        </is>
      </c>
      <c r="C476" s="19" t="inlineStr">
        <is>
          <t>Developing</t>
        </is>
      </c>
      <c r="D476" s="19" t="inlineStr">
        <is>
          <t>3 Apply</t>
        </is>
      </c>
      <c r="E476" s="19" t="inlineStr">
        <is>
          <t>Intermediate</t>
        </is>
      </c>
      <c r="F476" s="19" t="inlineStr">
        <is>
          <t>L3–L4</t>
        </is>
      </c>
      <c r="G476" s="19" t="inlineStr">
        <is>
          <t>61–62</t>
        </is>
      </c>
      <c r="H476" s="19" t="inlineStr">
        <is>
          <t>L4</t>
        </is>
      </c>
      <c r="I476" s="19" t="inlineStr">
        <is>
          <t>Software Engineer</t>
        </is>
      </c>
      <c r="J476" s="19" t="inlineStr">
        <is>
          <t>JL3A Senior Systems Engineer</t>
        </is>
      </c>
      <c r="K476" s="19" t="inlineStr">
        <is>
          <t>C1 System Engineer</t>
        </is>
      </c>
      <c r="L476" s="19" t="inlineStr">
        <is>
          <t>L11–L10 · Senior Analyst</t>
        </is>
      </c>
      <c r="M476" s="19" t="inlineStr">
        <is>
          <t>Consultant</t>
        </is>
      </c>
      <c r="N476" s="19" t="inlineStr">
        <is>
          <t>Senior Associate · 2–5 yrs</t>
        </is>
      </c>
    </row>
    <row r="477" ht="41" customHeight="1">
      <c r="A477" s="43" t="inlineStr">
        <is>
          <t>B1</t>
        </is>
      </c>
      <c r="B477" s="22" t="inlineStr">
        <is>
          <t>P3 / M2</t>
        </is>
      </c>
      <c r="C477" s="22" t="inlineStr">
        <is>
          <t>Career / · Team Lead</t>
        </is>
      </c>
      <c r="D477" s="22" t="inlineStr">
        <is>
          <t>4 Enable</t>
        </is>
      </c>
      <c r="E477" s="22" t="inlineStr">
        <is>
          <t>Senior</t>
        </is>
      </c>
      <c r="F477" s="22" t="inlineStr">
        <is>
          <t>L4</t>
        </is>
      </c>
      <c r="G477" s="22" t="inlineStr">
        <is>
          <t>62</t>
        </is>
      </c>
      <c r="H477" s="22" t="inlineStr">
        <is>
          <t>L5 · SDE II</t>
        </is>
      </c>
      <c r="I477" s="22" t="inlineStr">
        <is>
          <t>Software Engineer – Senior SE</t>
        </is>
      </c>
      <c r="J477" s="22" t="inlineStr">
        <is>
          <t>JL4 Technology Analyst</t>
        </is>
      </c>
      <c r="K477" s="22" t="inlineStr">
        <is>
          <t>C2 IT Analyst</t>
        </is>
      </c>
      <c r="L477" s="22" t="inlineStr">
        <is>
          <t>L9 Team Lead / Consultant</t>
        </is>
      </c>
      <c r="M477" s="22" t="inlineStr">
        <is>
          <t>Senior Consultant / Assistant Manager</t>
        </is>
      </c>
      <c r="N477" s="22" t="inlineStr">
        <is>
          <t>—</t>
        </is>
      </c>
    </row>
    <row r="478" ht="28" customHeight="1">
      <c r="A478" s="43" t="inlineStr">
        <is>
          <t>B2</t>
        </is>
      </c>
      <c r="B478" s="22" t="inlineStr">
        <is>
          <t>P4 / M3</t>
        </is>
      </c>
      <c r="C478" s="22" t="inlineStr">
        <is>
          <t>Senior / Manager</t>
        </is>
      </c>
      <c r="D478" s="22" t="inlineStr">
        <is>
          <t>4–5</t>
        </is>
      </c>
      <c r="E478" s="22" t="inlineStr">
        <is>
          <t>Senior</t>
        </is>
      </c>
      <c r="F478" s="22" t="inlineStr">
        <is>
          <t>L5 · Senior</t>
        </is>
      </c>
      <c r="G478" s="22" t="inlineStr">
        <is>
          <t>63</t>
        </is>
      </c>
      <c r="H478" s="22" t="inlineStr">
        <is>
          <t>L5–L6</t>
        </is>
      </c>
      <c r="I478" s="22" t="inlineStr">
        <is>
          <t>Senior SE</t>
        </is>
      </c>
      <c r="J478" s="22" t="inlineStr">
        <is>
          <t>JL5 Technology Lead</t>
        </is>
      </c>
      <c r="K478" s="22" t="inlineStr">
        <is>
          <t>C3A Assistant Consultant</t>
        </is>
      </c>
      <c r="L478" s="22" t="inlineStr">
        <is>
          <t>L8 Associate Manager</t>
        </is>
      </c>
      <c r="M478" s="22" t="inlineStr">
        <is>
          <t>Manager</t>
        </is>
      </c>
      <c r="N478" s="22" t="inlineStr">
        <is>
          <t>—</t>
        </is>
      </c>
    </row>
    <row r="479" ht="28" customHeight="1">
      <c r="A479" s="43" t="inlineStr">
        <is>
          <t>B3</t>
        </is>
      </c>
      <c r="B479" s="22" t="inlineStr">
        <is>
          <t>P5 / M4</t>
        </is>
      </c>
      <c r="C479" s="22" t="inlineStr">
        <is>
          <t>Expert / Senior Manager</t>
        </is>
      </c>
      <c r="D479" s="22" t="inlineStr">
        <is>
          <t>5 Ensure, advise</t>
        </is>
      </c>
      <c r="E479" s="22" t="inlineStr">
        <is>
          <t>Senior–Staff / Manager</t>
        </is>
      </c>
      <c r="F479" s="22" t="inlineStr">
        <is>
          <t>L5 · Senior</t>
        </is>
      </c>
      <c r="G479" s="22" t="inlineStr">
        <is>
          <t>63–64</t>
        </is>
      </c>
      <c r="H479" s="22" t="inlineStr">
        <is>
          <t>L6 · Senior SDE</t>
        </is>
      </c>
      <c r="I479" s="22" t="inlineStr">
        <is>
          <t>Senior SE</t>
        </is>
      </c>
      <c r="J479" s="22" t="inlineStr">
        <is>
          <t>JL5–JL6B</t>
        </is>
      </c>
      <c r="K479" s="22" t="inlineStr">
        <is>
          <t>C3B Associate Consultant</t>
        </is>
      </c>
      <c r="L479" s="22" t="inlineStr">
        <is>
          <t>L7 Manager</t>
        </is>
      </c>
      <c r="M479" s="22" t="inlineStr">
        <is>
          <t>Senior Manager</t>
        </is>
      </c>
      <c r="N479" s="22" t="inlineStr">
        <is>
          <t>—</t>
        </is>
      </c>
    </row>
    <row r="480" ht="41" customHeight="1">
      <c r="A480" s="44" t="inlineStr">
        <is>
          <t>B+</t>
        </is>
      </c>
      <c r="B480" s="25" t="inlineStr">
        <is>
          <t>P5–P6 / M4–M5</t>
        </is>
      </c>
      <c r="C480" s="25" t="inlineStr">
        <is>
          <t>Expert / Senior Manager · player-coach</t>
        </is>
      </c>
      <c r="D480" s="25" t="inlineStr">
        <is>
          <t>5 Ensure, advise</t>
        </is>
      </c>
      <c r="E480" s="25" t="inlineStr">
        <is>
          <t>Staff ↔ Manager · player-coach</t>
        </is>
      </c>
      <c r="F480" s="25" t="inlineStr">
        <is>
          <t>L5–L6 · Tech Lead Manager</t>
        </is>
      </c>
      <c r="G480" s="25" t="inlineStr">
        <is>
          <t>64</t>
        </is>
      </c>
      <c r="H480" s="25" t="inlineStr">
        <is>
          <t>L6 · SDM / Senior SDE</t>
        </is>
      </c>
      <c r="I480" s="25" t="inlineStr">
        <is>
          <t>Senior–Staff SE</t>
        </is>
      </c>
      <c r="J480" s="25" t="inlineStr">
        <is>
          <t>JL6B Technology Architect / PM</t>
        </is>
      </c>
      <c r="K480" s="25" t="inlineStr">
        <is>
          <t>C3B–C4</t>
        </is>
      </c>
      <c r="L480" s="25" t="inlineStr">
        <is>
          <t>L7 Manager</t>
        </is>
      </c>
      <c r="M480" s="25" t="inlineStr">
        <is>
          <t>Senior Manager · billable</t>
        </is>
      </c>
      <c r="N480" s="25" t="inlineStr">
        <is>
          <t>—</t>
        </is>
      </c>
    </row>
    <row r="481" ht="28" customHeight="1">
      <c r="A481" s="45" t="inlineStr">
        <is>
          <t>C1</t>
        </is>
      </c>
      <c r="B481" s="28" t="inlineStr">
        <is>
          <t>P6 / M5</t>
        </is>
      </c>
      <c r="C481" s="28" t="inlineStr">
        <is>
          <t>Principal / Director</t>
        </is>
      </c>
      <c r="D481" s="28" t="inlineStr">
        <is>
          <t>5–6</t>
        </is>
      </c>
      <c r="E481" s="28" t="inlineStr">
        <is>
          <t>Staff / Senior Manager</t>
        </is>
      </c>
      <c r="F481" s="28" t="inlineStr">
        <is>
          <t>L6 · Staff</t>
        </is>
      </c>
      <c r="G481" s="28" t="inlineStr">
        <is>
          <t>64–65</t>
        </is>
      </c>
      <c r="H481" s="28" t="inlineStr">
        <is>
          <t>L6</t>
        </is>
      </c>
      <c r="I481" s="28" t="inlineStr">
        <is>
          <t>Staff SE</t>
        </is>
      </c>
      <c r="J481" s="28" t="inlineStr">
        <is>
          <t>JL6B</t>
        </is>
      </c>
      <c r="K481" s="28" t="inlineStr">
        <is>
          <t>C4 Consultant</t>
        </is>
      </c>
      <c r="L481" s="28" t="inlineStr">
        <is>
          <t>L7 Manager</t>
        </is>
      </c>
      <c r="M481" s="28" t="inlineStr">
        <is>
          <t>Associate Director</t>
        </is>
      </c>
      <c r="N481" s="28" t="inlineStr">
        <is>
          <t>—</t>
        </is>
      </c>
    </row>
    <row r="482" ht="41" customHeight="1">
      <c r="A482" s="45" t="inlineStr">
        <is>
          <t>C2</t>
        </is>
      </c>
      <c r="B482" s="28" t="inlineStr">
        <is>
          <t>P7 / M6</t>
        </is>
      </c>
      <c r="C482" s="28" t="inlineStr">
        <is>
          <t>— / Senior Director</t>
        </is>
      </c>
      <c r="D482" s="28" t="inlineStr">
        <is>
          <t>6 Initiate, influence</t>
        </is>
      </c>
      <c r="E482" s="28" t="inlineStr">
        <is>
          <t>Principal / Director</t>
        </is>
      </c>
      <c r="F482" s="28" t="inlineStr">
        <is>
          <t>L6–L7</t>
        </is>
      </c>
      <c r="G482" s="28" t="inlineStr">
        <is>
          <t>65–66</t>
        </is>
      </c>
      <c r="H482" s="28" t="inlineStr">
        <is>
          <t>L6–L7</t>
        </is>
      </c>
      <c r="I482" s="28" t="inlineStr">
        <is>
          <t>—</t>
        </is>
      </c>
      <c r="J482" s="28" t="inlineStr">
        <is>
          <t>JL6A Senior Technology Architect</t>
        </is>
      </c>
      <c r="K482" s="28" t="inlineStr">
        <is>
          <t>C4–C5</t>
        </is>
      </c>
      <c r="L482" s="28" t="inlineStr">
        <is>
          <t>L6 Senior Manager</t>
        </is>
      </c>
      <c r="M482" s="28" t="inlineStr">
        <is>
          <t>Associate Director – Director</t>
        </is>
      </c>
      <c r="N482" s="28" t="inlineStr">
        <is>
          <t>—</t>
        </is>
      </c>
    </row>
    <row r="483" ht="41" customHeight="1">
      <c r="A483" s="46" t="inlineStr">
        <is>
          <t>C+</t>
        </is>
      </c>
      <c r="B483" s="31" t="inlineStr">
        <is>
          <t>M6 / E1</t>
        </is>
      </c>
      <c r="C483" s="31" t="inlineStr">
        <is>
          <t>Senior Director · player-coach</t>
        </is>
      </c>
      <c r="D483" s="31" t="inlineStr">
        <is>
          <t>6 Initiate, influence</t>
        </is>
      </c>
      <c r="E483" s="31" t="inlineStr">
        <is>
          <t>Director · player-coach</t>
        </is>
      </c>
      <c r="F483" s="31" t="inlineStr">
        <is>
          <t>L7 · Senior Staff / Senior Manager</t>
        </is>
      </c>
      <c r="G483" s="31" t="inlineStr">
        <is>
          <t>66–67</t>
        </is>
      </c>
      <c r="H483" s="31" t="inlineStr">
        <is>
          <t>L7</t>
        </is>
      </c>
      <c r="I483" s="31" t="inlineStr">
        <is>
          <t>—</t>
        </is>
      </c>
      <c r="J483" s="31" t="inlineStr">
        <is>
          <t>JL6A</t>
        </is>
      </c>
      <c r="K483" s="31" t="inlineStr">
        <is>
          <t>C5</t>
        </is>
      </c>
      <c r="L483" s="31" t="inlineStr">
        <is>
          <t>L6 Senior Manager</t>
        </is>
      </c>
      <c r="M483" s="31" t="inlineStr">
        <is>
          <t>Director · billable</t>
        </is>
      </c>
      <c r="N483" s="31" t="inlineStr">
        <is>
          <t>—</t>
        </is>
      </c>
    </row>
    <row r="484" ht="41" customHeight="1">
      <c r="A484" s="47" t="inlineStr">
        <is>
          <t>D1</t>
        </is>
      </c>
      <c r="B484" s="34" t="inlineStr">
        <is>
          <t>E1–E2</t>
        </is>
      </c>
      <c r="C484" s="34" t="inlineStr">
        <is>
          <t>VP</t>
        </is>
      </c>
      <c r="D484" s="34" t="inlineStr">
        <is>
          <t>6–7</t>
        </is>
      </c>
      <c r="E484" s="34" t="inlineStr">
        <is>
          <t>Director – Senior Director</t>
        </is>
      </c>
      <c r="F484" s="34" t="inlineStr">
        <is>
          <t>L7</t>
        </is>
      </c>
      <c r="G484" s="34" t="inlineStr">
        <is>
          <t>67</t>
        </is>
      </c>
      <c r="H484" s="34" t="inlineStr">
        <is>
          <t>L7</t>
        </is>
      </c>
      <c r="I484" s="34" t="inlineStr">
        <is>
          <t>—</t>
        </is>
      </c>
      <c r="J484" s="34" t="inlineStr">
        <is>
          <t>JL7</t>
        </is>
      </c>
      <c r="K484" s="34" t="inlineStr">
        <is>
          <t>C5–SP1</t>
        </is>
      </c>
      <c r="L484" s="34" t="inlineStr">
        <is>
          <t>L5 Associate Director</t>
        </is>
      </c>
      <c r="M484" s="34" t="inlineStr">
        <is>
          <t>Director</t>
        </is>
      </c>
      <c r="N484" s="34" t="inlineStr">
        <is>
          <t>—</t>
        </is>
      </c>
    </row>
    <row r="485" ht="28" customHeight="1">
      <c r="A485" s="47" t="inlineStr">
        <is>
          <t>D2</t>
        </is>
      </c>
      <c r="B485" s="34" t="inlineStr">
        <is>
          <t>E3–E4</t>
        </is>
      </c>
      <c r="C485" s="34" t="inlineStr">
        <is>
          <t>SVP</t>
        </is>
      </c>
      <c r="D485" s="34" t="inlineStr">
        <is>
          <t>7 Set strategy</t>
        </is>
      </c>
      <c r="E485" s="34" t="inlineStr">
        <is>
          <t>VP</t>
        </is>
      </c>
      <c r="F485" s="34" t="inlineStr">
        <is>
          <t>L8 · Director</t>
        </is>
      </c>
      <c r="G485" s="34" t="inlineStr">
        <is>
          <t>68</t>
        </is>
      </c>
      <c r="H485" s="34" t="inlineStr">
        <is>
          <t>L8</t>
        </is>
      </c>
      <c r="I485" s="34" t="inlineStr">
        <is>
          <t>—</t>
        </is>
      </c>
      <c r="J485" s="34" t="inlineStr">
        <is>
          <t>—</t>
        </is>
      </c>
      <c r="K485" s="34" t="inlineStr">
        <is>
          <t>SP1 Principal Consultant</t>
        </is>
      </c>
      <c r="L485" s="34" t="inlineStr">
        <is>
          <t>—</t>
        </is>
      </c>
      <c r="M485" s="34" t="inlineStr">
        <is>
          <t>Partner</t>
        </is>
      </c>
      <c r="N485" s="34" t="inlineStr">
        <is>
          <t>—</t>
        </is>
      </c>
    </row>
    <row r="486" ht="15" customHeight="1">
      <c r="A486" s="48" t="inlineStr">
        <is>
          <t>E1</t>
        </is>
      </c>
      <c r="B486" s="37" t="inlineStr">
        <is>
          <t>E5</t>
        </is>
      </c>
      <c r="C486" s="37" t="inlineStr">
        <is>
          <t>C-Level</t>
        </is>
      </c>
      <c r="D486" s="37" t="inlineStr">
        <is>
          <t>7</t>
        </is>
      </c>
      <c r="E486" s="37" t="inlineStr">
        <is>
          <t>Executive</t>
        </is>
      </c>
      <c r="F486" s="37" t="inlineStr">
        <is>
          <t>—</t>
        </is>
      </c>
      <c r="G486" s="37" t="inlineStr">
        <is>
          <t>—</t>
        </is>
      </c>
      <c r="H486" s="37" t="inlineStr">
        <is>
          <t>—</t>
        </is>
      </c>
      <c r="I486" s="37" t="inlineStr">
        <is>
          <t>—</t>
        </is>
      </c>
      <c r="J486" s="37" t="inlineStr">
        <is>
          <t>—</t>
        </is>
      </c>
      <c r="K486" s="37" t="inlineStr">
        <is>
          <t>—</t>
        </is>
      </c>
      <c r="L486" s="37" t="inlineStr">
        <is>
          <t>—</t>
        </is>
      </c>
      <c r="M486" s="37" t="inlineStr">
        <is>
          <t>—</t>
        </is>
      </c>
      <c r="N486" s="37" t="inlineStr">
        <is>
          <t>—</t>
        </is>
      </c>
    </row>
    <row r="487" ht="28" customHeight="1">
      <c r="A487" s="48" t="inlineStr">
        <is>
          <t>E2</t>
        </is>
      </c>
      <c r="B487" s="37" t="inlineStr">
        <is>
          <t>E6</t>
        </is>
      </c>
      <c r="C487" s="37" t="inlineStr">
        <is>
          <t>C-Level · CEO</t>
        </is>
      </c>
      <c r="D487" s="37" t="inlineStr">
        <is>
          <t>7</t>
        </is>
      </c>
      <c r="E487" s="37" t="inlineStr">
        <is>
          <t>Executive · CEO</t>
        </is>
      </c>
      <c r="F487" s="37" t="inlineStr">
        <is>
          <t>—</t>
        </is>
      </c>
      <c r="G487" s="37" t="inlineStr">
        <is>
          <t>—</t>
        </is>
      </c>
      <c r="H487" s="37" t="inlineStr">
        <is>
          <t>—</t>
        </is>
      </c>
      <c r="I487" s="37" t="inlineStr">
        <is>
          <t>—</t>
        </is>
      </c>
      <c r="J487" s="37" t="inlineStr">
        <is>
          <t>—</t>
        </is>
      </c>
      <c r="K487" s="37" t="inlineStr">
        <is>
          <t>—</t>
        </is>
      </c>
      <c r="L487" s="37" t="inlineStr">
        <is>
          <t>—</t>
        </is>
      </c>
      <c r="M487" s="37" t="inlineStr">
        <is>
          <t>—</t>
        </is>
      </c>
      <c r="N487" s="37" t="inlineStr">
        <is>
          <t>—</t>
        </is>
      </c>
    </row>
    <row r="488" ht="15" customHeight="1"/>
    <row r="489" ht="15" customHeight="1">
      <c r="A489" s="16" t="inlineStr">
        <is>
          <t>Experience triangulation · years</t>
        </is>
      </c>
    </row>
    <row r="490" ht="15" customHeight="1">
      <c r="A490" s="7" t="inlineStr">
        <is>
          <t>IRIS level</t>
        </is>
      </c>
      <c r="B490" s="7" t="inlineStr">
        <is>
          <t>IRIS guide</t>
        </is>
      </c>
      <c r="C490" s="7" t="inlineStr">
        <is>
          <t>Accenture India</t>
        </is>
      </c>
      <c r="D490" s="63" t="n"/>
      <c r="E490" s="7" t="inlineStr">
        <is>
          <t>Infosys</t>
        </is>
      </c>
      <c r="F490" s="63" t="n"/>
      <c r="G490" s="7" t="inlineStr">
        <is>
          <t>Microsoft / Amazon</t>
        </is>
      </c>
      <c r="H490" s="63" t="n"/>
      <c r="I490" s="7" t="inlineStr">
        <is>
          <t>Market range</t>
        </is>
      </c>
      <c r="J490" s="63" t="n"/>
      <c r="K490" s="7" t="inlineStr">
        <is>
          <t>Verdict</t>
        </is>
      </c>
      <c r="L490" s="64" t="n"/>
      <c r="M490" s="64" t="n"/>
      <c r="N490" s="63" t="n"/>
    </row>
    <row r="491" ht="15" customHeight="1">
      <c r="A491" s="42" t="inlineStr">
        <is>
          <t>A2</t>
        </is>
      </c>
      <c r="B491" s="42" t="inlineStr">
        <is>
          <t>0–2</t>
        </is>
      </c>
      <c r="C491" s="19" t="inlineStr">
        <is>
          <t>1–3</t>
        </is>
      </c>
      <c r="D491" s="63" t="n"/>
      <c r="E491" s="19" t="inlineStr">
        <is>
          <t>0–3</t>
        </is>
      </c>
      <c r="F491" s="63" t="n"/>
      <c r="G491" s="19" t="inlineStr">
        <is>
          <t>&lt; 2 · MS 59/60</t>
        </is>
      </c>
      <c r="H491" s="63" t="n"/>
      <c r="I491" s="42" t="inlineStr">
        <is>
          <t>0–3</t>
        </is>
      </c>
      <c r="J491" s="63" t="n"/>
      <c r="K491" s="19" t="inlineStr">
        <is>
          <t>Within market</t>
        </is>
      </c>
      <c r="L491" s="64" t="n"/>
      <c r="M491" s="64" t="n"/>
      <c r="N491" s="63" t="n"/>
    </row>
    <row r="492" ht="15" customHeight="1">
      <c r="A492" s="42" t="inlineStr">
        <is>
          <t>A3</t>
        </is>
      </c>
      <c r="B492" s="42" t="inlineStr">
        <is>
          <t>2–4</t>
        </is>
      </c>
      <c r="C492" s="19" t="inlineStr">
        <is>
          <t>3–5</t>
        </is>
      </c>
      <c r="D492" s="63" t="n"/>
      <c r="E492" s="19" t="inlineStr">
        <is>
          <t>2–5</t>
        </is>
      </c>
      <c r="F492" s="63" t="n"/>
      <c r="G492" s="19" t="inlineStr">
        <is>
          <t>2–5 · MS 61/62</t>
        </is>
      </c>
      <c r="H492" s="63" t="n"/>
      <c r="I492" s="42" t="inlineStr">
        <is>
          <t>2–5</t>
        </is>
      </c>
      <c r="J492" s="63" t="n"/>
      <c r="K492" s="19" t="inlineStr">
        <is>
          <t>Within market · lower edge</t>
        </is>
      </c>
      <c r="L492" s="64" t="n"/>
      <c r="M492" s="64" t="n"/>
      <c r="N492" s="63" t="n"/>
    </row>
    <row r="493" ht="15" customHeight="1">
      <c r="A493" s="43" t="inlineStr">
        <is>
          <t>B1</t>
        </is>
      </c>
      <c r="B493" s="43" t="inlineStr">
        <is>
          <t>4–7</t>
        </is>
      </c>
      <c r="C493" s="22" t="inlineStr">
        <is>
          <t>5–8</t>
        </is>
      </c>
      <c r="D493" s="63" t="n"/>
      <c r="E493" s="22" t="inlineStr">
        <is>
          <t>4–8</t>
        </is>
      </c>
      <c r="F493" s="63" t="n"/>
      <c r="G493" s="22" t="inlineStr">
        <is>
          <t>2–3+ · Amazon L5</t>
        </is>
      </c>
      <c r="H493" s="63" t="n"/>
      <c r="I493" s="43" t="inlineStr">
        <is>
          <t>4–8</t>
        </is>
      </c>
      <c r="J493" s="63" t="n"/>
      <c r="K493" s="22" t="inlineStr">
        <is>
          <t>Within market</t>
        </is>
      </c>
      <c r="L493" s="64" t="n"/>
      <c r="M493" s="64" t="n"/>
      <c r="N493" s="63" t="n"/>
    </row>
    <row r="494" ht="15" customHeight="1">
      <c r="A494" s="43" t="inlineStr">
        <is>
          <t>B2</t>
        </is>
      </c>
      <c r="B494" s="43" t="inlineStr">
        <is>
          <t>6–9</t>
        </is>
      </c>
      <c r="C494" s="22" t="inlineStr">
        <is>
          <t>7–10</t>
        </is>
      </c>
      <c r="D494" s="63" t="n"/>
      <c r="E494" s="22" t="inlineStr">
        <is>
          <t>6–11</t>
        </is>
      </c>
      <c r="F494" s="63" t="n"/>
      <c r="G494" s="22" t="inlineStr">
        <is>
          <t>5–8+ · MS 63</t>
        </is>
      </c>
      <c r="H494" s="63" t="n"/>
      <c r="I494" s="43" t="inlineStr">
        <is>
          <t>6–10</t>
        </is>
      </c>
      <c r="J494" s="63" t="n"/>
      <c r="K494" s="22" t="inlineStr">
        <is>
          <t>Within market</t>
        </is>
      </c>
      <c r="L494" s="64" t="n"/>
      <c r="M494" s="64" t="n"/>
      <c r="N494" s="63" t="n"/>
    </row>
    <row r="495" ht="15" customHeight="1">
      <c r="A495" s="43" t="inlineStr">
        <is>
          <t>B3</t>
        </is>
      </c>
      <c r="B495" s="43" t="inlineStr">
        <is>
          <t>8–12</t>
        </is>
      </c>
      <c r="C495" s="22" t="inlineStr">
        <is>
          <t>9–13</t>
        </is>
      </c>
      <c r="D495" s="63" t="n"/>
      <c r="E495" s="22" t="inlineStr">
        <is>
          <t>9–14</t>
        </is>
      </c>
      <c r="F495" s="63" t="n"/>
      <c r="G495" s="22" t="inlineStr">
        <is>
          <t>≈ 8 · Amazon L6</t>
        </is>
      </c>
      <c r="H495" s="63" t="n"/>
      <c r="I495" s="43" t="inlineStr">
        <is>
          <t>8–13</t>
        </is>
      </c>
      <c r="J495" s="63" t="n"/>
      <c r="K495" s="22" t="inlineStr">
        <is>
          <t>Within market</t>
        </is>
      </c>
      <c r="L495" s="64" t="n"/>
      <c r="M495" s="64" t="n"/>
      <c r="N495" s="63" t="n"/>
    </row>
    <row r="496" ht="28" customHeight="1">
      <c r="A496" s="44" t="inlineStr">
        <is>
          <t>B+</t>
        </is>
      </c>
      <c r="B496" s="44" t="inlineStr">
        <is>
          <t>9–14</t>
        </is>
      </c>
      <c r="C496" s="25" t="inlineStr">
        <is>
          <t>9–13</t>
        </is>
      </c>
      <c r="D496" s="63" t="n"/>
      <c r="E496" s="25" t="inlineStr">
        <is>
          <t>9–14</t>
        </is>
      </c>
      <c r="F496" s="63" t="n"/>
      <c r="G496" s="25" t="inlineStr">
        <is>
          <t>≈ 8+ · Amazon L6 / Google TLM</t>
        </is>
      </c>
      <c r="H496" s="63" t="n"/>
      <c r="I496" s="44" t="inlineStr">
        <is>
          <t>9–14</t>
        </is>
      </c>
      <c r="J496" s="63" t="n"/>
      <c r="K496" s="25" t="inlineStr">
        <is>
          <t>Within market — player-coach sits where large firms place first-line managers who still deliver</t>
        </is>
      </c>
      <c r="L496" s="64" t="n"/>
      <c r="M496" s="64" t="n"/>
      <c r="N496" s="63" t="n"/>
    </row>
    <row r="497" ht="41" customHeight="1">
      <c r="A497" s="45" t="inlineStr">
        <is>
          <t>C1</t>
        </is>
      </c>
      <c r="B497" s="45" t="inlineStr">
        <is>
          <t>10–14</t>
        </is>
      </c>
      <c r="C497" s="28" t="inlineStr">
        <is>
          <t>12–16</t>
        </is>
      </c>
      <c r="D497" s="63" t="n"/>
      <c r="E497" s="28" t="inlineStr">
        <is>
          <t>12–18</t>
        </is>
      </c>
      <c r="F497" s="63" t="n"/>
      <c r="G497" s="28" t="inlineStr">
        <is>
          <t>—</t>
        </is>
      </c>
      <c r="H497" s="63" t="n"/>
      <c r="I497" s="45" t="inlineStr">
        <is>
          <t>12–17</t>
        </is>
      </c>
      <c r="J497" s="63" t="n"/>
      <c r="K497" s="28" t="inlineStr">
        <is>
          <t>About 2 yrs below large IT services. Kept: in a firm of c. 590 people, scope arrives earlier. Monitor.</t>
        </is>
      </c>
      <c r="L497" s="64" t="n"/>
      <c r="M497" s="64" t="n"/>
      <c r="N497" s="63" t="n"/>
    </row>
    <row r="498" ht="28" customHeight="1">
      <c r="A498" s="46" t="inlineStr">
        <is>
          <t>C+</t>
        </is>
      </c>
      <c r="B498" s="46" t="inlineStr">
        <is>
          <t>13–18</t>
        </is>
      </c>
      <c r="C498" s="31" t="inlineStr">
        <is>
          <t>15+</t>
        </is>
      </c>
      <c r="D498" s="63" t="n"/>
      <c r="E498" s="31" t="inlineStr">
        <is>
          <t>15+</t>
        </is>
      </c>
      <c r="F498" s="63" t="n"/>
      <c r="G498" s="31" t="inlineStr">
        <is>
          <t>—</t>
        </is>
      </c>
      <c r="H498" s="63" t="n"/>
      <c r="I498" s="46" t="inlineStr">
        <is>
          <t>15–18</t>
        </is>
      </c>
      <c r="J498" s="63" t="n"/>
      <c r="K498" s="31" t="inlineStr">
        <is>
          <t>Within market — senior player-coach heads typically 15+ yrs</t>
        </is>
      </c>
      <c r="L498" s="64" t="n"/>
      <c r="M498" s="64" t="n"/>
      <c r="N498" s="63" t="n"/>
    </row>
    <row r="499" ht="15" customHeight="1"/>
    <row r="500" ht="15" customHeight="1">
      <c r="A500" s="7" t="inlineStr">
        <is>
          <t>Benchmark</t>
        </is>
      </c>
      <c r="B500" s="63" t="n"/>
      <c r="C500" s="7" t="inlineStr">
        <is>
          <t>Market</t>
        </is>
      </c>
      <c r="D500" s="64" t="n"/>
      <c r="E500" s="64" t="n"/>
      <c r="F500" s="64" t="n"/>
      <c r="G500" s="64" t="n"/>
      <c r="H500" s="63" t="n"/>
      <c r="I500" s="7" t="inlineStr">
        <is>
          <t>IRIS</t>
        </is>
      </c>
      <c r="J500" s="64" t="n"/>
      <c r="K500" s="63" t="n"/>
      <c r="L500" s="7" t="inlineStr">
        <is>
          <t>Verdict</t>
        </is>
      </c>
      <c r="M500" s="64" t="n"/>
      <c r="N500" s="63" t="n"/>
    </row>
    <row r="501" ht="28" customHeight="1">
      <c r="A501" s="14" t="inlineStr">
        <is>
          <t>Number of levels</t>
        </is>
      </c>
      <c r="B501" s="63" t="n"/>
      <c r="C501" s="9" t="inlineStr">
        <is>
          <t>≈ 12 for 500–1,500 people; Accenture 12 → 1; Infosys 8 engineering steps; GitLab ≤ 8 layers</t>
        </is>
      </c>
      <c r="D501" s="64" t="n"/>
      <c r="E501" s="64" t="n"/>
      <c r="F501" s="64" t="n"/>
      <c r="G501" s="64" t="n"/>
      <c r="H501" s="63" t="n"/>
      <c r="I501" s="9" t="inlineStr">
        <is>
          <t>12 employee levels + X1–X3</t>
        </is>
      </c>
      <c r="J501" s="64" t="n"/>
      <c r="K501" s="63" t="n"/>
      <c r="L501" s="9" t="inlineStr">
        <is>
          <t>In line</t>
        </is>
      </c>
      <c r="M501" s="64" t="n"/>
      <c r="N501" s="63" t="n"/>
    </row>
    <row r="502" ht="15" customHeight="1">
      <c r="A502" s="14" t="inlineStr">
        <is>
          <t>Dual track start</t>
        </is>
      </c>
      <c r="B502" s="63" t="n"/>
      <c r="C502" s="9" t="inlineStr">
        <is>
          <t>Radford P3 / M2; GitLab Staff ↔ Manager; Infosys JL4–JL5 split</t>
        </is>
      </c>
      <c r="D502" s="64" t="n"/>
      <c r="E502" s="64" t="n"/>
      <c r="F502" s="64" t="n"/>
      <c r="G502" s="64" t="n"/>
      <c r="H502" s="63" t="n"/>
      <c r="I502" s="9" t="inlineStr">
        <is>
          <t>B1 · ≈ P3 / M2</t>
        </is>
      </c>
      <c r="J502" s="64" t="n"/>
      <c r="K502" s="63" t="n"/>
      <c r="L502" s="9" t="inlineStr">
        <is>
          <t>In line</t>
        </is>
      </c>
      <c r="M502" s="64" t="n"/>
      <c r="N502" s="63" t="n"/>
    </row>
    <row r="503" ht="28" customHeight="1">
      <c r="A503" s="14" t="inlineStr">
        <is>
          <t>Management threshold</t>
        </is>
      </c>
      <c r="B503" s="63" t="n"/>
      <c r="C503" s="9" t="inlineStr">
        <is>
          <r>
            <rPr>
              <rFont val="Calibri"/>
              <b val="1"/>
              <sz val="10"/>
            </rPr>
            <t>Mercer:</t>
          </r>
          <r>
            <rPr>
              <rFont val="Calibri"/>
              <sz val="10"/>
            </rPr>
            <t xml:space="preserve"> typically 3+ reports and most time managing</t>
          </r>
        </is>
      </c>
      <c r="D503" s="64" t="n"/>
      <c r="E503" s="64" t="n"/>
      <c r="F503" s="64" t="n"/>
      <c r="G503" s="64" t="n"/>
      <c r="H503" s="63" t="n"/>
      <c r="I503" s="9" t="inlineStr">
        <is>
          <t>POD Lead 1–3 while mostly IC; manager = appraises + most time managing</t>
        </is>
      </c>
      <c r="J503" s="64" t="n"/>
      <c r="K503" s="63" t="n"/>
      <c r="L503" s="9" t="inlineStr">
        <is>
          <t>In line</t>
        </is>
      </c>
      <c r="M503" s="64" t="n"/>
      <c r="N503" s="63" t="n"/>
    </row>
    <row r="504" ht="41" customHeight="1">
      <c r="A504" s="14" t="inlineStr">
        <is>
          <t>Direct competitors' ladders</t>
        </is>
      </c>
      <c r="B504" s="63" t="n"/>
      <c r="C504" s="9" t="inlineStr">
        <is>
          <t>Workiva Associate SE → Staff SE; Broadridge SE → Senior Lead SE; Nasdaq SE → Staff SE; Regnology Junior BA → Senior BA; Toppan Merrill XBRL Analyst · Associate → senior CPA specialist</t>
        </is>
      </c>
      <c r="D504" s="64" t="n"/>
      <c r="E504" s="64" t="n"/>
      <c r="F504" s="64" t="n"/>
      <c r="G504" s="64" t="n"/>
      <c r="H504" s="63" t="n"/>
      <c r="I504" s="9" t="inlineStr">
        <is>
          <t>A2 → B3 on the same steps</t>
        </is>
      </c>
      <c r="J504" s="64" t="n"/>
      <c r="K504" s="63" t="n"/>
      <c r="L504" s="9" t="inlineStr">
        <is>
          <t>In line — see tab 2</t>
        </is>
      </c>
      <c r="M504" s="64" t="n"/>
      <c r="N504" s="63" t="n"/>
    </row>
    <row r="505" ht="41" customHeight="1">
      <c r="A505" s="14" t="inlineStr">
        <is>
          <t>SaaS leaders' ladders</t>
        </is>
      </c>
      <c r="B505" s="63" t="n"/>
      <c r="C505" s="9" t="inlineStr">
        <is>
          <t>Salesforce AMTS → PMTS → Distinguished; Atlassian P30 · 0–2 yrs → P60; Freshworks SE → Senior Staff; Gainsight CSM → CCO; SaaS sales SDR → Enterprise AE → CRO</t>
        </is>
      </c>
      <c r="D505" s="64" t="n"/>
      <c r="E505" s="64" t="n"/>
      <c r="F505" s="64" t="n"/>
      <c r="G505" s="64" t="n"/>
      <c r="H505" s="63" t="n"/>
      <c r="I505" s="9" t="inlineStr">
        <is>
          <t>A2 → D1; experience ranges overlap Atlassian's</t>
        </is>
      </c>
      <c r="J505" s="64" t="n"/>
      <c r="K505" s="63" t="n"/>
      <c r="L505" s="9" t="inlineStr">
        <is>
          <t>In line — see tab 2</t>
        </is>
      </c>
      <c r="M505" s="64" t="n"/>
      <c r="N505" s="63" t="n"/>
    </row>
    <row r="506" ht="15" customHeight="1"/>
    <row r="507" ht="20" customHeight="1">
      <c r="A507" s="6" t="inlineStr">
        <is>
          <t>M13b. Scope cross-check — IRIS levels against the Career Architecture V2 reference levels</t>
        </is>
      </c>
    </row>
    <row r="508" ht="28" customHeight="1">
      <c r="A508" s="12" t="inlineStr">
        <is>
          <r>
            <rPr>
              <rFont val="Calibri"/>
              <b val="1"/>
              <i val="1"/>
              <color rgb="00595959"/>
              <sz val="10"/>
            </rPr>
            <t>A scope cross-check only:</t>
          </r>
          <r>
            <rPr>
              <rFont val="Calibri"/>
              <i val="1"/>
              <color rgb="00595959"/>
              <sz val="10"/>
            </rPr>
            <t xml:space="preserve"> where each IRIS level sits against the V2 reference levels by their definitions. It is used to pick comparable discipline text for the role catalogue. It is not a conversion and never changes a level.</t>
          </r>
        </is>
      </c>
    </row>
    <row r="509" ht="15" customHeight="1">
      <c r="A509" s="7" t="inlineStr">
        <is>
          <t>IRIS level</t>
        </is>
      </c>
      <c r="B509" s="7" t="inlineStr">
        <is>
          <t>What the IRIS level owns</t>
        </is>
      </c>
      <c r="C509" s="64" t="n"/>
      <c r="D509" s="64" t="n"/>
      <c r="E509" s="64" t="n"/>
      <c r="F509" s="63" t="n"/>
      <c r="G509" s="7" t="inlineStr">
        <is>
          <t>V2 reference · approx.</t>
        </is>
      </c>
      <c r="H509" s="63" t="n"/>
      <c r="I509" s="7" t="inlineStr">
        <is>
          <t>V2 contribution</t>
        </is>
      </c>
      <c r="J509" s="64" t="n"/>
      <c r="K509" s="63" t="n"/>
      <c r="L509" s="7" t="inlineStr">
        <is>
          <t>V2 scope</t>
        </is>
      </c>
      <c r="M509" s="64" t="n"/>
      <c r="N509" s="63" t="n"/>
    </row>
    <row r="510" ht="15" customHeight="1">
      <c r="A510" s="17" t="inlineStr">
        <is>
          <t>A1</t>
        </is>
      </c>
      <c r="B510" s="9" t="inlineStr">
        <is>
          <t>Learning the role; all work reviewed</t>
        </is>
      </c>
      <c r="C510" s="64" t="n"/>
      <c r="D510" s="64" t="n"/>
      <c r="E510" s="64" t="n"/>
      <c r="F510" s="63" t="n"/>
      <c r="G510" s="8" t="inlineStr">
        <is>
          <t>≈ I0</t>
        </is>
      </c>
      <c r="H510" s="63" t="n"/>
      <c r="I510" s="9" t="inlineStr">
        <is>
          <t>Supervised learning</t>
        </is>
      </c>
      <c r="J510" s="64" t="n"/>
      <c r="K510" s="63" t="n"/>
      <c r="L510" s="9" t="inlineStr">
        <is>
          <t>Learning assignment</t>
        </is>
      </c>
      <c r="M510" s="64" t="n"/>
      <c r="N510" s="63" t="n"/>
    </row>
    <row r="511" ht="15" customHeight="1">
      <c r="A511" s="17" t="inlineStr">
        <is>
          <t>A2</t>
        </is>
      </c>
      <c r="B511" s="9" t="inlineStr">
        <is>
          <t>Standard work delivered independently</t>
        </is>
      </c>
      <c r="C511" s="64" t="n"/>
      <c r="D511" s="64" t="n"/>
      <c r="E511" s="64" t="n"/>
      <c r="F511" s="63" t="n"/>
      <c r="G511" s="8" t="inlineStr">
        <is>
          <t>≈ J1 · between two</t>
        </is>
      </c>
      <c r="H511" s="63" t="n"/>
      <c r="I511" s="9" t="inlineStr">
        <is>
          <t>Assisted delivery</t>
        </is>
      </c>
      <c r="J511" s="64" t="n"/>
      <c r="K511" s="63" t="n"/>
      <c r="L511" s="9" t="inlineStr">
        <is>
          <t>Defined tasks</t>
        </is>
      </c>
      <c r="M511" s="64" t="n"/>
      <c r="N511" s="63" t="n"/>
    </row>
    <row r="512" ht="15" customHeight="1">
      <c r="A512" s="17" t="inlineStr">
        <is>
          <t>A3</t>
        </is>
      </c>
      <c r="B512" s="9" t="inlineStr">
        <is>
          <t>Varied work; reviews juniors; go-to for a process</t>
        </is>
      </c>
      <c r="C512" s="64" t="n"/>
      <c r="D512" s="64" t="n"/>
      <c r="E512" s="64" t="n"/>
      <c r="F512" s="63" t="n"/>
      <c r="G512" s="8" t="inlineStr">
        <is>
          <t>≈ J2 · between two</t>
        </is>
      </c>
      <c r="H512" s="63" t="n"/>
      <c r="I512" s="9" t="inlineStr">
        <is>
          <t>Independent delivery</t>
        </is>
      </c>
      <c r="J512" s="64" t="n"/>
      <c r="K512" s="63" t="n"/>
      <c r="L512" s="9" t="inlineStr">
        <is>
          <t>Established process or bounded output</t>
        </is>
      </c>
      <c r="M512" s="64" t="n"/>
      <c r="N512" s="63" t="n"/>
    </row>
    <row r="513" ht="15" customHeight="1">
      <c r="A513" s="17" t="inlineStr">
        <is>
          <t>B1</t>
        </is>
      </c>
      <c r="B513" s="9" t="inlineStr">
        <is>
          <t>A domain / module, or a small team</t>
        </is>
      </c>
      <c r="C513" s="64" t="n"/>
      <c r="D513" s="64" t="n"/>
      <c r="E513" s="64" t="n"/>
      <c r="F513" s="63" t="n"/>
      <c r="G513" s="8" t="inlineStr">
        <is>
          <t>≈ J3</t>
        </is>
      </c>
      <c r="H513" s="63" t="n"/>
      <c r="I513" s="9" t="inlineStr">
        <is>
          <t>Complex delivery</t>
        </is>
      </c>
      <c r="J513" s="64" t="n"/>
      <c r="K513" s="63" t="n"/>
      <c r="L513" s="9" t="inlineStr">
        <is>
          <t>Non-routine workstream</t>
        </is>
      </c>
      <c r="M513" s="64" t="n"/>
      <c r="N513" s="63" t="n"/>
    </row>
    <row r="514" ht="28" customHeight="1">
      <c r="A514" s="17" t="inlineStr">
        <is>
          <t>B2</t>
        </is>
      </c>
      <c r="B514" s="9" t="inlineStr">
        <is>
          <t>Deep domain expertise, or one team</t>
        </is>
      </c>
      <c r="C514" s="64" t="n"/>
      <c r="D514" s="64" t="n"/>
      <c r="E514" s="64" t="n"/>
      <c r="F514" s="63" t="n"/>
      <c r="G514" s="8" t="inlineStr">
        <is>
          <t>≈ J4 · between two</t>
        </is>
      </c>
      <c r="H514" s="63" t="n"/>
      <c r="I514" s="9" t="inlineStr">
        <is>
          <t>Domain leadership</t>
        </is>
      </c>
      <c r="J514" s="64" t="n"/>
      <c r="K514" s="63" t="n"/>
      <c r="L514" s="9" t="inlineStr">
        <is>
          <t>Domain, complex project or accountable team</t>
        </is>
      </c>
      <c r="M514" s="64" t="n"/>
      <c r="N514" s="63" t="n"/>
    </row>
    <row r="515" ht="28" customHeight="1">
      <c r="A515" s="17" t="inlineStr">
        <is>
          <t>B3</t>
        </is>
      </c>
      <c r="B515" s="9" t="inlineStr">
        <is>
          <t>A practice, or several teams through team leads</t>
        </is>
      </c>
      <c r="C515" s="64" t="n"/>
      <c r="D515" s="64" t="n"/>
      <c r="E515" s="64" t="n"/>
      <c r="F515" s="63" t="n"/>
      <c r="G515" s="8" t="inlineStr">
        <is>
          <t>≈ J4 · between two</t>
        </is>
      </c>
      <c r="H515" s="63" t="n"/>
      <c r="I515" s="9" t="inlineStr">
        <is>
          <t>Domain leadership</t>
        </is>
      </c>
      <c r="J515" s="64" t="n"/>
      <c r="K515" s="63" t="n"/>
      <c r="L515" s="9" t="inlineStr">
        <is>
          <t>Domain, complex project or accountable team</t>
        </is>
      </c>
      <c r="M515" s="64" t="n"/>
      <c r="N515" s="63" t="n"/>
    </row>
    <row r="516" ht="28" customHeight="1">
      <c r="A516" s="17" t="inlineStr">
        <is>
          <t>B+</t>
        </is>
      </c>
      <c r="B516" s="9" t="inlineStr">
        <is>
          <r>
            <rPr>
              <rFont val="Calibri"/>
              <b val="1"/>
              <sz val="10"/>
            </rPr>
            <t>A practice or product area:</t>
          </r>
          <r>
            <rPr>
              <rFont val="Calibri"/>
              <sz val="10"/>
            </rPr>
            <t xml:space="preserve"> does the hardest hands-on work itself and leads 3–6 people · player-coach</t>
          </r>
        </is>
      </c>
      <c r="C516" s="64" t="n"/>
      <c r="D516" s="64" t="n"/>
      <c r="E516" s="64" t="n"/>
      <c r="F516" s="63" t="n"/>
      <c r="G516" s="8" t="inlineStr">
        <is>
          <t>≈ J5 · between two</t>
        </is>
      </c>
      <c r="H516" s="63" t="n"/>
      <c r="I516" s="9" t="inlineStr">
        <is>
          <t>Cross-team leadership</t>
        </is>
      </c>
      <c r="J516" s="64" t="n"/>
      <c r="K516" s="63" t="n"/>
      <c r="L516" s="9" t="inlineStr">
        <is>
          <t>Several teams, products or major programme</t>
        </is>
      </c>
      <c r="M516" s="64" t="n"/>
      <c r="N516" s="63" t="n"/>
    </row>
    <row r="517" ht="28" customHeight="1">
      <c r="A517" s="17" t="inlineStr">
        <is>
          <t>C1</t>
        </is>
      </c>
      <c r="B517" s="9" t="inlineStr">
        <is>
          <t>A sub-function, or principal authority across products</t>
        </is>
      </c>
      <c r="C517" s="64" t="n"/>
      <c r="D517" s="64" t="n"/>
      <c r="E517" s="64" t="n"/>
      <c r="F517" s="63" t="n"/>
      <c r="G517" s="8" t="inlineStr">
        <is>
          <t>≈ J5 · between two</t>
        </is>
      </c>
      <c r="H517" s="63" t="n"/>
      <c r="I517" s="9" t="inlineStr">
        <is>
          <t>Cross-team leadership</t>
        </is>
      </c>
      <c r="J517" s="64" t="n"/>
      <c r="K517" s="63" t="n"/>
      <c r="L517" s="9" t="inlineStr">
        <is>
          <t>Several teams, products or major programme</t>
        </is>
      </c>
      <c r="M517" s="64" t="n"/>
      <c r="N517" s="63" t="n"/>
    </row>
    <row r="518" ht="28" customHeight="1">
      <c r="A518" s="17" t="inlineStr">
        <is>
          <t>C2</t>
        </is>
      </c>
      <c r="B518" s="9" t="inlineStr">
        <is>
          <t>A function or department, or a company-wide discipline</t>
        </is>
      </c>
      <c r="C518" s="64" t="n"/>
      <c r="D518" s="64" t="n"/>
      <c r="E518" s="64" t="n"/>
      <c r="F518" s="63" t="n"/>
      <c r="G518" s="8" t="inlineStr">
        <is>
          <t>≈ J6 · between two</t>
        </is>
      </c>
      <c r="H518" s="63" t="n"/>
      <c r="I518" s="9" t="inlineStr">
        <is>
          <t>Function or enterprise-domain leadership</t>
        </is>
      </c>
      <c r="J518" s="64" t="n"/>
      <c r="K518" s="63" t="n"/>
      <c r="L518" s="9" t="inlineStr">
        <is>
          <t>Whole function, major practice or enterprise technical domain</t>
        </is>
      </c>
      <c r="M518" s="64" t="n"/>
      <c r="N518" s="63" t="n"/>
    </row>
    <row r="519" ht="41" customHeight="1">
      <c r="A519" s="17" t="inlineStr">
        <is>
          <t>C+</t>
        </is>
      </c>
      <c r="B519" s="9" t="inlineStr">
        <is>
          <r>
            <rPr>
              <rFont val="Calibri"/>
              <b val="1"/>
              <sz val="10"/>
            </rPr>
            <t>A function or group of practices:</t>
          </r>
          <r>
            <rPr>
              <rFont val="Calibri"/>
              <sz val="10"/>
            </rPr>
            <t xml:space="preserve"> answers for its results and personally delivers or sells the most critical work · player-coach</t>
          </r>
        </is>
      </c>
      <c r="C519" s="64" t="n"/>
      <c r="D519" s="64" t="n"/>
      <c r="E519" s="64" t="n"/>
      <c r="F519" s="63" t="n"/>
      <c r="G519" s="8" t="inlineStr">
        <is>
          <t>≈ J6</t>
        </is>
      </c>
      <c r="H519" s="63" t="n"/>
      <c r="I519" s="9" t="inlineStr">
        <is>
          <t>Function or enterprise-domain leadership</t>
        </is>
      </c>
      <c r="J519" s="64" t="n"/>
      <c r="K519" s="63" t="n"/>
      <c r="L519" s="9" t="inlineStr">
        <is>
          <t>Whole function, major practice or enterprise technical domain</t>
        </is>
      </c>
      <c r="M519" s="64" t="n"/>
      <c r="N519" s="63" t="n"/>
    </row>
    <row r="520" ht="28" customHeight="1">
      <c r="A520" s="17" t="inlineStr">
        <is>
          <t>D1</t>
        </is>
      </c>
      <c r="B520" s="9" t="inlineStr">
        <is>
          <t>A business line P&amp;L, region or enterprise function</t>
        </is>
      </c>
      <c r="C520" s="64" t="n"/>
      <c r="D520" s="64" t="n"/>
      <c r="E520" s="64" t="n"/>
      <c r="F520" s="63" t="n"/>
      <c r="G520" s="8" t="inlineStr">
        <is>
          <t>≈ J6</t>
        </is>
      </c>
      <c r="H520" s="63" t="n"/>
      <c r="I520" s="9" t="inlineStr">
        <is>
          <t>Function or enterprise-domain leadership</t>
        </is>
      </c>
      <c r="J520" s="64" t="n"/>
      <c r="K520" s="63" t="n"/>
      <c r="L520" s="9" t="inlineStr">
        <is>
          <t>Whole function, major practice or enterprise technical domain</t>
        </is>
      </c>
      <c r="M520" s="64" t="n"/>
      <c r="N520" s="63" t="n"/>
    </row>
    <row r="521" ht="28" customHeight="1">
      <c r="A521" s="17" t="inlineStr">
        <is>
          <t>D2</t>
        </is>
      </c>
      <c r="B521" s="9" t="inlineStr">
        <is>
          <t>Several business lines or an executive-scope enterprise function</t>
        </is>
      </c>
      <c r="C521" s="64" t="n"/>
      <c r="D521" s="64" t="n"/>
      <c r="E521" s="64" t="n"/>
      <c r="F521" s="63" t="n"/>
      <c r="G521" s="8" t="inlineStr">
        <is>
          <t>≈ J7</t>
        </is>
      </c>
      <c r="H521" s="63" t="n"/>
      <c r="I521" s="9" t="inlineStr">
        <is>
          <t>Enterprise leadership</t>
        </is>
      </c>
      <c r="J521" s="64" t="n"/>
      <c r="K521" s="63" t="n"/>
      <c r="L521" s="9" t="inlineStr">
        <is>
          <t>Several functions, major business or enterprise-wide expertise</t>
        </is>
      </c>
      <c r="M521" s="64" t="n"/>
      <c r="N521" s="63" t="n"/>
    </row>
    <row r="522" ht="28" customHeight="1">
      <c r="A522" s="17" t="inlineStr">
        <is>
          <t>E1</t>
        </is>
      </c>
      <c r="B522" s="9" t="inlineStr">
        <is>
          <t>An enterprise-wide function</t>
        </is>
      </c>
      <c r="C522" s="64" t="n"/>
      <c r="D522" s="64" t="n"/>
      <c r="E522" s="64" t="n"/>
      <c r="F522" s="63" t="n"/>
      <c r="G522" s="8" t="inlineStr">
        <is>
          <t>≈ J7 · between two</t>
        </is>
      </c>
      <c r="H522" s="63" t="n"/>
      <c r="I522" s="9" t="inlineStr">
        <is>
          <t>Enterprise leadership</t>
        </is>
      </c>
      <c r="J522" s="64" t="n"/>
      <c r="K522" s="63" t="n"/>
      <c r="L522" s="9" t="inlineStr">
        <is>
          <t>Several functions, major business or enterprise-wide expertise</t>
        </is>
      </c>
      <c r="M522" s="64" t="n"/>
      <c r="N522" s="63" t="n"/>
    </row>
    <row r="523" ht="28" customHeight="1">
      <c r="A523" s="17" t="inlineStr">
        <is>
          <t>E2</t>
        </is>
      </c>
      <c r="B523" s="9" t="inlineStr">
        <is>
          <t>The enterprise</t>
        </is>
      </c>
      <c r="C523" s="64" t="n"/>
      <c r="D523" s="64" t="n"/>
      <c r="E523" s="64" t="n"/>
      <c r="F523" s="63" t="n"/>
      <c r="G523" s="8" t="inlineStr">
        <is>
          <t>≈ J8</t>
        </is>
      </c>
      <c r="H523" s="63" t="n"/>
      <c r="I523" s="9" t="inlineStr">
        <is>
          <t>Enterprise stewardship</t>
        </is>
      </c>
      <c r="J523" s="64" t="n"/>
      <c r="K523" s="63" t="n"/>
      <c r="L523" s="9" t="inlineStr">
        <is>
          <t>Whole complex enterprise or exceptional enterprise-critical remit</t>
        </is>
      </c>
      <c r="M523" s="64" t="n"/>
      <c r="N523" s="63" t="n"/>
    </row>
    <row r="524" ht="15" customHeight="1"/>
    <row r="525" ht="20" customHeight="1">
      <c r="A525" s="6" t="inlineStr">
        <is>
          <t>M14. Pay architecture principles · to apply when survey data is bought</t>
        </is>
      </c>
    </row>
    <row r="526" ht="15" customHeight="1">
      <c r="A526" s="7" t="inlineStr">
        <is>
          <t>Element</t>
        </is>
      </c>
      <c r="B526" s="63" t="n"/>
      <c r="C526" s="7" t="inlineStr">
        <is>
          <t>Principle</t>
        </is>
      </c>
      <c r="D526" s="64" t="n"/>
      <c r="E526" s="64" t="n"/>
      <c r="F526" s="64" t="n"/>
      <c r="G526" s="64" t="n"/>
      <c r="H526" s="64" t="n"/>
      <c r="I526" s="64" t="n"/>
      <c r="J526" s="64" t="n"/>
      <c r="K526" s="64" t="n"/>
      <c r="L526" s="63" t="n"/>
      <c r="M526" s="7" t="inlineStr">
        <is>
          <t>Sources</t>
        </is>
      </c>
      <c r="N526" s="63" t="n"/>
    </row>
    <row r="527" ht="15" customHeight="1">
      <c r="A527" s="14" t="inlineStr">
        <is>
          <t>Structure type</t>
        </is>
      </c>
      <c r="B527" s="63" t="n"/>
      <c r="C527" s="9" t="inlineStr">
        <is>
          <r>
            <rPr>
              <rFont val="Calibri"/>
              <b val="1"/>
              <sz val="10"/>
            </rPr>
            <t>Market-based graded structure:</t>
          </r>
          <r>
            <rPr>
              <rFont val="Calibri"/>
              <sz val="10"/>
            </rPr>
            <t xml:space="preserve"> one range per level, with ranges overlapping between adjacent levels.</t>
          </r>
        </is>
      </c>
      <c r="D527" s="64" t="n"/>
      <c r="E527" s="64" t="n"/>
      <c r="F527" s="64" t="n"/>
      <c r="G527" s="64" t="n"/>
      <c r="H527" s="64" t="n"/>
      <c r="I527" s="64" t="n"/>
      <c r="J527" s="64" t="n"/>
      <c r="K527" s="64" t="n"/>
      <c r="L527" s="63" t="n"/>
      <c r="M527" s="9" t="inlineStr">
        <is>
          <t>S11</t>
        </is>
      </c>
      <c r="N527" s="63" t="n"/>
    </row>
    <row r="528" ht="41" customHeight="1">
      <c r="A528" s="14" t="inlineStr">
        <is>
          <t>Range spread</t>
        </is>
      </c>
      <c r="B528" s="63" t="n"/>
      <c r="C528" s="9" t="inlineStr">
        <is>
          <r>
            <rPr>
              <rFont val="Calibri"/>
              <b val="1"/>
              <sz val="10"/>
            </rPr>
            <t>Working assumption until a survey is bought:</t>
          </r>
          <r>
            <rPr>
              <rFont val="Calibri"/>
              <sz val="10"/>
            </rPr>
            <t xml:space="preserve"> A1–A3: 40–50% · B1–B3 IC: 50–60% · B1–B3 Manager: 50–60% · C1–C2: 60–75% · D1–E2: 70–100%. Set the final spreads from the purchased survey.</t>
          </r>
        </is>
      </c>
      <c r="D528" s="64" t="n"/>
      <c r="E528" s="64" t="n"/>
      <c r="F528" s="64" t="n"/>
      <c r="G528" s="64" t="n"/>
      <c r="H528" s="64" t="n"/>
      <c r="I528" s="64" t="n"/>
      <c r="J528" s="64" t="n"/>
      <c r="K528" s="64" t="n"/>
      <c r="L528" s="63" t="n"/>
      <c r="M528" s="9" t="inlineStr">
        <is>
          <t>IRIS assumption · S11 gives the concept, not these figures</t>
        </is>
      </c>
      <c r="N528" s="63" t="n"/>
    </row>
    <row r="529" ht="41" customHeight="1">
      <c r="A529" s="14" t="inlineStr">
        <is>
          <t>Midpoint progression</t>
        </is>
      </c>
      <c r="B529" s="63" t="n"/>
      <c r="C529" s="9" t="inlineStr">
        <is>
          <r>
            <rPr>
              <rFont val="Calibri"/>
              <b val="1"/>
              <sz val="10"/>
            </rPr>
            <t>Working assumption until a survey is bought:</t>
          </r>
          <r>
            <rPr>
              <rFont val="Calibri"/>
              <sz val="10"/>
            </rPr>
            <t xml:space="preserve"> 8–15% between adjacent levels · 8–10% within Band A, 10–12% in Band B, 12–15% from C1 up.</t>
          </r>
        </is>
      </c>
      <c r="D529" s="64" t="n"/>
      <c r="E529" s="64" t="n"/>
      <c r="F529" s="64" t="n"/>
      <c r="G529" s="64" t="n"/>
      <c r="H529" s="64" t="n"/>
      <c r="I529" s="64" t="n"/>
      <c r="J529" s="64" t="n"/>
      <c r="K529" s="64" t="n"/>
      <c r="L529" s="63" t="n"/>
      <c r="M529" s="9" t="inlineStr">
        <is>
          <t>IRIS assumption · S11 gives the concept, not these figures</t>
        </is>
      </c>
      <c r="N529" s="63" t="n"/>
    </row>
    <row r="530" ht="28" customHeight="1">
      <c r="A530" s="14" t="inlineStr">
        <is>
          <t>Market position</t>
        </is>
      </c>
      <c r="B530" s="63" t="n"/>
      <c r="C530" s="9" t="inlineStr">
        <is>
          <t>Midpoint = market median of the matched Radford / Mercer code for the India tech / product peer group. Hot skills · AI / ML, cloud, XBRL taxonomy can carry a premium of up to P75.</t>
        </is>
      </c>
      <c r="D530" s="64" t="n"/>
      <c r="E530" s="64" t="n"/>
      <c r="F530" s="64" t="n"/>
      <c r="G530" s="64" t="n"/>
      <c r="H530" s="64" t="n"/>
      <c r="I530" s="64" t="n"/>
      <c r="J530" s="64" t="n"/>
      <c r="K530" s="64" t="n"/>
      <c r="L530" s="63" t="n"/>
      <c r="M530" s="9" t="inlineStr">
        <is>
          <t>S01, S02</t>
        </is>
      </c>
      <c r="N530" s="63" t="n"/>
    </row>
    <row r="531" ht="28" customHeight="1">
      <c r="A531" s="14" t="inlineStr">
        <is>
          <t>Peer group for the survey</t>
        </is>
      </c>
      <c r="B531" s="63" t="n"/>
      <c r="C531" s="9" t="inlineStr">
        <is>
          <t>India product and SaaS companies, Indian IT services · Infosys, TCS, Accenture, XBRL / filing peers · DataTracks, Toppan Merrill, DFIN.</t>
        </is>
      </c>
      <c r="D531" s="64" t="n"/>
      <c r="E531" s="64" t="n"/>
      <c r="F531" s="64" t="n"/>
      <c r="G531" s="64" t="n"/>
      <c r="H531" s="64" t="n"/>
      <c r="I531" s="64" t="n"/>
      <c r="J531" s="64" t="n"/>
      <c r="K531" s="64" t="n"/>
      <c r="L531" s="63" t="n"/>
      <c r="M531" s="9" t="inlineStr">
        <is>
          <t>S30–S36</t>
        </is>
      </c>
      <c r="N531" s="63" t="n"/>
    </row>
    <row r="532" ht="15" customHeight="1">
      <c r="A532" s="14" t="inlineStr">
        <is>
          <t>Status</t>
        </is>
      </c>
      <c r="B532" s="63" t="n"/>
      <c r="C532" s="9" t="inlineStr">
        <is>
          <t>To apply once a paid survey is bought. No pay data has been used in placements.</t>
        </is>
      </c>
      <c r="D532" s="64" t="n"/>
      <c r="E532" s="64" t="n"/>
      <c r="F532" s="64" t="n"/>
      <c r="G532" s="64" t="n"/>
      <c r="H532" s="64" t="n"/>
      <c r="I532" s="64" t="n"/>
      <c r="J532" s="64" t="n"/>
      <c r="K532" s="64" t="n"/>
      <c r="L532" s="63" t="n"/>
      <c r="M532" s="9" t="inlineStr">
        <is>
          <t>—</t>
        </is>
      </c>
      <c r="N532" s="63" t="n"/>
    </row>
    <row r="533" ht="15" customHeight="1"/>
    <row r="534" ht="20" customHeight="1">
      <c r="A534" s="6" t="inlineStr">
        <is>
          <t>M15. Governance</t>
        </is>
      </c>
    </row>
    <row r="535" ht="15" customHeight="1">
      <c r="A535" s="7" t="inlineStr">
        <is>
          <t>ID</t>
        </is>
      </c>
      <c r="B535" s="7" t="inlineStr">
        <is>
          <t>Area</t>
        </is>
      </c>
      <c r="C535" s="63" t="n"/>
      <c r="D535" s="7" t="inlineStr">
        <is>
          <t>Rule</t>
        </is>
      </c>
      <c r="E535" s="64" t="n"/>
      <c r="F535" s="64" t="n"/>
      <c r="G535" s="64" t="n"/>
      <c r="H535" s="64" t="n"/>
      <c r="I535" s="64" t="n"/>
      <c r="J535" s="64" t="n"/>
      <c r="K535" s="64" t="n"/>
      <c r="L535" s="64" t="n"/>
      <c r="M535" s="64" t="n"/>
      <c r="N535" s="63" t="n"/>
    </row>
    <row r="536" ht="15" customHeight="1">
      <c r="A536" s="14" t="inlineStr">
        <is>
          <t>V1</t>
        </is>
      </c>
      <c r="B536" s="9" t="inlineStr">
        <is>
          <t>Owner</t>
        </is>
      </c>
      <c r="C536" s="63" t="n"/>
      <c r="D536" s="9" t="inlineStr">
        <is>
          <t>HR · Head – HR owns the framework; function heads own their families' content; CEO approves changes to levels, weights and rules.</t>
        </is>
      </c>
      <c r="E536" s="64" t="n"/>
      <c r="F536" s="64" t="n"/>
      <c r="G536" s="64" t="n"/>
      <c r="H536" s="64" t="n"/>
      <c r="I536" s="64" t="n"/>
      <c r="J536" s="64" t="n"/>
      <c r="K536" s="64" t="n"/>
      <c r="L536" s="64" t="n"/>
      <c r="M536" s="64" t="n"/>
      <c r="N536" s="63" t="n"/>
    </row>
    <row r="537" ht="15" customHeight="1">
      <c r="A537" s="14" t="inlineStr">
        <is>
          <t>V2</t>
        </is>
      </c>
      <c r="B537" s="9" t="inlineStr">
        <is>
          <t>Validation</t>
        </is>
      </c>
      <c r="C537" s="63" t="n"/>
      <c r="D537" s="9" t="inlineStr">
        <is>
          <t>Manager validates each placement · Agree / Change / Discuss; HR decides; changes need evidence and a rule ID.</t>
        </is>
      </c>
      <c r="E537" s="64" t="n"/>
      <c r="F537" s="64" t="n"/>
      <c r="G537" s="64" t="n"/>
      <c r="H537" s="64" t="n"/>
      <c r="I537" s="64" t="n"/>
      <c r="J537" s="64" t="n"/>
      <c r="K537" s="64" t="n"/>
      <c r="L537" s="64" t="n"/>
      <c r="M537" s="64" t="n"/>
      <c r="N537" s="63" t="n"/>
    </row>
    <row r="538" ht="41" customHeight="1">
      <c r="A538" s="14" t="inlineStr">
        <is>
          <t>V3</t>
        </is>
      </c>
      <c r="B538" s="9" t="inlineStr">
        <is>
          <t>Calibration</t>
        </is>
      </c>
      <c r="C538" s="63" t="n"/>
      <c r="D538" s="9" t="inlineStr">
        <is>
          <t>Cross-business panel reviews close calls · score within ±0.05 of a rounding point where the score decided the level, people near a gate · a rule set the level and its threshold is within a quarter-point, Player-Coach placements made within tolerance, moves down, senior titles without teams and all C+ placements.</t>
        </is>
      </c>
      <c r="E538" s="64" t="n"/>
      <c r="F538" s="64" t="n"/>
      <c r="G538" s="64" t="n"/>
      <c r="H538" s="64" t="n"/>
      <c r="I538" s="64" t="n"/>
      <c r="J538" s="64" t="n"/>
      <c r="K538" s="64" t="n"/>
      <c r="L538" s="64" t="n"/>
      <c r="M538" s="64" t="n"/>
      <c r="N538" s="63" t="n"/>
    </row>
    <row r="539" ht="15" customHeight="1">
      <c r="A539" s="14" t="inlineStr">
        <is>
          <t>V4</t>
        </is>
      </c>
      <c r="B539" s="9" t="inlineStr">
        <is>
          <t>Protection</t>
        </is>
      </c>
      <c r="C539" s="63" t="n"/>
      <c r="D539" s="9" t="inlineStr">
        <is>
          <t>Any move down is pay- and title-protected for one cycle with a review date.</t>
        </is>
      </c>
      <c r="E539" s="64" t="n"/>
      <c r="F539" s="64" t="n"/>
      <c r="G539" s="64" t="n"/>
      <c r="H539" s="64" t="n"/>
      <c r="I539" s="64" t="n"/>
      <c r="J539" s="64" t="n"/>
      <c r="K539" s="64" t="n"/>
      <c r="L539" s="64" t="n"/>
      <c r="M539" s="64" t="n"/>
      <c r="N539" s="63" t="n"/>
    </row>
    <row r="540" ht="28" customHeight="1">
      <c r="A540" s="14" t="inlineStr">
        <is>
          <t>V5</t>
        </is>
      </c>
      <c r="B540" s="9" t="inlineStr">
        <is>
          <t>Cadence</t>
        </is>
      </c>
      <c r="C540" s="63" t="n"/>
      <c r="D540" s="9" t="inlineStr">
        <is>
          <t>Placements reviewed at each appraisal cycle; framework · levels, weights, competencies, market crosswalk reviewed annually; future-skills list refreshed annually from WEF / SFIA updates.</t>
        </is>
      </c>
      <c r="E540" s="64" t="n"/>
      <c r="F540" s="64" t="n"/>
      <c r="G540" s="64" t="n"/>
      <c r="H540" s="64" t="n"/>
      <c r="I540" s="64" t="n"/>
      <c r="J540" s="64" t="n"/>
      <c r="K540" s="64" t="n"/>
      <c r="L540" s="64" t="n"/>
      <c r="M540" s="64" t="n"/>
      <c r="N540" s="63" t="n"/>
    </row>
    <row r="541" ht="28" customHeight="1">
      <c r="A541" s="14" t="inlineStr">
        <is>
          <t>V6</t>
        </is>
      </c>
      <c r="B541" s="9" t="inlineStr">
        <is>
          <t>Change control</t>
        </is>
      </c>
      <c r="C541" s="63" t="n"/>
      <c r="D541" s="9" t="inlineStr">
        <is>
          <t>Every change is versioned with date, author, rule / section changed and reason. Weights change only through the base + tilt model, never per person.</t>
        </is>
      </c>
      <c r="E541" s="64" t="n"/>
      <c r="F541" s="64" t="n"/>
      <c r="G541" s="64" t="n"/>
      <c r="H541" s="64" t="n"/>
      <c r="I541" s="64" t="n"/>
      <c r="J541" s="64" t="n"/>
      <c r="K541" s="64" t="n"/>
      <c r="L541" s="64" t="n"/>
      <c r="M541" s="64" t="n"/>
      <c r="N541" s="63" t="n"/>
    </row>
    <row r="542" ht="15" customHeight="1"/>
    <row r="543" ht="20" customHeight="1">
      <c r="A543" s="6" t="inlineStr">
        <is>
          <t>M16. Source register</t>
        </is>
      </c>
    </row>
    <row r="544" ht="15" customHeight="1">
      <c r="A544" s="12" t="inlineStr">
        <is>
          <r>
            <rPr>
              <rFont val="Calibri"/>
              <b val="1"/>
              <i val="1"/>
              <color rgb="00595959"/>
              <sz val="10"/>
            </rPr>
            <t>Evidence grade:</t>
          </r>
          <r>
            <rPr>
              <rFont val="Calibri"/>
              <i val="1"/>
              <color rgb="00595959"/>
              <sz val="10"/>
            </rPr>
            <t xml:space="preserve"> Primary = publisher's own material · Secondary = reputable secondary source · Indicative = aggregator; confirm before pay use · Internal = IRIS data.</t>
          </r>
        </is>
      </c>
    </row>
    <row r="545" ht="15" customHeight="1">
      <c r="A545" s="7" t="inlineStr">
        <is>
          <t>ID</t>
        </is>
      </c>
      <c r="B545" s="7" t="inlineStr">
        <is>
          <t>Source</t>
        </is>
      </c>
      <c r="C545" s="64" t="n"/>
      <c r="D545" s="63" t="n"/>
      <c r="E545" s="7" t="inlineStr">
        <is>
          <t>Type</t>
        </is>
      </c>
      <c r="F545" s="63" t="n"/>
      <c r="G545" s="7" t="inlineStr">
        <is>
          <t>What it contributed</t>
        </is>
      </c>
      <c r="H545" s="64" t="n"/>
      <c r="I545" s="64" t="n"/>
      <c r="J545" s="63" t="n"/>
      <c r="K545" s="7" t="inlineStr">
        <is>
          <t>Link / where</t>
        </is>
      </c>
      <c r="L545" s="64" t="n"/>
      <c r="M545" s="63" t="n"/>
      <c r="N545" s="7" t="inlineStr">
        <is>
          <t>Grade</t>
        </is>
      </c>
    </row>
    <row r="546" ht="41" customHeight="1">
      <c r="A546" s="67" t="inlineStr">
        <is>
          <t>S01</t>
        </is>
      </c>
      <c r="B546" s="22" t="inlineStr">
        <is>
          <t>Aon Radford — Global Job Architecture &amp; Leveling</t>
        </is>
      </c>
      <c r="C546" s="64" t="n"/>
      <c r="D546" s="63" t="n"/>
      <c r="E546" s="22" t="inlineStr">
        <is>
          <t>Salary-survey levelling system</t>
        </is>
      </c>
      <c r="F546" s="63" t="n"/>
      <c r="G546" s="22" t="inlineStr">
        <is>
          <t>P1–P7 / M1–M6 / E1–E6 market codes on every IRIS level; dual IC / management streams</t>
        </is>
      </c>
      <c r="H546" s="64" t="n"/>
      <c r="I546" s="64" t="n"/>
      <c r="J546" s="63" t="n"/>
      <c r="K546" s="22" t="inlineStr">
        <is>
          <t>https://radford.aon.com/en-us/products/release-notes/2021/radford-job-architecture-leveling</t>
        </is>
      </c>
      <c r="L546" s="64" t="n"/>
      <c r="M546" s="63" t="n"/>
      <c r="N546" s="22" t="inlineStr">
        <is>
          <t>Primary</t>
        </is>
      </c>
    </row>
    <row r="547" ht="41" customHeight="1">
      <c r="A547" s="67" t="inlineStr">
        <is>
          <t>S02</t>
        </is>
      </c>
      <c r="B547" s="22" t="inlineStr">
        <is>
          <t>Pave — job levels and Radford / Mercer crosswalk</t>
        </is>
      </c>
      <c r="C547" s="64" t="n"/>
      <c r="D547" s="63" t="n"/>
      <c r="E547" s="22" t="inlineStr">
        <is>
          <t>Compensation platform</t>
        </is>
      </c>
      <c r="F547" s="63" t="n"/>
      <c r="G547" s="22" t="inlineStr">
        <is>
          <t>Level names · P1 Entry, P2 Developing, P3 Career, P4 Senior, P5 Expert, P6 Principal; M3 Manager … M6 Senior Director and the Radford ↔ Mercer mapping</t>
        </is>
      </c>
      <c r="H547" s="64" t="n"/>
      <c r="I547" s="64" t="n"/>
      <c r="J547" s="63" t="n"/>
      <c r="K547" s="22" t="inlineStr">
        <is>
          <t>https://support.pave.com/articles/understand-job-levels-SiKTjMHZtr.md</t>
        </is>
      </c>
      <c r="L547" s="64" t="n"/>
      <c r="M547" s="63" t="n"/>
      <c r="N547" s="22" t="inlineStr">
        <is>
          <t>Primary</t>
        </is>
      </c>
    </row>
    <row r="548" ht="67" customHeight="1">
      <c r="A548" s="66" t="inlineStr">
        <is>
          <t>S03</t>
        </is>
      </c>
      <c r="B548" s="19" t="inlineStr">
        <is>
          <t>Mercer career levels · Executive, Management, Professional, Para-professional</t>
        </is>
      </c>
      <c r="C548" s="64" t="n"/>
      <c r="D548" s="63" t="n"/>
      <c r="E548" s="19" t="inlineStr">
        <is>
          <t>Survey levelling system</t>
        </is>
      </c>
      <c r="F548" s="63" t="n"/>
      <c r="G548" s="19" t="inlineStr">
        <is>
          <t>Management · M3+ = more time managing others' work than doing own work; M2 can be a team lead who also does the work; Mercer team-leader roles lead 2+ professionals → IRIS track rules · the 3-report manager threshold is IRIS's own rule</t>
        </is>
      </c>
      <c r="H548" s="64" t="n"/>
      <c r="I548" s="64" t="n"/>
      <c r="J548" s="63" t="n"/>
      <c r="K548" s="19" t="inlineStr">
        <is>
          <t>https://help.figures.hr/en/articles/389223-mercer-levels ; https://info.mercer.com/rs/521-DEV-513/images/MLS-Job-Catalogue.pdf</t>
        </is>
      </c>
      <c r="L548" s="64" t="n"/>
      <c r="M548" s="63" t="n"/>
      <c r="N548" s="19" t="inlineStr">
        <is>
          <t>Secondary</t>
        </is>
      </c>
    </row>
    <row r="549" ht="41" customHeight="1">
      <c r="A549" s="67" t="inlineStr">
        <is>
          <t>S04</t>
        </is>
      </c>
      <c r="B549" s="22" t="inlineStr">
        <is>
          <t>Mercer IPE · International Position Evaluation</t>
        </is>
      </c>
      <c r="C549" s="64" t="n"/>
      <c r="D549" s="63" t="n"/>
      <c r="E549" s="22" t="inlineStr">
        <is>
          <t>Job-evaluation method</t>
        </is>
      </c>
      <c r="F549" s="63" t="n"/>
      <c r="G549" s="22" t="inlineStr">
        <is>
          <t>Factors Impact, Communication, Innovation, Knowledge · plus Effort &amp; Working Conditions, not used by IRIS → mapped to the IRIS six factors</t>
        </is>
      </c>
      <c r="H549" s="64" t="n"/>
      <c r="I549" s="64" t="n"/>
      <c r="J549" s="63" t="n"/>
      <c r="K549" s="22" t="inlineStr">
        <is>
          <t>https://www.mercer.com/en-in/solutions/talent-and-rewards/job-architecture/job-evaluation-ipe/</t>
        </is>
      </c>
      <c r="L549" s="64" t="n"/>
      <c r="M549" s="63" t="n"/>
      <c r="N549" s="22" t="inlineStr">
        <is>
          <t>Primary</t>
        </is>
      </c>
    </row>
    <row r="550" ht="80" customHeight="1">
      <c r="A550" s="67" t="inlineStr">
        <is>
          <t>S05</t>
        </is>
      </c>
      <c r="B550" s="22" t="inlineStr">
        <is>
          <t>Korn Ferry Hay Guide Chart-Profile method</t>
        </is>
      </c>
      <c r="C550" s="64" t="n"/>
      <c r="D550" s="63" t="n"/>
      <c r="E550" s="22" t="inlineStr">
        <is>
          <t>Job-evaluation method</t>
        </is>
      </c>
      <c r="F550" s="63" t="n"/>
      <c r="G550" s="22" t="inlineStr">
        <is>
          <t>Factors Know-How, Problem Solving, Accountability · plus Working Conditions where it applies; used by 5,000+ private and public organisations</t>
        </is>
      </c>
      <c r="H550" s="64" t="n"/>
      <c r="I550" s="64" t="n"/>
      <c r="J550" s="63" t="n"/>
      <c r="K550" s="22" t="inlineStr">
        <is>
          <t>https://www.gov.nl.ca/exec/tbs/department/branches/classification/what-is-the-korn-ferry-hay-group-guide-chart-profile-method-of-job-evaluation/ ; https://www.uwo.ca/humanresources/wjec/docs/hay_method_overview.pdf</t>
        </is>
      </c>
      <c r="L550" s="64" t="n"/>
      <c r="M550" s="63" t="n"/>
      <c r="N550" s="22" t="inlineStr">
        <is>
          <t>Primary</t>
        </is>
      </c>
    </row>
    <row r="551" ht="67" customHeight="1">
      <c r="A551" s="66" t="inlineStr">
        <is>
          <t>S06</t>
        </is>
      </c>
      <c r="B551" s="19" t="inlineStr">
        <is>
          <t>Hay short profile · A / L / P</t>
        </is>
      </c>
      <c r="C551" s="64" t="n"/>
      <c r="D551" s="63" t="n"/>
      <c r="E551" s="19" t="inlineStr">
        <is>
          <t>Job-evaluation method</t>
        </is>
      </c>
      <c r="F551" s="63" t="n"/>
      <c r="G551" s="19" t="inlineStr">
        <is>
          <t>A-profile = accountability exceeds problem solving · line, results-led; L = problem solving equals accountability · level profile; P = problem solving exceeds accountability · research, thinking-led → IRIS work-type tilts</t>
        </is>
      </c>
      <c r="H551" s="64" t="n"/>
      <c r="I551" s="64" t="n"/>
      <c r="J551" s="63" t="n"/>
      <c r="K551" s="19" t="inlineStr">
        <is>
          <t>https://peoplecentre.wordpress.com/2016/10/02/hay-job-evaluation-methodology-the-short-profile/</t>
        </is>
      </c>
      <c r="L551" s="64" t="n"/>
      <c r="M551" s="63" t="n"/>
      <c r="N551" s="19" t="inlineStr">
        <is>
          <t>Secondary</t>
        </is>
      </c>
    </row>
    <row r="552" ht="54" customHeight="1">
      <c r="A552" s="67" t="inlineStr">
        <is>
          <t>S07</t>
        </is>
      </c>
      <c r="B552" s="22" t="inlineStr">
        <is>
          <t>WTW Global Grading System</t>
        </is>
      </c>
      <c r="C552" s="64" t="n"/>
      <c r="D552" s="63" t="n"/>
      <c r="E552" s="22" t="inlineStr">
        <is>
          <t>Job-levelling method</t>
        </is>
      </c>
      <c r="F552" s="63" t="n"/>
      <c r="G552" s="22" t="inlineStr">
        <is>
          <t>Two-step banding then grading; separate management and IC paths; 16–25 grades by organisation size → IRIS band-then-level design</t>
        </is>
      </c>
      <c r="H552" s="64" t="n"/>
      <c r="I552" s="64" t="n"/>
      <c r="J552" s="63" t="n"/>
      <c r="K552" s="22" t="inlineStr">
        <is>
          <t>https://assets.publishing.service.gov.uk/media/66a370440808eaf43b50d7b2/WTW_OME-STRB_Job_Levelling_FOR_PUBLICATION.pdf</t>
        </is>
      </c>
      <c r="L552" s="64" t="n"/>
      <c r="M552" s="63" t="n"/>
      <c r="N552" s="22" t="inlineStr">
        <is>
          <t>Primary</t>
        </is>
      </c>
    </row>
    <row r="553" ht="54" customHeight="1">
      <c r="A553" s="67" t="inlineStr">
        <is>
          <t>S08</t>
        </is>
      </c>
      <c r="B553" s="22" t="inlineStr">
        <is>
          <t>SFIA 9 — levels of responsibility</t>
        </is>
      </c>
      <c r="C553" s="64" t="n"/>
      <c r="D553" s="63" t="n"/>
      <c r="E553" s="22" t="inlineStr">
        <is>
          <t>Skills framework</t>
        </is>
      </c>
      <c r="F553" s="63" t="n"/>
      <c r="G553" s="22" t="inlineStr">
        <is>
          <t>7 levels · Follow, Assist, Apply, Enable, Ensure/advise, Initiate/influence, Set strategy defined by autonomy, influence, complexity → factor anchors and the 1–5 proficiency scale</t>
        </is>
      </c>
      <c r="H553" s="64" t="n"/>
      <c r="I553" s="64" t="n"/>
      <c r="J553" s="63" t="n"/>
      <c r="K553" s="22" t="inlineStr">
        <is>
          <t>https://sfia-online.org/en/about-sfia/how-sfia-works</t>
        </is>
      </c>
      <c r="L553" s="64" t="n"/>
      <c r="M553" s="63" t="n"/>
      <c r="N553" s="22" t="inlineStr">
        <is>
          <t>Primary</t>
        </is>
      </c>
    </row>
    <row r="554" ht="67" customHeight="1">
      <c r="A554" s="67" t="inlineStr">
        <is>
          <t>S09</t>
        </is>
      </c>
      <c r="B554" s="22" t="inlineStr">
        <is>
          <t>McKinsey — spans of control archetypes</t>
        </is>
      </c>
      <c r="C554" s="64" t="n"/>
      <c r="D554" s="63" t="n"/>
      <c r="E554" s="22" t="inlineStr">
        <is>
          <t>Organisation-design research</t>
        </is>
      </c>
      <c r="F554" s="63" t="n"/>
      <c r="G554" s="22" t="inlineStr">
        <is>
          <t>Player/coach 3–5, coach 6–7, supervisor 8–10, facilitator 11–15, coordinator 15+ → IRIS span norms</t>
        </is>
      </c>
      <c r="H554" s="64" t="n"/>
      <c r="I554" s="64" t="n"/>
      <c r="J554" s="63" t="n"/>
      <c r="K554" s="22" t="inlineStr">
        <is>
          <t>https://www.mckinsey.com/capabilities/people-and-organizational-performance/our-insights/how-to-identify-the-right-spans-of-control-for-your-organization</t>
        </is>
      </c>
      <c r="L554" s="64" t="n"/>
      <c r="M554" s="63" t="n"/>
      <c r="N554" s="22" t="inlineStr">
        <is>
          <t>Primary</t>
        </is>
      </c>
    </row>
    <row r="555" ht="28" customHeight="1">
      <c r="A555" s="66" t="inlineStr">
        <is>
          <t>S10</t>
        </is>
      </c>
      <c r="B555" s="19" t="inlineStr">
        <is>
          <t>Levelling guides · Ravio, CareerBird, Careerminds</t>
        </is>
      </c>
      <c r="C555" s="64" t="n"/>
      <c r="D555" s="63" t="n"/>
      <c r="E555" s="19" t="inlineStr">
        <is>
          <t>Published guidance</t>
        </is>
      </c>
      <c r="F555" s="63" t="n"/>
      <c r="G555" s="19" t="inlineStr">
        <is>
          <t>≈ 12 levels suit 500–1,500 people → IRIS uses 12 employee levels</t>
        </is>
      </c>
      <c r="H555" s="64" t="n"/>
      <c r="I555" s="64" t="n"/>
      <c r="J555" s="63" t="n"/>
      <c r="K555" s="19" t="inlineStr">
        <is>
          <t>Public web guides</t>
        </is>
      </c>
      <c r="L555" s="64" t="n"/>
      <c r="M555" s="63" t="n"/>
      <c r="N555" s="19" t="inlineStr">
        <is>
          <t>Secondary</t>
        </is>
      </c>
    </row>
    <row r="556" ht="54" customHeight="1">
      <c r="A556" s="66" t="inlineStr">
        <is>
          <t>S11</t>
        </is>
      </c>
      <c r="B556" s="19" t="inlineStr">
        <is>
          <t>WorldatWork — salary structure policies and practices</t>
        </is>
      </c>
      <c r="C556" s="64" t="n"/>
      <c r="D556" s="63" t="n"/>
      <c r="E556" s="19" t="inlineStr">
        <is>
          <t>Pay-structure research</t>
        </is>
      </c>
      <c r="F556" s="63" t="n"/>
      <c r="G556" s="19" t="inlineStr">
        <is>
          <t>Graded salary structures, range spread and midpoint concepts. It does not give range spreads by level: the spreads and midpoint steps in M14 are IRIS working assumptions until a pay survey is bought</t>
        </is>
      </c>
      <c r="H556" s="64" t="n"/>
      <c r="I556" s="64" t="n"/>
      <c r="J556" s="63" t="n"/>
      <c r="K556" s="19" t="inlineStr">
        <is>
          <t>https://worldatwork.org/media/CDN/dist/CDN2/documents/pdf/resources/research/Salary-Structure-Policies-Practices-2012.pdf</t>
        </is>
      </c>
      <c r="L556" s="64" t="n"/>
      <c r="M556" s="63" t="n"/>
      <c r="N556" s="19" t="inlineStr">
        <is>
          <t>Secondary</t>
        </is>
      </c>
    </row>
    <row r="557" ht="54" customHeight="1">
      <c r="A557" s="67" t="inlineStr">
        <is>
          <t>S12</t>
        </is>
      </c>
      <c r="B557" s="22" t="inlineStr">
        <is>
          <t>World Economic Forum — Future of Jobs Report 2025</t>
        </is>
      </c>
      <c r="C557" s="64" t="n"/>
      <c r="D557" s="63" t="n"/>
      <c r="E557" s="22" t="inlineStr">
        <is>
          <t>Skills outlook</t>
        </is>
      </c>
      <c r="F557" s="63" t="n"/>
      <c r="G557" s="22" t="inlineStr">
        <is>
          <r>
            <rPr>
              <rFont val="Calibri"/>
              <b val="1"/>
              <sz val="10"/>
            </rPr>
            <t>Fastest-growing skills:</t>
          </r>
          <r>
            <rPr>
              <rFont val="Calibri"/>
              <sz val="10"/>
            </rPr>
            <t xml:space="preserve"> AI &amp; big data, networks &amp; cybersecurity, technological literacy; creative thinking and resilience rising in importance alongside them → Future-ready cluster</t>
          </r>
        </is>
      </c>
      <c r="H557" s="64" t="n"/>
      <c r="I557" s="64" t="n"/>
      <c r="J557" s="63" t="n"/>
      <c r="K557" s="22" t="inlineStr">
        <is>
          <t>https://www.weforum.org/publications/the-future-of-jobs-report-2025/digest/</t>
        </is>
      </c>
      <c r="L557" s="64" t="n"/>
      <c r="M557" s="63" t="n"/>
      <c r="N557" s="22" t="inlineStr">
        <is>
          <t>Primary</t>
        </is>
      </c>
    </row>
    <row r="558" ht="41" customHeight="1">
      <c r="A558" s="67" t="inlineStr">
        <is>
          <t>S13</t>
        </is>
      </c>
      <c r="B558" s="22" t="inlineStr">
        <is>
          <t>PMI Talent Triangle</t>
        </is>
      </c>
      <c r="C558" s="64" t="n"/>
      <c r="D558" s="63" t="n"/>
      <c r="E558" s="22" t="inlineStr">
        <is>
          <t>Competency model</t>
        </is>
      </c>
      <c r="F558" s="63" t="n"/>
      <c r="G558" s="22" t="inlineStr">
        <is>
          <t>Ways of Working, Power Skills, Business Acumen → leadership and project competencies</t>
        </is>
      </c>
      <c r="H558" s="64" t="n"/>
      <c r="I558" s="64" t="n"/>
      <c r="J558" s="63" t="n"/>
      <c r="K558" s="22" t="inlineStr">
        <is>
          <t>https://www.pmi.org/certifications/certification-resources/maintain/talent-triangle</t>
        </is>
      </c>
      <c r="L558" s="64" t="n"/>
      <c r="M558" s="63" t="n"/>
      <c r="N558" s="22" t="inlineStr">
        <is>
          <t>Primary</t>
        </is>
      </c>
    </row>
    <row r="559" ht="67" customHeight="1">
      <c r="A559" s="67" t="inlineStr">
        <is>
          <t>S14</t>
        </is>
      </c>
      <c r="B559" s="22" t="inlineStr">
        <is>
          <t>SHL Universal Competency Framework — the Great Eight</t>
        </is>
      </c>
      <c r="C559" s="64" t="n"/>
      <c r="D559" s="63" t="n"/>
      <c r="E559" s="22" t="inlineStr">
        <is>
          <t>Competency model</t>
        </is>
      </c>
      <c r="F559" s="63" t="n"/>
      <c r="G559" s="22" t="inlineStr">
        <is>
          <t>Leading &amp; Deciding; Supporting &amp; Co-operating; Interacting &amp; Presenting; Analysing &amp; Interpreting; Creating &amp; Conceptualising; Organising &amp; Executing; Adapting &amp; Coping; Enterprising &amp; Performing → coverage check of the IRIS clusters</t>
        </is>
      </c>
      <c r="H559" s="64" t="n"/>
      <c r="I559" s="64" t="n"/>
      <c r="J559" s="63" t="n"/>
      <c r="K559" s="22" t="inlineStr">
        <is>
          <t>https://www.shl.com/assets/campaigns/global/competency-fit/universal-competency-framework-whitepaper-en.pdf</t>
        </is>
      </c>
      <c r="L559" s="64" t="n"/>
      <c r="M559" s="63" t="n"/>
      <c r="N559" s="22" t="inlineStr">
        <is>
          <t>Primary</t>
        </is>
      </c>
    </row>
    <row r="560" ht="41" customHeight="1">
      <c r="A560" s="66" t="inlineStr">
        <is>
          <t>S15</t>
        </is>
      </c>
      <c r="B560" s="19" t="inlineStr">
        <is>
          <t>Korn Ferry Leadership Architect · 38 competencies in four factors: Thought, Results, People, Self</t>
        </is>
      </c>
      <c r="C560" s="64" t="n"/>
      <c r="D560" s="63" t="n"/>
      <c r="E560" s="19" t="inlineStr">
        <is>
          <t>Competency model</t>
        </is>
      </c>
      <c r="F560" s="63" t="n"/>
      <c r="G560" s="19" t="inlineStr">
        <is>
          <t>Behavioural anchors and coverage check for Core and Leadership clusters</t>
        </is>
      </c>
      <c r="H560" s="64" t="n"/>
      <c r="I560" s="64" t="n"/>
      <c r="J560" s="63" t="n"/>
      <c r="K560" s="19" t="inlineStr">
        <is>
          <t>https://cardinalatwork.stanford.edu/careers/performance-management/competencies</t>
        </is>
      </c>
      <c r="L560" s="64" t="n"/>
      <c r="M560" s="63" t="n"/>
      <c r="N560" s="19" t="inlineStr">
        <is>
          <t>Secondary</t>
        </is>
      </c>
    </row>
    <row r="561" ht="41" customHeight="1">
      <c r="A561" s="66" t="inlineStr">
        <is>
          <t>S16</t>
        </is>
      </c>
      <c r="B561" s="19" t="inlineStr">
        <is>
          <t>Google Project Oxygen — 10 behaviours of great managers</t>
        </is>
      </c>
      <c r="C561" s="64" t="n"/>
      <c r="D561" s="63" t="n"/>
      <c r="E561" s="19" t="inlineStr">
        <is>
          <t>Manager research</t>
        </is>
      </c>
      <c r="F561" s="63" t="n"/>
      <c r="G561" s="19" t="inlineStr">
        <is>
          <t>Coach, empower, inclusive team, results, communicate, career development, vision, technical skill, collaborate, decide → Leadership cluster indicators</t>
        </is>
      </c>
      <c r="H561" s="64" t="n"/>
      <c r="I561" s="64" t="n"/>
      <c r="J561" s="63" t="n"/>
      <c r="K561" s="19" t="inlineStr">
        <is>
          <t>https://rework.withgoogle.com/intl/en/guides/following-the-data-the-research-behind-great-managers</t>
        </is>
      </c>
      <c r="L561" s="64" t="n"/>
      <c r="M561" s="63" t="n"/>
      <c r="N561" s="19" t="inlineStr">
        <is>
          <t>Secondary</t>
        </is>
      </c>
    </row>
    <row r="562" ht="28" customHeight="1">
      <c r="A562" s="66" t="inlineStr">
        <is>
          <t>S17</t>
        </is>
      </c>
      <c r="B562" s="19" t="inlineStr">
        <is>
          <t>Digital Education Council — AI literacy framework</t>
        </is>
      </c>
      <c r="C562" s="64" t="n"/>
      <c r="D562" s="63" t="n"/>
      <c r="E562" s="19" t="inlineStr">
        <is>
          <t>AI literacy model</t>
        </is>
      </c>
      <c r="F562" s="63" t="n"/>
      <c r="G562" s="19" t="inlineStr">
        <is>
          <t>Understanding, critical evaluation and responsible use of AI → AI Literacy indicators</t>
        </is>
      </c>
      <c r="H562" s="64" t="n"/>
      <c r="I562" s="64" t="n"/>
      <c r="J562" s="63" t="n"/>
      <c r="K562" s="19" t="inlineStr">
        <is>
          <t>Digital Education Council · public</t>
        </is>
      </c>
      <c r="L562" s="64" t="n"/>
      <c r="M562" s="63" t="n"/>
      <c r="N562" s="19" t="inlineStr">
        <is>
          <t>Secondary</t>
        </is>
      </c>
    </row>
    <row r="563" ht="28" customHeight="1">
      <c r="A563" s="67" t="inlineStr">
        <is>
          <t>S18</t>
        </is>
      </c>
      <c r="B563" s="22" t="inlineStr">
        <is>
          <t>SHRM BASK</t>
        </is>
      </c>
      <c r="C563" s="64" t="n"/>
      <c r="D563" s="63" t="n"/>
      <c r="E563" s="22" t="inlineStr">
        <is>
          <t>HR competency model</t>
        </is>
      </c>
      <c r="F563" s="63" t="n"/>
      <c r="G563" s="22" t="inlineStr">
        <is>
          <t>HR department technical competencies</t>
        </is>
      </c>
      <c r="H563" s="64" t="n"/>
      <c r="I563" s="64" t="n"/>
      <c r="J563" s="63" t="n"/>
      <c r="K563" s="22" t="inlineStr">
        <is>
          <t>https://www.shrm.org/credentials/certification/shrm-bask</t>
        </is>
      </c>
      <c r="L563" s="64" t="n"/>
      <c r="M563" s="63" t="n"/>
      <c r="N563" s="22" t="inlineStr">
        <is>
          <t>Primary</t>
        </is>
      </c>
    </row>
    <row r="564" ht="28" customHeight="1">
      <c r="A564" s="67" t="inlineStr">
        <is>
          <t>S19</t>
        </is>
      </c>
      <c r="B564" s="22" t="inlineStr">
        <is>
          <t>CIPD Profession Map</t>
        </is>
      </c>
      <c r="C564" s="64" t="n"/>
      <c r="D564" s="63" t="n"/>
      <c r="E564" s="22" t="inlineStr">
        <is>
          <t>HR profession standard</t>
        </is>
      </c>
      <c r="F564" s="63" t="n"/>
      <c r="G564" s="22" t="inlineStr">
        <is>
          <t>HR specialist areas</t>
        </is>
      </c>
      <c r="H564" s="64" t="n"/>
      <c r="I564" s="64" t="n"/>
      <c r="J564" s="63" t="n"/>
      <c r="K564" s="22" t="inlineStr">
        <is>
          <t>https://www.cipd.org/en/the-people-profession/the-profession-map/</t>
        </is>
      </c>
      <c r="L564" s="64" t="n"/>
      <c r="M564" s="63" t="n"/>
      <c r="N564" s="22" t="inlineStr">
        <is>
          <t>Primary</t>
        </is>
      </c>
    </row>
    <row r="565" ht="28" customHeight="1">
      <c r="A565" s="67" t="inlineStr">
        <is>
          <t>S20</t>
        </is>
      </c>
      <c r="B565" s="22" t="inlineStr">
        <is>
          <t>IMA Competency Framework · management accounting</t>
        </is>
      </c>
      <c r="C565" s="64" t="n"/>
      <c r="D565" s="63" t="n"/>
      <c r="E565" s="22" t="inlineStr">
        <is>
          <t>Finance competency model</t>
        </is>
      </c>
      <c r="F565" s="63" t="n"/>
      <c r="G565" s="22" t="inlineStr">
        <is>
          <t>Finance department technical competencies</t>
        </is>
      </c>
      <c r="H565" s="64" t="n"/>
      <c r="I565" s="64" t="n"/>
      <c r="J565" s="63" t="n"/>
      <c r="K565" s="22" t="inlineStr">
        <is>
          <t>https://www.imanet.org/framework</t>
        </is>
      </c>
      <c r="L565" s="64" t="n"/>
      <c r="M565" s="63" t="n"/>
      <c r="N565" s="22" t="inlineStr">
        <is>
          <t>Primary</t>
        </is>
      </c>
    </row>
    <row r="566" ht="28" customHeight="1">
      <c r="A566" s="67" t="inlineStr">
        <is>
          <t>S21</t>
        </is>
      </c>
      <c r="B566" s="22" t="inlineStr">
        <is>
          <t>IIBA BABOK Guide v3</t>
        </is>
      </c>
      <c r="C566" s="64" t="n"/>
      <c r="D566" s="63" t="n"/>
      <c r="E566" s="22" t="inlineStr">
        <is>
          <t>Business-analysis standard</t>
        </is>
      </c>
      <c r="F566" s="63" t="n"/>
      <c r="G566" s="22" t="inlineStr">
        <is>
          <t>Business Analysis competencies</t>
        </is>
      </c>
      <c r="H566" s="64" t="n"/>
      <c r="I566" s="64" t="n"/>
      <c r="J566" s="63" t="n"/>
      <c r="K566" s="22" t="inlineStr">
        <is>
          <t>https://www.iiba.org</t>
        </is>
      </c>
      <c r="L566" s="64" t="n"/>
      <c r="M566" s="63" t="n"/>
      <c r="N566" s="22" t="inlineStr">
        <is>
          <t>Primary</t>
        </is>
      </c>
    </row>
    <row r="567" ht="15" customHeight="1">
      <c r="A567" s="67" t="inlineStr">
        <is>
          <t>S22</t>
        </is>
      </c>
      <c r="B567" s="22" t="inlineStr">
        <is>
          <t>ISTQB</t>
        </is>
      </c>
      <c r="C567" s="64" t="n"/>
      <c r="D567" s="63" t="n"/>
      <c r="E567" s="22" t="inlineStr">
        <is>
          <t>Testing standard</t>
        </is>
      </c>
      <c r="F567" s="63" t="n"/>
      <c r="G567" s="22" t="inlineStr">
        <is>
          <t>Quality Assurance competencies and credentials</t>
        </is>
      </c>
      <c r="H567" s="64" t="n"/>
      <c r="I567" s="64" t="n"/>
      <c r="J567" s="63" t="n"/>
      <c r="K567" s="22" t="inlineStr">
        <is>
          <t>https://www.istqb.org</t>
        </is>
      </c>
      <c r="L567" s="64" t="n"/>
      <c r="M567" s="63" t="n"/>
      <c r="N567" s="22" t="inlineStr">
        <is>
          <t>Primary</t>
        </is>
      </c>
    </row>
    <row r="568" ht="28" customHeight="1">
      <c r="A568" s="67" t="inlineStr">
        <is>
          <t>S23</t>
        </is>
      </c>
      <c r="B568" s="22" t="inlineStr">
        <is>
          <t>ITIL 4 and ISO/IEC 27001:2022</t>
        </is>
      </c>
      <c r="C568" s="64" t="n"/>
      <c r="D568" s="63" t="n"/>
      <c r="E568" s="22" t="inlineStr">
        <is>
          <t>IT service / security standards</t>
        </is>
      </c>
      <c r="F568" s="63" t="n"/>
      <c r="G568" s="22" t="inlineStr">
        <is>
          <t>IT &amp; Infrastructure competencies</t>
        </is>
      </c>
      <c r="H568" s="64" t="n"/>
      <c r="I568" s="64" t="n"/>
      <c r="J568" s="63" t="n"/>
      <c r="K568" s="22" t="inlineStr">
        <is>
          <t>https://www.iso.org/standard/27001</t>
        </is>
      </c>
      <c r="L568" s="64" t="n"/>
      <c r="M568" s="63" t="n"/>
      <c r="N568" s="22" t="inlineStr">
        <is>
          <t>Primary</t>
        </is>
      </c>
    </row>
    <row r="569" ht="28" customHeight="1">
      <c r="A569" s="67" t="inlineStr">
        <is>
          <t>S24</t>
        </is>
      </c>
      <c r="B569" s="22" t="inlineStr">
        <is>
          <t>ICSI · Institute of Company Secretaries of India</t>
        </is>
      </c>
      <c r="C569" s="64" t="n"/>
      <c r="D569" s="63" t="n"/>
      <c r="E569" s="22" t="inlineStr">
        <is>
          <t>Statutory body</t>
        </is>
      </c>
      <c r="F569" s="63" t="n"/>
      <c r="G569" s="22" t="inlineStr">
        <is>
          <t>Secretarial &amp; Legal competencies; statutory gate for Company Secretary</t>
        </is>
      </c>
      <c r="H569" s="64" t="n"/>
      <c r="I569" s="64" t="n"/>
      <c r="J569" s="63" t="n"/>
      <c r="K569" s="22" t="inlineStr">
        <is>
          <t>https://www.icsi.edu</t>
        </is>
      </c>
      <c r="L569" s="64" t="n"/>
      <c r="M569" s="63" t="n"/>
      <c r="N569" s="22" t="inlineStr">
        <is>
          <t>Primary</t>
        </is>
      </c>
    </row>
    <row r="570" ht="28" customHeight="1">
      <c r="A570" s="67" t="inlineStr">
        <is>
          <t>S25</t>
        </is>
      </c>
      <c r="B570" s="22" t="inlineStr">
        <is>
          <t>AICPA &amp; XBRL US — XBRL US GAAP Certificate</t>
        </is>
      </c>
      <c r="C570" s="64" t="n"/>
      <c r="D570" s="63" t="n"/>
      <c r="E570" s="22" t="inlineStr">
        <is>
          <t>Professional credential</t>
        </is>
      </c>
      <c r="F570" s="63" t="n"/>
      <c r="G570" s="22" t="inlineStr">
        <is>
          <t>XBRL &amp; taxonomy competency and credential</t>
        </is>
      </c>
      <c r="H570" s="64" t="n"/>
      <c r="I570" s="64" t="n"/>
      <c r="J570" s="63" t="n"/>
      <c r="K570" s="22" t="inlineStr">
        <is>
          <t>https://xbrl.us</t>
        </is>
      </c>
      <c r="L570" s="64" t="n"/>
      <c r="M570" s="63" t="n"/>
      <c r="N570" s="22" t="inlineStr">
        <is>
          <t>Primary</t>
        </is>
      </c>
    </row>
    <row r="571" ht="28" customHeight="1">
      <c r="A571" s="67" t="inlineStr">
        <is>
          <t>S26</t>
        </is>
      </c>
      <c r="B571" s="22" t="inlineStr">
        <is>
          <t>ILO ISCO-08 · India's NCO-2015 follows the same structure</t>
        </is>
      </c>
      <c r="C571" s="64" t="n"/>
      <c r="D571" s="63" t="n"/>
      <c r="E571" s="22" t="inlineStr">
        <is>
          <t>Occupation classification</t>
        </is>
      </c>
      <c r="F571" s="63" t="n"/>
      <c r="G571" s="22" t="inlineStr">
        <is>
          <t>Each job family is anchored to an ISCO-08 unit group so families are standard, not invented</t>
        </is>
      </c>
      <c r="H571" s="64" t="n"/>
      <c r="I571" s="64" t="n"/>
      <c r="J571" s="63" t="n"/>
      <c r="K571" s="22" t="inlineStr">
        <is>
          <t>https://worldoftaxonomy.com/system/isco_08/node/251</t>
        </is>
      </c>
      <c r="L571" s="64" t="n"/>
      <c r="M571" s="63" t="n"/>
      <c r="N571" s="22" t="inlineStr">
        <is>
          <t>Primary</t>
        </is>
      </c>
    </row>
    <row r="572" ht="67" customHeight="1">
      <c r="A572" s="67" t="inlineStr">
        <is>
          <t>S27</t>
        </is>
      </c>
      <c r="B572" s="22" t="inlineStr">
        <is>
          <t>Deloitte — The skills-based organization: a new operating model for work and the workforce</t>
        </is>
      </c>
      <c r="C572" s="64" t="n"/>
      <c r="D572" s="63" t="n"/>
      <c r="E572" s="22" t="inlineStr">
        <is>
          <t>Workforce research</t>
        </is>
      </c>
      <c r="F572" s="63" t="n"/>
      <c r="G572" s="22" t="inlineStr">
        <is>
          <t>71% of workers already perform some work outside the scope of their job descriptions · The skills-based organization, Deloitte Insights, 7 Sep 2022 → sub-families describe actual work; skills tracked per person</t>
        </is>
      </c>
      <c r="H572" s="64" t="n"/>
      <c r="I572" s="64" t="n"/>
      <c r="J572" s="63" t="n"/>
      <c r="K572" s="22" t="inlineStr">
        <is>
          <t>https://www.deloitte.com/us/en/insights/topics/talent/organizational-skill-based-hiring.html</t>
        </is>
      </c>
      <c r="L572" s="64" t="n"/>
      <c r="M572" s="63" t="n"/>
      <c r="N572" s="22" t="inlineStr">
        <is>
          <t>Primary</t>
        </is>
      </c>
    </row>
    <row r="573" ht="54" customHeight="1">
      <c r="A573" s="66" t="inlineStr">
        <is>
          <t>S30</t>
        </is>
      </c>
      <c r="B573" s="19" t="inlineStr">
        <is>
          <t>Workiva — engineering levels · Levels.fyi</t>
        </is>
      </c>
      <c r="C573" s="64" t="n"/>
      <c r="D573" s="63" t="n"/>
      <c r="E573" s="19" t="inlineStr">
        <is>
          <t>Product peer · XBRL / regtech SaaS</t>
        </is>
      </c>
      <c r="F573" s="63" t="n"/>
      <c r="G573" s="19" t="inlineStr">
        <is>
          <t>Associate SE → SE → Senior SE → Staff SE → Senior Staff SE · Levels.fyi pages could not be loaded; level names confirmed from Levels.fyi page titles and Workiva postings</t>
        </is>
      </c>
      <c r="H573" s="64" t="n"/>
      <c r="I573" s="64" t="n"/>
      <c r="J573" s="63" t="n"/>
      <c r="K573" s="19" t="inlineStr">
        <is>
          <t>https://www.levels.fyi/companies/workiva/salaries/software-engineer</t>
        </is>
      </c>
      <c r="L573" s="64" t="n"/>
      <c r="M573" s="63" t="n"/>
      <c r="N573" s="19" t="inlineStr">
        <is>
          <t>Secondary</t>
        </is>
      </c>
    </row>
    <row r="574" ht="28" customHeight="1">
      <c r="A574" s="66" t="inlineStr">
        <is>
          <t>S31</t>
        </is>
      </c>
      <c r="B574" s="19" t="inlineStr">
        <is>
          <t>DataTracks — careers site</t>
        </is>
      </c>
      <c r="C574" s="64" t="n"/>
      <c r="D574" s="63" t="n"/>
      <c r="E574" s="19" t="inlineStr">
        <is>
          <t>Services peer · XBRL / iXBRL filing, India</t>
        </is>
      </c>
      <c r="F574" s="63" t="n"/>
      <c r="G574" s="19" t="inlineStr">
        <is>
          <r>
            <rPr>
              <rFont val="Calibri"/>
              <b val="1"/>
              <sz val="10"/>
            </rPr>
            <t>Two published rungs:</t>
          </r>
          <r>
            <rPr>
              <rFont val="Calibri"/>
              <sz val="10"/>
            </rPr>
            <t xml:space="preserve"> Associate · freshers → Senior Associate · 2–5 yrs; nothing above is published</t>
          </r>
        </is>
      </c>
      <c r="H574" s="64" t="n"/>
      <c r="I574" s="64" t="n"/>
      <c r="J574" s="63" t="n"/>
      <c r="K574" s="19" t="inlineStr">
        <is>
          <t>https://www.datatracks.com/in/careers/</t>
        </is>
      </c>
      <c r="L574" s="64" t="n"/>
      <c r="M574" s="63" t="n"/>
      <c r="N574" s="19" t="inlineStr">
        <is>
          <t>Job postings</t>
        </is>
      </c>
    </row>
    <row r="575" ht="67" customHeight="1">
      <c r="A575" s="66" t="inlineStr">
        <is>
          <t>S32</t>
        </is>
      </c>
      <c r="B575" s="19" t="inlineStr">
        <is>
          <t>Google / Microsoft / Amazon engineering levels</t>
        </is>
      </c>
      <c r="C575" s="64" t="n"/>
      <c r="D575" s="63" t="n"/>
      <c r="E575" s="19" t="inlineStr">
        <is>
          <t>Global product companies</t>
        </is>
      </c>
      <c r="F575" s="63" t="n"/>
      <c r="G575" s="19" t="inlineStr">
        <is>
          <r>
            <rPr>
              <rFont val="Calibri"/>
              <b val="1"/>
              <sz val="10"/>
            </rPr>
            <t>Core bands used:</t>
          </r>
          <r>
            <rPr>
              <rFont val="Calibri"/>
              <sz val="10"/>
            </rPr>
            <t xml:space="preserve"> Google L3–L8 · Microsoft 59–68 · Amazon L4–L8 · full ladders run Google L2–L11, Microsoft 57–80+, Amazon L4–L10; equivalences and typical experience</t>
          </r>
        </is>
      </c>
      <c r="H575" s="64" t="n"/>
      <c r="I575" s="64" t="n"/>
      <c r="J575" s="63" t="n"/>
      <c r="K575" s="19" t="inlineStr">
        <is>
          <t>https://testrigor.com/blog/engineering-levels-in-different-companies-compared/ ; https://rajendrauppal.substack.com/p/understanding-levels-at-google-microsoft</t>
        </is>
      </c>
      <c r="L575" s="64" t="n"/>
      <c r="M575" s="63" t="n"/>
      <c r="N575" s="19" t="inlineStr">
        <is>
          <t>Secondary</t>
        </is>
      </c>
    </row>
    <row r="576" ht="54" customHeight="1">
      <c r="A576" s="77" t="inlineStr">
        <is>
          <t>S33</t>
        </is>
      </c>
      <c r="B576" s="78" t="inlineStr">
        <is>
          <t>Infosys job levels</t>
        </is>
      </c>
      <c r="C576" s="64" t="n"/>
      <c r="D576" s="63" t="n"/>
      <c r="E576" s="78" t="inlineStr">
        <is>
          <t>Indian IT services</t>
        </is>
      </c>
      <c r="F576" s="63" t="n"/>
      <c r="G576" s="78" t="inlineStr">
        <is>
          <t>JL3B Systems Engineer · 0–3 yrs → JL3A Senior SE → JL4 Technology Analyst → JL5 Technology Lead → JL6B Architect / PM → JL6A Senior Architect</t>
        </is>
      </c>
      <c r="H576" s="64" t="n"/>
      <c r="I576" s="64" t="n"/>
      <c r="J576" s="63" t="n"/>
      <c r="K576" s="78" t="inlineStr">
        <is>
          <t>https://www.designgurus.io/blog/infosys-job-levels</t>
        </is>
      </c>
      <c r="L576" s="64" t="n"/>
      <c r="M576" s="63" t="n"/>
      <c r="N576" s="78" t="inlineStr">
        <is>
          <t>Indicative</t>
        </is>
      </c>
    </row>
    <row r="577" ht="54" customHeight="1">
      <c r="A577" s="77" t="inlineStr">
        <is>
          <t>S34</t>
        </is>
      </c>
      <c r="B577" s="78" t="inlineStr">
        <is>
          <t>TCS grades</t>
        </is>
      </c>
      <c r="C577" s="64" t="n"/>
      <c r="D577" s="63" t="n"/>
      <c r="E577" s="78" t="inlineStr">
        <is>
          <t>Indian IT services</t>
        </is>
      </c>
      <c r="F577" s="63" t="n"/>
      <c r="G577" s="78" t="inlineStr">
        <is>
          <t>C1Y ASE Trainee → C1 ASE / System Engineer → C2 IT Analyst → C3A Assistant Consultant → C3B Associate Consultant → C4 Consultant → C5 Senior Consultant → SP1 Principal Consultant</t>
        </is>
      </c>
      <c r="H577" s="64" t="n"/>
      <c r="I577" s="64" t="n"/>
      <c r="J577" s="63" t="n"/>
      <c r="K577" s="78" t="inlineStr">
        <is>
          <t>https://www.designgurus.io/blog/tcs-job-levels</t>
        </is>
      </c>
      <c r="L577" s="64" t="n"/>
      <c r="M577" s="63" t="n"/>
      <c r="N577" s="78" t="inlineStr">
        <is>
          <t>Indicative</t>
        </is>
      </c>
    </row>
    <row r="578" ht="54" customHeight="1">
      <c r="A578" s="77" t="inlineStr">
        <is>
          <t>S35</t>
        </is>
      </c>
      <c r="B578" s="78" t="inlineStr">
        <is>
          <t>Accenture India career levels</t>
        </is>
      </c>
      <c r="C578" s="64" t="n"/>
      <c r="D578" s="63" t="n"/>
      <c r="E578" s="78" t="inlineStr">
        <is>
          <t>Global IT services</t>
        </is>
      </c>
      <c r="F578" s="63" t="n"/>
      <c r="G578" s="78" t="inlineStr">
        <is>
          <t>L12 Associate · 0–1 yrs → L11 Analyst → L10 Senior Analyst → L9 Team Lead / Consultant → L8 Associate Manager → L7 Manager → L6 Senior Manager → L5+ leadership</t>
        </is>
      </c>
      <c r="H578" s="64" t="n"/>
      <c r="I578" s="64" t="n"/>
      <c r="J578" s="63" t="n"/>
      <c r="K578" s="78" t="inlineStr">
        <is>
          <t>https://jobrise.io/hi/blog/accenture-salary-package-2026-india/</t>
        </is>
      </c>
      <c r="L578" s="64" t="n"/>
      <c r="M578" s="63" t="n"/>
      <c r="N578" s="78" t="inlineStr">
        <is>
          <t>Indicative</t>
        </is>
      </c>
    </row>
    <row r="579" ht="41" customHeight="1">
      <c r="A579" s="77" t="inlineStr">
        <is>
          <t>S36</t>
        </is>
      </c>
      <c r="B579" s="78" t="inlineStr">
        <is>
          <t>Deloitte India / USI hierarchy</t>
        </is>
      </c>
      <c r="C579" s="64" t="n"/>
      <c r="D579" s="63" t="n"/>
      <c r="E579" s="78" t="inlineStr">
        <is>
          <t>Big Four consulting</t>
        </is>
      </c>
      <c r="F579" s="63" t="n"/>
      <c r="G579" s="78" t="inlineStr">
        <is>
          <t>Associate Analyst → Analyst → Consultant → Senior Consultant → Manager → Senior Manager → Managing Director → Partner / Principal</t>
        </is>
      </c>
      <c r="H579" s="64" t="n"/>
      <c r="I579" s="64" t="n"/>
      <c r="J579" s="63" t="n"/>
      <c r="K579" s="78" t="inlineStr">
        <is>
          <t>https://networkinterview.com/technical-hierarchy-deloitte-india/</t>
        </is>
      </c>
      <c r="L579" s="64" t="n"/>
      <c r="M579" s="63" t="n"/>
      <c r="N579" s="78" t="inlineStr">
        <is>
          <t>Indicative</t>
        </is>
      </c>
    </row>
    <row r="580" ht="41" customHeight="1">
      <c r="A580" s="67" t="inlineStr">
        <is>
          <t>S37</t>
        </is>
      </c>
      <c r="B580" s="22" t="inlineStr">
        <is>
          <t>GitLab — job frameworks and layers</t>
        </is>
      </c>
      <c r="C580" s="64" t="n"/>
      <c r="D580" s="63" t="n"/>
      <c r="E580" s="22" t="inlineStr">
        <is>
          <t>Product company · public handbook</t>
        </is>
      </c>
      <c r="F580" s="63" t="n"/>
      <c r="G580" s="22" t="inlineStr">
        <is>
          <t>Two job frameworks · IC, people manager; ≤ 8 layers; Staff ↔ Manager, Principal ↔ Senior Manager, Distinguished ↔ Director, Fellow ↔ VP</t>
        </is>
      </c>
      <c r="H580" s="64" t="n"/>
      <c r="I580" s="64" t="n"/>
      <c r="J580" s="63" t="n"/>
      <c r="K580" s="22" t="inlineStr">
        <is>
          <t>https://handbook.gitlab.com/handbook/company/structure/</t>
        </is>
      </c>
      <c r="L580" s="64" t="n"/>
      <c r="M580" s="63" t="n"/>
      <c r="N580" s="22" t="inlineStr">
        <is>
          <t>Primary</t>
        </is>
      </c>
    </row>
    <row r="581" ht="41" customHeight="1">
      <c r="A581" s="66" t="inlineStr">
        <is>
          <t>S38</t>
        </is>
      </c>
      <c r="B581" s="19" t="inlineStr">
        <is>
          <t>Infosys, McKinsey, Unilever / HUL, Google — hiring practices</t>
        </is>
      </c>
      <c r="C581" s="64" t="n"/>
      <c r="D581" s="63" t="n"/>
      <c r="E581" s="19" t="inlineStr">
        <is>
          <t>Practice benchmarks</t>
        </is>
      </c>
      <c r="F581" s="63" t="n"/>
      <c r="G581" s="19" t="inlineStr">
        <is>
          <t>Tiered campus entry; entry level by qualification; management-trainee programme; independent levelling panel</t>
        </is>
      </c>
      <c r="H581" s="64" t="n"/>
      <c r="I581" s="64" t="n"/>
      <c r="J581" s="63" t="n"/>
      <c r="K581" s="19" t="inlineStr">
        <is>
          <t>Public careers / recruiting pages</t>
        </is>
      </c>
      <c r="L581" s="64" t="n"/>
      <c r="M581" s="63" t="n"/>
      <c r="N581" s="19" t="inlineStr">
        <is>
          <t>Secondary</t>
        </is>
      </c>
    </row>
    <row r="582" ht="54" customHeight="1">
      <c r="A582" s="67" t="inlineStr">
        <is>
          <t>S44</t>
        </is>
      </c>
      <c r="B582" s="22" t="inlineStr">
        <is>
          <t>Software Engineering at Google — ch. 5 'How to Lead a Team' · Tech Lead Manager</t>
        </is>
      </c>
      <c r="C582" s="64" t="n"/>
      <c r="D582" s="63" t="n"/>
      <c r="E582" s="22" t="inlineStr">
        <is>
          <t>Practice benchmark</t>
        </is>
      </c>
      <c r="F582" s="63" t="n"/>
      <c r="G582" s="22" t="inlineStr">
        <is>
          <t>The Tech Lead Manager · TLM — a hybrid who leads a team and still contributes technically → B+ Player-Coach</t>
        </is>
      </c>
      <c r="H582" s="64" t="n"/>
      <c r="I582" s="64" t="n"/>
      <c r="J582" s="63" t="n"/>
      <c r="K582" s="22" t="inlineStr">
        <is>
          <t>https://abseil.io/resources/swe-book/html/ch05.html ; https://newsletter.pragmaticengineer.com/p/leading-effective-engineering-teams</t>
        </is>
      </c>
      <c r="L582" s="64" t="n"/>
      <c r="M582" s="63" t="n"/>
      <c r="N582" s="22" t="inlineStr">
        <is>
          <t>Primary</t>
        </is>
      </c>
    </row>
    <row r="583" ht="80" customHeight="1">
      <c r="A583" s="66" t="inlineStr">
        <is>
          <t>S45</t>
        </is>
      </c>
      <c r="B583" s="19" t="inlineStr">
        <is>
          <t>SaaS player-coach sales and revenue leaders · job postings</t>
        </is>
      </c>
      <c r="C583" s="64" t="n"/>
      <c r="D583" s="63" t="n"/>
      <c r="E583" s="19" t="inlineStr">
        <is>
          <t>Practice benchmark</t>
        </is>
      </c>
      <c r="F583" s="63" t="n"/>
      <c r="G583" s="19" t="inlineStr">
        <is>
          <t>Leaders who carry their own quota or book while building and coaching the team → C+ / B+ Player-Coach in commercial roles</t>
        </is>
      </c>
      <c r="H583" s="64" t="n"/>
      <c r="I583" s="64" t="n"/>
      <c r="J583" s="63" t="n"/>
      <c r="K583" s="19" t="inlineStr">
        <is>
          <t>https://www.itjobswatch.co.uk/jv/Space-Executive/Sales-Lead-Player-Coach-HR-Tech-Job-City-of-London-Greater-London-UK-4vommq ; https://salesgravy.com/the-player-coach-problem-how-to-prospect-and-lead-at-the-same-time-ask-jeb/</t>
        </is>
      </c>
      <c r="L583" s="64" t="n"/>
      <c r="M583" s="63" t="n"/>
      <c r="N583" s="19" t="inlineStr">
        <is>
          <t>Job postings</t>
        </is>
      </c>
    </row>
    <row r="584" ht="67" customHeight="1">
      <c r="A584" s="67" t="inlineStr">
        <is>
          <t>S46</t>
        </is>
      </c>
      <c r="B584" s="22" t="inlineStr">
        <is>
          <t>Canada Treasury Board — Executive Group Position Evaluation Plan, 2005</t>
        </is>
      </c>
      <c r="C584" s="64" t="n"/>
      <c r="D584" s="63" t="n"/>
      <c r="E584" s="22" t="inlineStr">
        <is>
          <t>Job-evaluation plan · Hay-based</t>
        </is>
      </c>
      <c r="F584" s="63" t="n"/>
      <c r="G584" s="22" t="inlineStr">
        <is>
          <t>Verified Hay point evaluations of real manager and executive jobs; the know-how / problem solving / accountability split by level used in the weight derivation</t>
        </is>
      </c>
      <c r="H584" s="64" t="n"/>
      <c r="I584" s="64" t="n"/>
      <c r="J584" s="63" t="n"/>
      <c r="K584" s="22" t="inlineStr">
        <is>
          <t>https://www.canada.ca/en/treasury-board-secretariat/services/collective-agreements/job-evaluation/executive-group-position-evaluation-plan-september-2005.html</t>
        </is>
      </c>
      <c r="L584" s="64" t="n"/>
      <c r="M584" s="63" t="n"/>
      <c r="N584" s="22" t="inlineStr">
        <is>
          <t>Primary</t>
        </is>
      </c>
    </row>
    <row r="585" ht="106" customHeight="1">
      <c r="A585" s="67" t="inlineStr">
        <is>
          <t>S47</t>
        </is>
      </c>
      <c r="B585" s="22" t="inlineStr">
        <is>
          <t>Canada Treasury Board — Executive Group Position Evaluation Plan, 2022</t>
        </is>
      </c>
      <c r="C585" s="64" t="n"/>
      <c r="D585" s="63" t="n"/>
      <c r="E585" s="22" t="inlineStr">
        <is>
          <t>Job-evaluation plan · Hay-based</t>
        </is>
      </c>
      <c r="F585" s="63" t="n"/>
      <c r="G585" s="22" t="inlineStr">
        <is>
          <t>Current version of the same plan with benchmark evaluations; confirms accountability's share rises with seniority</t>
        </is>
      </c>
      <c r="H585" s="64" t="n"/>
      <c r="I585" s="64" t="n"/>
      <c r="J585" s="63" t="n"/>
      <c r="K585" s="22" t="inlineStr">
        <is>
          <t>https://www.canada.ca/en/treasury-board-secretariat/services/collective-agreements/job-evaluation/executive-group-position-evaluation-plan-2022.html ; https://www.canada.ca/content/dam/tbs-sct/documents/public-service-staffing/organization-evaluation-work/job-evaluation-ex/20221018-p48_eng.pdf</t>
        </is>
      </c>
      <c r="L585" s="64" t="n"/>
      <c r="M585" s="63" t="n"/>
      <c r="N585" s="22" t="inlineStr">
        <is>
          <t>Primary</t>
        </is>
      </c>
    </row>
    <row r="586" ht="41" customHeight="1">
      <c r="A586" s="66" t="inlineStr">
        <is>
          <t>S48</t>
        </is>
      </c>
      <c r="B586" s="19" t="inlineStr">
        <is>
          <t>Hay Group — summary deck of the Guide Chart-Profile method</t>
        </is>
      </c>
      <c r="C586" s="64" t="n"/>
      <c r="D586" s="63" t="n"/>
      <c r="E586" s="19" t="inlineStr">
        <is>
          <t>Method summary</t>
        </is>
      </c>
      <c r="F586" s="63" t="n"/>
      <c r="G586" s="19" t="inlineStr">
        <is>
          <t>Typical Hay profiles for clerical, specialist and supervisory jobs; the shares used for the junior and professional rows</t>
        </is>
      </c>
      <c r="H586" s="64" t="n"/>
      <c r="I586" s="64" t="n"/>
      <c r="J586" s="63" t="n"/>
      <c r="K586" s="19" t="inlineStr">
        <is>
          <t>https://www.slideshare.net/slideshow/hay-summary/55196354</t>
        </is>
      </c>
      <c r="L586" s="64" t="n"/>
      <c r="M586" s="63" t="n"/>
      <c r="N586" s="19" t="inlineStr">
        <is>
          <t>Secondary</t>
        </is>
      </c>
    </row>
    <row r="587" ht="41" customHeight="1">
      <c r="A587" s="67" t="inlineStr">
        <is>
          <t>S49</t>
        </is>
      </c>
      <c r="B587" s="22" t="inlineStr">
        <is>
          <t>Lincolnshire County Council — Hay Group job evaluation method</t>
        </is>
      </c>
      <c r="C587" s="64" t="n"/>
      <c r="D587" s="63" t="n"/>
      <c r="E587" s="22" t="inlineStr">
        <is>
          <t>Public-sector Hay guide</t>
        </is>
      </c>
      <c r="F587" s="63" t="n"/>
      <c r="G587" s="22" t="inlineStr">
        <is>
          <t>Defines know-how as all knowledge and skill however acquired — the basis for not scoring experience on its own</t>
        </is>
      </c>
      <c r="H587" s="64" t="n"/>
      <c r="I587" s="64" t="n"/>
      <c r="J587" s="63" t="n"/>
      <c r="K587" s="22" t="inlineStr">
        <is>
          <t>https://professionals.lincolnshire.gov.uk/downloads/file/576/hay-group-je-method</t>
        </is>
      </c>
      <c r="L587" s="64" t="n"/>
      <c r="M587" s="63" t="n"/>
      <c r="N587" s="22" t="inlineStr">
        <is>
          <t>Primary</t>
        </is>
      </c>
    </row>
    <row r="588" ht="28" customHeight="1">
      <c r="A588" s="66" t="inlineStr">
        <is>
          <t>S50</t>
        </is>
      </c>
      <c r="B588" s="19" t="inlineStr">
        <is>
          <t>Western University — Hay method overview</t>
        </is>
      </c>
      <c r="C588" s="64" t="n"/>
      <c r="D588" s="63" t="n"/>
      <c r="E588" s="19" t="inlineStr">
        <is>
          <t>University Hay guide</t>
        </is>
      </c>
      <c r="F588" s="63" t="n"/>
      <c r="G588" s="19" t="inlineStr">
        <is>
          <t>Plain explanation of the three Hay factors and the short profile; cross-check of the Hay shares</t>
        </is>
      </c>
      <c r="H588" s="64" t="n"/>
      <c r="I588" s="64" t="n"/>
      <c r="J588" s="63" t="n"/>
      <c r="K588" s="19" t="inlineStr">
        <is>
          <t>https://www.uwo.ca/humanresources/wjec/docs/hay_method_overview.pdf</t>
        </is>
      </c>
      <c r="L588" s="64" t="n"/>
      <c r="M588" s="63" t="n"/>
      <c r="N588" s="19" t="inlineStr">
        <is>
          <t>Secondary</t>
        </is>
      </c>
    </row>
    <row r="589" ht="54" customHeight="1">
      <c r="A589" s="66" t="inlineStr">
        <is>
          <t>S51</t>
        </is>
      </c>
      <c r="B589" s="19" t="inlineStr">
        <is>
          <t>Derbyshire County Council — Korn Ferry Hay scheme</t>
        </is>
      </c>
      <c r="C589" s="64" t="n"/>
      <c r="D589" s="63" t="n"/>
      <c r="E589" s="19" t="inlineStr">
        <is>
          <t>Public-sector Hay guide</t>
        </is>
      </c>
      <c r="F589" s="63" t="n"/>
      <c r="G589" s="19" t="inlineStr">
        <is>
          <t>Confirms current Korn Ferry Hay use in UK public employers and the factor definitions</t>
        </is>
      </c>
      <c r="H589" s="64" t="n"/>
      <c r="I589" s="64" t="n"/>
      <c r="J589" s="63" t="n"/>
      <c r="K589" s="19" t="inlineStr">
        <is>
          <t>https://staff.derbyshire.gov.uk/jobs-and-recruitment/job-evaluation/korn-ferry-hay-scheme/korn-ferry-hay-scheme.aspx</t>
        </is>
      </c>
      <c r="L589" s="64" t="n"/>
      <c r="M589" s="63" t="n"/>
      <c r="N589" s="19" t="inlineStr">
        <is>
          <t>Secondary</t>
        </is>
      </c>
    </row>
    <row r="590" ht="54" customHeight="1">
      <c r="A590" s="66" t="inlineStr">
        <is>
          <t>S52</t>
        </is>
      </c>
      <c r="B590" s="19" t="inlineStr">
        <is>
          <t>Mercer IPE — position evaluation manual and factor sheet</t>
        </is>
      </c>
      <c r="C590" s="64" t="n"/>
      <c r="D590" s="63" t="n"/>
      <c r="E590" s="19" t="inlineStr">
        <is>
          <t>Job-evaluation method · third-party copies</t>
        </is>
      </c>
      <c r="F590" s="63" t="n"/>
      <c r="G590" s="19" t="inlineStr">
        <is>
          <t>Maximum points per factor and the factor definitions — Impact, Communication, Innovation, Knowledge — used for the IPE column of the derivation</t>
        </is>
      </c>
      <c r="H590" s="64" t="n"/>
      <c r="I590" s="64" t="n"/>
      <c r="J590" s="63" t="n"/>
      <c r="K590" s="19" t="inlineStr">
        <is>
          <t>https://www.karlancer.com/api/file/1685038954-V7Gx.pdf ; https://studylib.net/doc/25471018/197145561-evaluation-factors-mercer</t>
        </is>
      </c>
      <c r="L590" s="64" t="n"/>
      <c r="M590" s="63" t="n"/>
      <c r="N590" s="19" t="inlineStr">
        <is>
          <t>Secondary</t>
        </is>
      </c>
    </row>
    <row r="591" ht="41" customHeight="1">
      <c r="A591" s="67" t="inlineStr">
        <is>
          <t>S53</t>
        </is>
      </c>
      <c r="B591" s="22" t="inlineStr">
        <is>
          <t>NHS Agenda for Change — Job Evaluation Handbook</t>
        </is>
      </c>
      <c r="C591" s="64" t="n"/>
      <c r="D591" s="63" t="n"/>
      <c r="E591" s="22" t="inlineStr">
        <is>
          <t>Public point-factor plan</t>
        </is>
      </c>
      <c r="F591" s="63" t="n"/>
      <c r="G591" s="22" t="inlineStr">
        <is>
          <t>16 factors and 1,000 points with published weights; knowledge 24%, financial and physical resources 6%</t>
        </is>
      </c>
      <c r="H591" s="64" t="n"/>
      <c r="I591" s="64" t="n"/>
      <c r="J591" s="63" t="n"/>
      <c r="K591" s="22" t="inlineStr">
        <is>
          <t>https://www.nhsemployers.org/sites/default/files/pdf/22/165.pdf</t>
        </is>
      </c>
      <c r="L591" s="64" t="n"/>
      <c r="M591" s="63" t="n"/>
      <c r="N591" s="22" t="inlineStr">
        <is>
          <t>Primary</t>
        </is>
      </c>
    </row>
    <row r="592" ht="41" customHeight="1">
      <c r="A592" s="67" t="inlineStr">
        <is>
          <t>S54</t>
        </is>
      </c>
      <c r="B592" s="22" t="inlineStr">
        <is>
          <t>Police Staff Council — job evaluation handbook, NJC 13-factor scheme</t>
        </is>
      </c>
      <c r="C592" s="64" t="n"/>
      <c r="D592" s="63" t="n"/>
      <c r="E592" s="22" t="inlineStr">
        <is>
          <t>Public point-factor plan</t>
        </is>
      </c>
      <c r="F592" s="63" t="n"/>
      <c r="G592" s="22" t="inlineStr">
        <is>
          <t>Published factor points for the UK local-government scheme; used for the public-plan average</t>
        </is>
      </c>
      <c r="H592" s="64" t="n"/>
      <c r="I592" s="64" t="n"/>
      <c r="J592" s="63" t="n"/>
      <c r="K592" s="22" t="inlineStr">
        <is>
          <t>https://lb2.local.gov.uk/sites/default/files/documents/police-staff-council-13-f-342.pdf</t>
        </is>
      </c>
      <c r="L592" s="64" t="n"/>
      <c r="M592" s="63" t="n"/>
      <c r="N592" s="22" t="inlineStr">
        <is>
          <t>Primary</t>
        </is>
      </c>
    </row>
    <row r="593" ht="54" customHeight="1">
      <c r="A593" s="67" t="inlineStr">
        <is>
          <t>S55</t>
        </is>
      </c>
      <c r="B593" s="22" t="inlineStr">
        <is>
          <t>Greater London Provincial Council — points weighting, Denbighshire County Council</t>
        </is>
      </c>
      <c r="C593" s="64" t="n"/>
      <c r="D593" s="63" t="n"/>
      <c r="E593" s="22" t="inlineStr">
        <is>
          <t>Public point-factor plan</t>
        </is>
      </c>
      <c r="F593" s="63" t="n"/>
      <c r="G593" s="22" t="inlineStr">
        <is>
          <t>11 factors and 948 points with published weights</t>
        </is>
      </c>
      <c r="H593" s="64" t="n"/>
      <c r="I593" s="64" t="n"/>
      <c r="J593" s="63" t="n"/>
      <c r="K593" s="22" t="inlineStr">
        <is>
          <t>https://www.sirddinbych.gov.uk/en/documents/jobs-and-employees/my-employment/reorganisation-and-change/glpc-points-weighting.pdf</t>
        </is>
      </c>
      <c r="L593" s="64" t="n"/>
      <c r="M593" s="63" t="n"/>
      <c r="N593" s="22" t="inlineStr">
        <is>
          <t>Primary</t>
        </is>
      </c>
    </row>
    <row r="594" ht="28" customHeight="1">
      <c r="A594" s="67" t="inlineStr">
        <is>
          <t>S56</t>
        </is>
      </c>
      <c r="B594" s="22" t="inlineStr">
        <is>
          <t>Scottish Joint Council scheme — Highland Council scoring matrix</t>
        </is>
      </c>
      <c r="C594" s="64" t="n"/>
      <c r="D594" s="63" t="n"/>
      <c r="E594" s="22" t="inlineStr">
        <is>
          <t>Public point-factor plan</t>
        </is>
      </c>
      <c r="F594" s="63" t="n"/>
      <c r="G594" s="22" t="inlineStr">
        <is>
          <t>13 factors and 1,000 points with published weights</t>
        </is>
      </c>
      <c r="H594" s="64" t="n"/>
      <c r="I594" s="64" t="n"/>
      <c r="J594" s="63" t="n"/>
      <c r="K594" s="22" t="inlineStr">
        <is>
          <t>https://www.highland.gov.uk/download/downloads/id/3889/scoring_matrix.pdf</t>
        </is>
      </c>
      <c r="L594" s="64" t="n"/>
      <c r="M594" s="63" t="n"/>
      <c r="N594" s="22" t="inlineStr">
        <is>
          <t>Primary</t>
        </is>
      </c>
    </row>
    <row r="595" ht="54" customHeight="1">
      <c r="A595" s="67" t="inlineStr">
        <is>
          <t>S57</t>
        </is>
      </c>
      <c r="B595" s="22" t="inlineStr">
        <is>
          <t>US OPM — Introduction to the Position Classification Standards, Factor Evaluation System</t>
        </is>
      </c>
      <c r="C595" s="64" t="n"/>
      <c r="D595" s="63" t="n"/>
      <c r="E595" s="22" t="inlineStr">
        <is>
          <t>Public point-factor plan</t>
        </is>
      </c>
      <c r="F595" s="63" t="n"/>
      <c r="G595" s="22" t="inlineStr">
        <is>
          <t>9 factors and 4,480 points; the most knowledge-heavy plan, with no separate financial factor</t>
        </is>
      </c>
      <c r="H595" s="64" t="n"/>
      <c r="I595" s="64" t="n"/>
      <c r="J595" s="63" t="n"/>
      <c r="K595" s="22" t="inlineStr">
        <is>
          <t>https://www.opm.gov/policy-data-oversight/classification-qualifications/classifying-general-schedule-positions/positionclassificationintro.pdf</t>
        </is>
      </c>
      <c r="L595" s="64" t="n"/>
      <c r="M595" s="63" t="n"/>
      <c r="N595" s="22" t="inlineStr">
        <is>
          <t>Primary</t>
        </is>
      </c>
    </row>
    <row r="596" ht="106" customHeight="1">
      <c r="A596" s="67" t="inlineStr">
        <is>
          <t>S58</t>
        </is>
      </c>
      <c r="B596" s="22" t="inlineStr">
        <is>
          <t>McKinsey — Taking a skills-based approach to building the future workforce, 2022</t>
        </is>
      </c>
      <c r="C596" s="64" t="n"/>
      <c r="D596" s="63" t="n"/>
      <c r="E596" s="22" t="inlineStr">
        <is>
          <t>Research report</t>
        </is>
      </c>
      <c r="F596" s="63" t="n"/>
      <c r="G596" s="22" t="inlineStr">
        <is>
          <t>Hiring for skills is more than twice as predictive as hiring for work experience — support for a low Experience weight</t>
        </is>
      </c>
      <c r="H596" s="64" t="n"/>
      <c r="I596" s="64" t="n"/>
      <c r="J596" s="63" t="n"/>
      <c r="K596" s="22" t="inlineStr">
        <is>
          <t>https://www.mckinsey.com/~/media/mckinsey/business%20functions/people%20and%20organizational%20performance/our%20insights/taking%20a%20skills%20based%20approach%20to%20building%20the%20future%20workforce/taking-a-skills-based-approach-to-building-the-future-workforce-vf.pdf</t>
        </is>
      </c>
      <c r="L596" s="64" t="n"/>
      <c r="M596" s="63" t="n"/>
      <c r="N596" s="22" t="inlineStr">
        <is>
          <t>Primary</t>
        </is>
      </c>
    </row>
    <row r="597" ht="54" customHeight="1">
      <c r="A597" s="67" t="inlineStr">
        <is>
          <t>S59</t>
        </is>
      </c>
      <c r="B597" s="22" t="inlineStr">
        <is>
          <t>Deloitte — Human Capital Trends 2023, skills-based model</t>
        </is>
      </c>
      <c r="C597" s="64" t="n"/>
      <c r="D597" s="63" t="n"/>
      <c r="E597" s="22" t="inlineStr">
        <is>
          <t>Research report</t>
        </is>
      </c>
      <c r="F597" s="63" t="n"/>
      <c r="G597" s="22" t="inlineStr">
        <is>
          <t>Organisations moving to deploy and promote on skills rather than tenure or job history</t>
        </is>
      </c>
      <c r="H597" s="64" t="n"/>
      <c r="I597" s="64" t="n"/>
      <c r="J597" s="63" t="n"/>
      <c r="K597" s="22" t="inlineStr">
        <is>
          <t>https://www.deloitte.com/us/en/insights/topics/talent/human-capital-trends/2023/skills-based-model-end-of-jobs.html</t>
        </is>
      </c>
      <c r="L597" s="64" t="n"/>
      <c r="M597" s="63" t="n"/>
      <c r="N597" s="22" t="inlineStr">
        <is>
          <t>Primary</t>
        </is>
      </c>
    </row>
    <row r="598" ht="41" customHeight="1">
      <c r="A598" s="66" t="inlineStr">
        <is>
          <t>S60</t>
        </is>
      </c>
      <c r="B598" s="19" t="inlineStr">
        <is>
          <t>World Economic Forum — Skills-first: 6 success factors, 2024</t>
        </is>
      </c>
      <c r="C598" s="64" t="n"/>
      <c r="D598" s="63" t="n"/>
      <c r="E598" s="19" t="inlineStr">
        <is>
          <t>Research article</t>
        </is>
      </c>
      <c r="F598" s="63" t="n"/>
      <c r="G598" s="19" t="inlineStr">
        <is>
          <t>Rethink education and previous experience as proxies for ability</t>
        </is>
      </c>
      <c r="H598" s="64" t="n"/>
      <c r="I598" s="64" t="n"/>
      <c r="J598" s="63" t="n"/>
      <c r="K598" s="19" t="inlineStr">
        <is>
          <t>https://www.weforum.org/stories/2024/01/skills-first-6-success-factors-recruiting-developing-talent/</t>
        </is>
      </c>
      <c r="L598" s="64" t="n"/>
      <c r="M598" s="63" t="n"/>
      <c r="N598" s="19" t="inlineStr">
        <is>
          <t>Secondary</t>
        </is>
      </c>
    </row>
    <row r="599" ht="54" customHeight="1">
      <c r="A599" s="66" t="inlineStr">
        <is>
          <t>S61</t>
        </is>
      </c>
      <c r="B599" s="19" t="inlineStr">
        <is>
          <t>EY Future of Pay via People Matters — India's 2026 salary increases to reward skills over seniority</t>
        </is>
      </c>
      <c r="C599" s="64" t="n"/>
      <c r="D599" s="63" t="n"/>
      <c r="E599" s="19" t="inlineStr">
        <is>
          <t>India market news</t>
        </is>
      </c>
      <c r="F599" s="63" t="n"/>
      <c r="G599" s="19" t="inlineStr">
        <is>
          <t>India pay moving away from tenure-based increases towards skills-led, performance-driven frameworks</t>
        </is>
      </c>
      <c r="H599" s="64" t="n"/>
      <c r="I599" s="64" t="n"/>
      <c r="J599" s="63" t="n"/>
      <c r="K599" s="19" t="inlineStr">
        <is>
          <t>https://www.peoplematters.in/news/compensation-benefits/indias-2026-salary-increases-to-reward-skills-over-seniority-ey-48541</t>
        </is>
      </c>
      <c r="L599" s="64" t="n"/>
      <c r="M599" s="63" t="n"/>
      <c r="N599" s="19" t="inlineStr">
        <is>
          <t>Secondary</t>
        </is>
      </c>
    </row>
    <row r="600" ht="54" customHeight="1">
      <c r="A600" s="66" t="inlineStr">
        <is>
          <t>S62</t>
        </is>
      </c>
      <c r="B600" s="19" t="inlineStr">
        <is>
          <t>WTW — Building resilient career ecosystems, India 2023</t>
        </is>
      </c>
      <c r="C600" s="64" t="n"/>
      <c r="D600" s="63" t="n"/>
      <c r="E600" s="19" t="inlineStr">
        <is>
          <t>Consulting insight · India</t>
        </is>
      </c>
      <c r="F600" s="63" t="n"/>
      <c r="G600" s="19" t="inlineStr">
        <is>
          <t>WTW's view of career architecture design in India; complements the WTW GGS factors in S07</t>
        </is>
      </c>
      <c r="H600" s="64" t="n"/>
      <c r="I600" s="64" t="n"/>
      <c r="J600" s="63" t="n"/>
      <c r="K600" s="19" t="inlineStr">
        <is>
          <t>https://www.wtwco.com/en-in/insights/2023/09/building-resilient-career-ecosystems-with-robust-career-strategy-and-design</t>
        </is>
      </c>
      <c r="L600" s="64" t="n"/>
      <c r="M600" s="63" t="n"/>
      <c r="N600" s="19" t="inlineStr">
        <is>
          <t>Secondary</t>
        </is>
      </c>
    </row>
    <row r="601" ht="41" customHeight="1">
      <c r="A601" s="67" t="inlineStr">
        <is>
          <t>S63</t>
        </is>
      </c>
      <c r="B601" s="22" t="inlineStr">
        <is>
          <t>iPleaders — Director under the Companies Act 2013</t>
        </is>
      </c>
      <c r="C601" s="64" t="n"/>
      <c r="D601" s="63" t="n"/>
      <c r="E601" s="22" t="inlineStr">
        <is>
          <t>Legal explainer · India</t>
        </is>
      </c>
      <c r="F601" s="63" t="n"/>
      <c r="G601" s="22" t="inlineStr">
        <is>
          <r>
            <rPr>
              <rFont val="Calibri"/>
              <b val="1"/>
              <sz val="10"/>
            </rPr>
            <t>Section 2, clause 34:</t>
          </r>
          <r>
            <rPr>
              <rFont val="Calibri"/>
              <sz val="10"/>
            </rPr>
            <t xml:space="preserve"> 'director' means a director appointed to the Board — the reason IRIS uses no 'Director' title</t>
          </r>
        </is>
      </c>
      <c r="H601" s="64" t="n"/>
      <c r="I601" s="64" t="n"/>
      <c r="J601" s="63" t="n"/>
      <c r="K601" s="22" t="inlineStr">
        <is>
          <t>https://blog.ipleaders.in/director-companies-act-2013/</t>
        </is>
      </c>
      <c r="L601" s="64" t="n"/>
      <c r="M601" s="63" t="n"/>
      <c r="N601" s="22" t="inlineStr">
        <is>
          <t>Primary</t>
        </is>
      </c>
    </row>
    <row r="602" ht="41" customHeight="1">
      <c r="A602" s="66" t="inlineStr">
        <is>
          <t>S64</t>
        </is>
      </c>
      <c r="B602" s="19" t="inlineStr">
        <is>
          <t>Kaanoon — 'Director' as an HR designation but not under the Companies Act</t>
        </is>
      </c>
      <c r="C602" s="64" t="n"/>
      <c r="D602" s="63" t="n"/>
      <c r="E602" s="19" t="inlineStr">
        <is>
          <t>Legal Q&amp;A · India</t>
        </is>
      </c>
      <c r="F602" s="63" t="n"/>
      <c r="G602" s="19" t="inlineStr">
        <is>
          <t>Practitioner view that a 'Director' designation for non-board staff causes confusion and disclosure risk</t>
        </is>
      </c>
      <c r="H602" s="64" t="n"/>
      <c r="I602" s="64" t="n"/>
      <c r="J602" s="63" t="n"/>
      <c r="K602" s="19" t="inlineStr">
        <is>
          <t>https://www.kaanoon.com/241487/designation-with-word-director-as-per-hr-policy-but-not-as-per-companies-act</t>
        </is>
      </c>
      <c r="L602" s="64" t="n"/>
      <c r="M602" s="63" t="n"/>
      <c r="N602" s="19" t="inlineStr">
        <is>
          <t>Secondary</t>
        </is>
      </c>
    </row>
    <row r="603" ht="28" customHeight="1">
      <c r="A603" s="67" t="inlineStr">
        <is>
          <t>S65</t>
        </is>
      </c>
      <c r="B603" s="22" t="inlineStr">
        <is>
          <t>Wipro — Distinguished Member of Technical Staff</t>
        </is>
      </c>
      <c r="C603" s="64" t="n"/>
      <c r="D603" s="63" t="n"/>
      <c r="E603" s="22" t="inlineStr">
        <is>
          <t>Indian IT company programme</t>
        </is>
      </c>
      <c r="F603" s="63" t="n"/>
      <c r="G603" s="22" t="inlineStr">
        <is>
          <t>Indian example of the 'Distinguished' top-specialist title — Option B for the D1 title</t>
        </is>
      </c>
      <c r="H603" s="64" t="n"/>
      <c r="I603" s="64" t="n"/>
      <c r="J603" s="63" t="n"/>
      <c r="K603" s="22" t="inlineStr">
        <is>
          <t>https://www.wipro.com/innovation/distinguished-member-of-technical-staff/</t>
        </is>
      </c>
      <c r="L603" s="64" t="n"/>
      <c r="M603" s="63" t="n"/>
      <c r="N603" s="22" t="inlineStr">
        <is>
          <t>Primary</t>
        </is>
      </c>
    </row>
    <row r="604" ht="28" customHeight="1">
      <c r="A604" s="66" t="inlineStr">
        <is>
          <t>S66</t>
        </is>
      </c>
      <c r="B604" s="19" t="inlineStr">
        <is>
          <t>Salesforce engineering levels — AMTS to Distinguished Engineer</t>
        </is>
      </c>
      <c r="C604" s="64" t="n"/>
      <c r="D604" s="63" t="n"/>
      <c r="E604" s="19" t="inlineStr">
        <is>
          <t>Company ladder · Design Gurus</t>
        </is>
      </c>
      <c r="F604" s="63" t="n"/>
      <c r="G604" s="19" t="inlineStr">
        <is>
          <t>Global SaaS example of the top-specialist title above Principal Architect</t>
        </is>
      </c>
      <c r="H604" s="64" t="n"/>
      <c r="I604" s="64" t="n"/>
      <c r="J604" s="63" t="n"/>
      <c r="K604" s="19" t="inlineStr">
        <is>
          <t>https://www.designgurus.io/blog/salesforce-software-engineer-levels</t>
        </is>
      </c>
      <c r="L604" s="64" t="n"/>
      <c r="M604" s="63" t="n"/>
      <c r="N604" s="19" t="inlineStr">
        <is>
          <t>Secondary</t>
        </is>
      </c>
    </row>
    <row r="605" ht="41" customHeight="1">
      <c r="A605" s="66" t="inlineStr">
        <is>
          <t>S67</t>
        </is>
      </c>
      <c r="B605" s="19" t="inlineStr">
        <is>
          <t>LeadDev — Who are staff, principal and distinguished engineers</t>
        </is>
      </c>
      <c r="C605" s="64" t="n"/>
      <c r="D605" s="63" t="n"/>
      <c r="E605" s="19" t="inlineStr">
        <is>
          <t>Practice article</t>
        </is>
      </c>
      <c r="F605" s="63" t="n"/>
      <c r="G605" s="19" t="inlineStr">
        <is>
          <t>How Principal, Distinguished and Fellow tiers are used and how rare they are</t>
        </is>
      </c>
      <c r="H605" s="64" t="n"/>
      <c r="I605" s="64" t="n"/>
      <c r="J605" s="63" t="n"/>
      <c r="K605" s="19" t="inlineStr">
        <is>
          <t>https://leaddev.com/career-ladders/who-are-staff-principal-and-distinguished-engineers</t>
        </is>
      </c>
      <c r="L605" s="64" t="n"/>
      <c r="M605" s="63" t="n"/>
      <c r="N605" s="19" t="inlineStr">
        <is>
          <t>Secondary</t>
        </is>
      </c>
    </row>
    <row r="606" ht="28" customHeight="1">
      <c r="A606" s="66" t="inlineStr">
        <is>
          <t>S68</t>
        </is>
      </c>
      <c r="B606" s="19" t="inlineStr">
        <is>
          <t>Dropbox — engineering career framework</t>
        </is>
      </c>
      <c r="C606" s="64" t="n"/>
      <c r="D606" s="63" t="n"/>
      <c r="E606" s="19" t="inlineStr">
        <is>
          <t>Company framework</t>
        </is>
      </c>
      <c r="F606" s="63" t="n"/>
      <c r="G606" s="19" t="inlineStr">
        <is>
          <t>Published IC ladder with top-specialist tiers and their scope</t>
        </is>
      </c>
      <c r="H606" s="64" t="n"/>
      <c r="I606" s="64" t="n"/>
      <c r="J606" s="63" t="n"/>
      <c r="K606" s="19" t="inlineStr">
        <is>
          <t>https://dropbox.tech/culture/our-updated-engineering-career-framework</t>
        </is>
      </c>
      <c r="L606" s="64" t="n"/>
      <c r="M606" s="63" t="n"/>
      <c r="N606" s="19" t="inlineStr">
        <is>
          <t>Secondary</t>
        </is>
      </c>
    </row>
    <row r="607" ht="41" customHeight="1">
      <c r="A607" s="66" t="inlineStr">
        <is>
          <t>S69</t>
        </is>
      </c>
      <c r="B607" s="19" t="inlineStr">
        <is>
          <t>Square — growth framework for engineers and engineering managers</t>
        </is>
      </c>
      <c r="C607" s="64" t="n"/>
      <c r="D607" s="63" t="n"/>
      <c r="E607" s="19" t="inlineStr">
        <is>
          <t>Company framework</t>
        </is>
      </c>
      <c r="F607" s="63" t="n"/>
      <c r="G607" s="19" t="inlineStr">
        <is>
          <t>Published IC and manager ladders side by side</t>
        </is>
      </c>
      <c r="H607" s="64" t="n"/>
      <c r="I607" s="64" t="n"/>
      <c r="J607" s="63" t="n"/>
      <c r="K607" s="19" t="inlineStr">
        <is>
          <t>https://developer.squareup.com/blog/squares-growth-framework-for-engineers-and-engineering-managers/</t>
        </is>
      </c>
      <c r="L607" s="64" t="n"/>
      <c r="M607" s="63" t="n"/>
      <c r="N607" s="19" t="inlineStr">
        <is>
          <t>Secondary</t>
        </is>
      </c>
    </row>
    <row r="608" ht="41" customHeight="1">
      <c r="A608" s="66" t="inlineStr">
        <is>
          <t>S70</t>
        </is>
      </c>
      <c r="B608" s="19" t="inlineStr">
        <is>
          <t>Carta and Pave — job levelling frameworks</t>
        </is>
      </c>
      <c r="C608" s="64" t="n"/>
      <c r="D608" s="63" t="n"/>
      <c r="E608" s="19" t="inlineStr">
        <is>
          <t>Compensation platforms</t>
        </is>
      </c>
      <c r="F608" s="63" t="n"/>
      <c r="G608" s="19" t="inlineStr">
        <is>
          <t>Market levelling guides used to check the level count and the IC ↔ manager pairing</t>
        </is>
      </c>
      <c r="H608" s="64" t="n"/>
      <c r="I608" s="64" t="n"/>
      <c r="J608" s="63" t="n"/>
      <c r="K608" s="19" t="inlineStr">
        <is>
          <t>https://carta.com/learn/startups/compensation/job-leveling/ ; https://pave.com/blog-posts/job-leveling-framework</t>
        </is>
      </c>
      <c r="L608" s="64" t="n"/>
      <c r="M608" s="63" t="n"/>
      <c r="N608" s="19" t="inlineStr">
        <is>
          <t>Secondary</t>
        </is>
      </c>
    </row>
    <row r="609" ht="28" customHeight="1">
      <c r="A609" s="66" t="inlineStr">
        <is>
          <t>S71</t>
        </is>
      </c>
      <c r="B609" s="19" t="inlineStr">
        <is>
          <t>Figures — Figures levels</t>
        </is>
      </c>
      <c r="C609" s="64" t="n"/>
      <c r="D609" s="63" t="n"/>
      <c r="E609" s="19" t="inlineStr">
        <is>
          <t>Compensation platform</t>
        </is>
      </c>
      <c r="F609" s="63" t="n"/>
      <c r="G609" s="19" t="inlineStr">
        <is>
          <t>Second levelling crosswalk alongside the Mercer levels in S03</t>
        </is>
      </c>
      <c r="H609" s="64" t="n"/>
      <c r="I609" s="64" t="n"/>
      <c r="J609" s="63" t="n"/>
      <c r="K609" s="19" t="inlineStr">
        <is>
          <t>https://help.figures.hr/en/articles/389317-figures-levels</t>
        </is>
      </c>
      <c r="L609" s="64" t="n"/>
      <c r="M609" s="63" t="n"/>
      <c r="N609" s="19" t="inlineStr">
        <is>
          <t>Secondary</t>
        </is>
      </c>
    </row>
    <row r="610" ht="41" customHeight="1">
      <c r="A610" s="77" t="inlineStr">
        <is>
          <t>S72</t>
        </is>
      </c>
      <c r="B610" s="78" t="inlineStr">
        <is>
          <t>PayScale India — Chief Architect, IT</t>
        </is>
      </c>
      <c r="C610" s="64" t="n"/>
      <c r="D610" s="63" t="n"/>
      <c r="E610" s="78" t="inlineStr">
        <is>
          <t>Salary data site · India</t>
        </is>
      </c>
      <c r="F610" s="63" t="n"/>
      <c r="G610" s="78" t="inlineStr">
        <is>
          <t>Shows Chief Architect, IT tracked as an experienced and late-career role in India — Option A for the D1 title</t>
        </is>
      </c>
      <c r="H610" s="64" t="n"/>
      <c r="I610" s="64" t="n"/>
      <c r="J610" s="63" t="n"/>
      <c r="K610" s="78" t="inlineStr">
        <is>
          <t>https://www.payscale.com/research/IN/Job=Chief_Architect%2C_IT/Skill-Experience</t>
        </is>
      </c>
      <c r="L610" s="64" t="n"/>
      <c r="M610" s="63" t="n"/>
      <c r="N610" s="78" t="inlineStr">
        <is>
          <t>Indicative</t>
        </is>
      </c>
    </row>
    <row r="611" ht="28" customHeight="1">
      <c r="A611" s="74" t="inlineStr">
        <is>
          <t>S40</t>
        </is>
      </c>
      <c r="B611" s="57" t="inlineStr">
        <is>
          <t>Employee Master_New_23092026 and Employee Master_OLD</t>
        </is>
      </c>
      <c r="C611" s="64" t="n"/>
      <c r="D611" s="63" t="n"/>
      <c r="E611" s="57" t="inlineStr">
        <is>
          <t>IRIS HRIS</t>
        </is>
      </c>
      <c r="F611" s="63" t="n"/>
      <c r="G611" s="57" t="inlineStr">
        <is>
          <t>Roster, department, manager, experience, qualification, category</t>
        </is>
      </c>
      <c r="H611" s="64" t="n"/>
      <c r="I611" s="64" t="n"/>
      <c r="J611" s="63" t="n"/>
      <c r="K611" s="57" t="inlineStr">
        <is>
          <t>Internal</t>
        </is>
      </c>
      <c r="L611" s="64" t="n"/>
      <c r="M611" s="63" t="n"/>
      <c r="N611" s="57" t="inlineStr">
        <is>
          <t>Internal</t>
        </is>
      </c>
    </row>
    <row r="612" ht="28" customHeight="1">
      <c r="A612" s="74" t="inlineStr">
        <is>
          <t>S41</t>
        </is>
      </c>
      <c r="B612" s="57" t="inlineStr">
        <is>
          <t>How We Grow survey · 521 responses</t>
        </is>
      </c>
      <c r="C612" s="64" t="n"/>
      <c r="D612" s="63" t="n"/>
      <c r="E612" s="57" t="inlineStr">
        <is>
          <t>IRIS employees</t>
        </is>
      </c>
      <c r="F612" s="63" t="n"/>
      <c r="G612" s="57" t="inlineStr">
        <is>
          <t>Purpose, deliverables, accountability, decision rights, skills, tools, learning needs</t>
        </is>
      </c>
      <c r="H612" s="64" t="n"/>
      <c r="I612" s="64" t="n"/>
      <c r="J612" s="63" t="n"/>
      <c r="K612" s="57" t="inlineStr">
        <is>
          <t>Internal</t>
        </is>
      </c>
      <c r="L612" s="64" t="n"/>
      <c r="M612" s="63" t="n"/>
      <c r="N612" s="57" t="inlineStr">
        <is>
          <t>Internal</t>
        </is>
      </c>
    </row>
    <row r="613" ht="28" customHeight="1">
      <c r="A613" s="74" t="inlineStr">
        <is>
          <t>S42</t>
        </is>
      </c>
      <c r="B613" s="57" t="inlineStr">
        <is>
          <t>Manager talent-mapping files</t>
        </is>
      </c>
      <c r="C613" s="64" t="n"/>
      <c r="D613" s="63" t="n"/>
      <c r="E613" s="57" t="inlineStr">
        <is>
          <t>IRIS managers</t>
        </is>
      </c>
      <c r="F613" s="63" t="n"/>
      <c r="G613" s="57" t="inlineStr">
        <is>
          <t>KRAs, rating, potential, readiness, 9-box, manager training need</t>
        </is>
      </c>
      <c r="H613" s="64" t="n"/>
      <c r="I613" s="64" t="n"/>
      <c r="J613" s="63" t="n"/>
      <c r="K613" s="57" t="inlineStr">
        <is>
          <t>Internal</t>
        </is>
      </c>
      <c r="L613" s="64" t="n"/>
      <c r="M613" s="63" t="n"/>
      <c r="N613" s="57" t="inlineStr">
        <is>
          <t>Internal</t>
        </is>
      </c>
    </row>
    <row r="614" ht="28" customHeight="1">
      <c r="A614" s="74" t="inlineStr">
        <is>
          <t>S43</t>
        </is>
      </c>
      <c r="B614" s="57" t="inlineStr">
        <is>
          <t>IRIS talent-mapping workbooks v1 and v2</t>
        </is>
      </c>
      <c r="C614" s="64" t="n"/>
      <c r="D614" s="63" t="n"/>
      <c r="E614" s="57" t="inlineStr">
        <is>
          <t>This exercise</t>
        </is>
      </c>
      <c r="F614" s="63" t="n"/>
      <c r="G614" s="57" t="inlineStr">
        <is>
          <t>Factor ratings, competency ratings, duplication and mobility analysis</t>
        </is>
      </c>
      <c r="H614" s="64" t="n"/>
      <c r="I614" s="64" t="n"/>
      <c r="J614" s="63" t="n"/>
      <c r="K614" s="57" t="inlineStr">
        <is>
          <t>Internal</t>
        </is>
      </c>
      <c r="L614" s="64" t="n"/>
      <c r="M614" s="63" t="n"/>
      <c r="N614" s="57" t="inlineStr">
        <is>
          <t>Internal</t>
        </is>
      </c>
    </row>
    <row r="615" ht="15" customHeight="1"/>
    <row r="616" ht="20" customHeight="1">
      <c r="A616" s="6" t="inlineStr">
        <is>
          <t>M16b. Career Architecture V2 evidence register · 58 sources</t>
        </is>
      </c>
    </row>
    <row r="617" ht="28" customHeight="1">
      <c r="A617" s="12" t="inlineStr">
        <is>
          <t>The evidence register from IRIS Career Architecture V2 · HR research, 7 Oct 2026: each source with the observed title, what it supports and its transfer limit. Two entries · Regnology Senior Software Engineer, Pune; Dropbox engineering framework v2.9.1 were spot-checked on 7 Oct 2026 and match.</t>
        </is>
      </c>
    </row>
    <row r="618" ht="28" customHeight="1">
      <c r="A618" s="7" t="inlineStr">
        <is>
          <t>ID</t>
        </is>
      </c>
      <c r="B618" s="7" t="inlineStr">
        <is>
          <t>Lens</t>
        </is>
      </c>
      <c r="C618" s="7" t="inlineStr">
        <is>
          <t>Organisation</t>
        </is>
      </c>
      <c r="D618" s="7" t="inlineStr">
        <is>
          <t>Observed title / publication</t>
        </is>
      </c>
      <c r="E618" s="63" t="n"/>
      <c r="F618" s="7" t="inlineStr">
        <is>
          <t>What it supports</t>
        </is>
      </c>
      <c r="G618" s="64" t="n"/>
      <c r="H618" s="63" t="n"/>
      <c r="I618" s="7" t="inlineStr">
        <is>
          <t>Transfer limit</t>
        </is>
      </c>
      <c r="J618" s="64" t="n"/>
      <c r="K618" s="63" t="n"/>
      <c r="L618" s="7" t="inlineStr">
        <is>
          <t>Geography</t>
        </is>
      </c>
      <c r="M618" s="7" t="inlineStr">
        <is>
          <t>Link</t>
        </is>
      </c>
      <c r="N618" s="63" t="n"/>
    </row>
    <row r="619" ht="28" customHeight="1">
      <c r="A619" s="14" t="inlineStr">
        <is>
          <t>N01</t>
        </is>
      </c>
      <c r="B619" s="9" t="inlineStr">
        <is>
          <t>Lens 1 direct peer</t>
        </is>
      </c>
      <c r="C619" s="9" t="inlineStr">
        <is>
          <t>Regnology</t>
        </is>
      </c>
      <c r="D619" s="9" t="inlineStr">
        <is>
          <t>Senior Software Engineer, Pune</t>
        </is>
      </c>
      <c r="E619" s="63" t="n"/>
      <c r="F619" s="9" t="inlineStr">
        <is>
          <t>Java delivery, design, code review and junior mentoring.</t>
        </is>
      </c>
      <c r="G619" s="64" t="n"/>
      <c r="H619" s="63" t="n"/>
      <c r="I619" s="9" t="inlineStr">
        <is>
          <t>Selected senior role only; tenure requirement is not a grading rule.</t>
        </is>
      </c>
      <c r="J619" s="64" t="n"/>
      <c r="K619" s="63" t="n"/>
      <c r="L619" s="9" t="inlineStr">
        <is>
          <t>India</t>
        </is>
      </c>
      <c r="M619" s="9" t="inlineStr">
        <is>
          <t>https://regnology.jobs.personio.de/job/2374470</t>
        </is>
      </c>
      <c r="N619" s="63" t="n"/>
    </row>
    <row r="620" ht="41" customHeight="1">
      <c r="A620" s="14" t="inlineStr">
        <is>
          <t>N02</t>
        </is>
      </c>
      <c r="B620" s="9" t="inlineStr">
        <is>
          <t>Lens 1 direct peer</t>
        </is>
      </c>
      <c r="C620" s="9" t="inlineStr">
        <is>
          <t>Regnology</t>
        </is>
      </c>
      <c r="D620" s="9" t="inlineStr">
        <is>
          <t>Release Engineer, Pune</t>
        </is>
      </c>
      <c r="E620" s="63" t="n"/>
      <c r="F620" s="9" t="inlineStr">
        <is>
          <t>Independent cross-team release coordination and quality/risk trade-offs.</t>
        </is>
      </c>
      <c r="G620" s="64" t="n"/>
      <c r="H620" s="63" t="n"/>
      <c r="I620" s="9" t="inlineStr">
        <is>
          <t>Supports release scope, not a standalone QA career ladder.</t>
        </is>
      </c>
      <c r="J620" s="64" t="n"/>
      <c r="K620" s="63" t="n"/>
      <c r="L620" s="9" t="inlineStr">
        <is>
          <t>India</t>
        </is>
      </c>
      <c r="M620" s="9" t="inlineStr">
        <is>
          <t>https://regnology.jobs.personio.de/job/2605587?language=en</t>
        </is>
      </c>
      <c r="N620" s="63" t="n"/>
    </row>
    <row r="621" ht="54" customHeight="1">
      <c r="A621" s="14" t="inlineStr">
        <is>
          <t>N03</t>
        </is>
      </c>
      <c r="B621" s="9" t="inlineStr">
        <is>
          <t>Lens 1 direct peer</t>
        </is>
      </c>
      <c r="C621" s="9" t="inlineStr">
        <is>
          <t>Workiva</t>
        </is>
      </c>
      <c r="D621" s="9" t="inlineStr">
        <is>
          <t>Principal Security Engineer</t>
        </is>
      </c>
      <c r="E621" s="63" t="n"/>
      <c r="F621" s="9" t="inlineStr">
        <is>
          <t>Cross-platform cloud security architecture and enterprise technical influence.</t>
        </is>
      </c>
      <c r="G621" s="64" t="n"/>
      <c r="H621" s="63" t="n"/>
      <c r="I621" s="9" t="inlineStr">
        <is>
          <t>Selected expert role; no verified internal grade or India title match.</t>
        </is>
      </c>
      <c r="J621" s="64" t="n"/>
      <c r="K621" s="63" t="n"/>
      <c r="L621" s="9" t="inlineStr">
        <is>
          <t>USA</t>
        </is>
      </c>
      <c r="M621" s="9" t="inlineStr">
        <is>
          <t>https://workiva.wd503.myworkdayjobs.com/en-US/careers/job/Principal-Security-Engineer_R11408</t>
        </is>
      </c>
      <c r="N621" s="63" t="n"/>
    </row>
    <row r="622" ht="67" customHeight="1">
      <c r="A622" s="14" t="inlineStr">
        <is>
          <t>N04</t>
        </is>
      </c>
      <c r="B622" s="9" t="inlineStr">
        <is>
          <t>Lens 1 direct peer</t>
        </is>
      </c>
      <c r="C622" s="9" t="inlineStr">
        <is>
          <t>Workiva</t>
        </is>
      </c>
      <c r="D622" s="9" t="inlineStr">
        <is>
          <t>Senior People Business Partner</t>
        </is>
      </c>
      <c r="E622" s="63" t="n"/>
      <c r="F622" s="9" t="inlineStr">
        <is>
          <t>Regional GTM partnership, organisation design, employee relations and leadership advice.</t>
        </is>
      </c>
      <c r="G622" s="64" t="n"/>
      <c r="H622" s="63" t="n"/>
      <c r="I622" s="9" t="inlineStr">
        <is>
          <t>Supports HRBP and adjacent OD work, not every HR speciality.</t>
        </is>
      </c>
      <c r="J622" s="64" t="n"/>
      <c r="K622" s="63" t="n"/>
      <c r="L622" s="9" t="inlineStr">
        <is>
          <t>UK / EMEA</t>
        </is>
      </c>
      <c r="M622" s="9" t="inlineStr">
        <is>
          <t>https://workiva.wd503.myworkdayjobs.com/en-US/careers/job/Senior-People-Business-Partner---GTM---Sales_R11653</t>
        </is>
      </c>
      <c r="N622" s="63" t="n"/>
    </row>
    <row r="623" ht="54" customHeight="1">
      <c r="A623" s="14" t="inlineStr">
        <is>
          <t>N05</t>
        </is>
      </c>
      <c r="B623" s="9" t="inlineStr">
        <is>
          <t>Lens 1 direct peer</t>
        </is>
      </c>
      <c r="C623" s="9" t="inlineStr">
        <is>
          <t>Workiva</t>
        </is>
      </c>
      <c r="D623" s="9" t="inlineStr">
        <is>
          <t>Principal Product Designer</t>
        </is>
      </c>
      <c r="E623" s="63" t="n"/>
      <c r="F623" s="9" t="inlineStr">
        <is>
          <t>Multi-product UX strategy, hands-on design and mentoring senior designers.</t>
        </is>
      </c>
      <c r="G623" s="64" t="n"/>
      <c r="H623" s="63" t="n"/>
      <c r="I623" s="9" t="inlineStr">
        <is>
          <t>Observed expert role; unrelated to brand-design seniority.</t>
        </is>
      </c>
      <c r="J623" s="64" t="n"/>
      <c r="K623" s="63" t="n"/>
      <c r="L623" s="9" t="inlineStr">
        <is>
          <t>USA</t>
        </is>
      </c>
      <c r="M623" s="9" t="inlineStr">
        <is>
          <t>https://workiva.wd503.myworkdayjobs.com/en-US/careers/job/Principal-Product-Designer_R11461</t>
        </is>
      </c>
      <c r="N623" s="63" t="n"/>
    </row>
    <row r="624" ht="67" customHeight="1">
      <c r="A624" s="14" t="inlineStr">
        <is>
          <t>N06</t>
        </is>
      </c>
      <c r="B624" s="9" t="inlineStr">
        <is>
          <t>Lens 1 direct peer</t>
        </is>
      </c>
      <c r="C624" s="9" t="inlineStr">
        <is>
          <t>Workiva</t>
        </is>
      </c>
      <c r="D624" s="9" t="inlineStr">
        <is>
          <t>Senior Learning and Development Partner</t>
        </is>
      </c>
      <c r="E624" s="63" t="n"/>
      <c r="F624" s="9" t="inlineStr">
        <is>
          <t>Explicit IC role owning a learning portfolio, facilitation and evaluation.</t>
        </is>
      </c>
      <c r="G624" s="64" t="n"/>
      <c r="H624" s="63" t="n"/>
      <c r="I624" s="9" t="inlineStr">
        <is>
          <t>People-management experience is preferred, not evidence of direct reports in this job.</t>
        </is>
      </c>
      <c r="J624" s="64" t="n"/>
      <c r="K624" s="63" t="n"/>
      <c r="L624" s="9" t="inlineStr">
        <is>
          <t>UK / global remit</t>
        </is>
      </c>
      <c r="M624" s="9" t="inlineStr">
        <is>
          <t>https://workiva.wd503.myworkdayjobs.com/en-US/careers/job/Senior-Learning-and-Development-Partner_R11848</t>
        </is>
      </c>
      <c r="N624" s="63" t="n"/>
    </row>
    <row r="625" ht="67" customHeight="1">
      <c r="A625" s="14" t="inlineStr">
        <is>
          <t>N07</t>
        </is>
      </c>
      <c r="B625" s="9" t="inlineStr">
        <is>
          <t>Lens 1 direct peer</t>
        </is>
      </c>
      <c r="C625" s="9" t="inlineStr">
        <is>
          <t>Workiva</t>
        </is>
      </c>
      <c r="D625" s="9" t="inlineStr">
        <is>
          <t>Brand Graphic Design Intern, 2027 cohort</t>
        </is>
      </c>
      <c r="E625" s="63" t="n"/>
      <c r="F625" s="9" t="inlineStr">
        <is>
          <t>Mentored brand asset production with review before stakeholder release.</t>
        </is>
      </c>
      <c r="G625" s="64" t="n"/>
      <c r="H625" s="63" t="n"/>
      <c r="I625" s="9" t="inlineStr">
        <is>
          <t>Advertised 2027 programme; listed application deadline predates review. Not an active-vacancy claim.</t>
        </is>
      </c>
      <c r="J625" s="64" t="n"/>
      <c r="K625" s="63" t="n"/>
      <c r="L625" s="9" t="inlineStr">
        <is>
          <t>USA</t>
        </is>
      </c>
      <c r="M625" s="9" t="inlineStr">
        <is>
          <t>https://workiva.wd503.myworkdayjobs.com/en-US/careers/job/Spring---Summer-2027-Intern---Brand-Design_R12318</t>
        </is>
      </c>
      <c r="N625" s="63" t="n"/>
    </row>
    <row r="626" ht="67" customHeight="1">
      <c r="A626" s="14" t="inlineStr">
        <is>
          <t>N08</t>
        </is>
      </c>
      <c r="B626" s="9" t="inlineStr">
        <is>
          <t>Lens 1 direct peer</t>
        </is>
      </c>
      <c r="C626" s="9" t="inlineStr">
        <is>
          <t>Workiva</t>
        </is>
      </c>
      <c r="D626" s="9" t="inlineStr">
        <is>
          <t>Marketing Intern, 2027 cohort</t>
        </is>
      </c>
      <c r="E626" s="63" t="n"/>
      <c r="F626" s="9" t="inlineStr">
        <is>
          <t>Entry tasks span campaigns, CRM data, automation, content and events.</t>
        </is>
      </c>
      <c r="G626" s="64" t="n"/>
      <c r="H626" s="63" t="n"/>
      <c r="I626" s="9" t="inlineStr">
        <is>
          <t>Entry exposure only; listed September 2026 deadline has passed.</t>
        </is>
      </c>
      <c r="J626" s="64" t="n"/>
      <c r="K626" s="63" t="n"/>
      <c r="L626" s="9" t="inlineStr">
        <is>
          <t>USA</t>
        </is>
      </c>
      <c r="M626" s="9" t="inlineStr">
        <is>
          <t>https://workiva.wd503.myworkdayjobs.com/careers/job/usa---remote/spring---summer-2027-intern---marketing_r12193</t>
        </is>
      </c>
      <c r="N626" s="63" t="n"/>
    </row>
    <row r="627" ht="54" customHeight="1">
      <c r="A627" s="14" t="inlineStr">
        <is>
          <t>N09</t>
        </is>
      </c>
      <c r="B627" s="9" t="inlineStr">
        <is>
          <t>Lens 1 direct peer</t>
        </is>
      </c>
      <c r="C627" s="9" t="inlineStr">
        <is>
          <t>Workiva</t>
        </is>
      </c>
      <c r="D627" s="9" t="inlineStr">
        <is>
          <t>Senior Campaign Manager</t>
        </is>
      </c>
      <c r="E627" s="63" t="n"/>
      <c r="F627" s="9" t="inlineStr">
        <is>
          <t>Integrated campaign ownership, channel decisions and pipeline accountability.</t>
        </is>
      </c>
      <c r="G627" s="64" t="n"/>
      <c r="H627" s="63" t="n"/>
      <c r="I627" s="9" t="inlineStr">
        <is>
          <t>Manager title does not establish direct reports.</t>
        </is>
      </c>
      <c r="J627" s="64" t="n"/>
      <c r="K627" s="63" t="n"/>
      <c r="L627" s="9" t="inlineStr">
        <is>
          <t>USA</t>
        </is>
      </c>
      <c r="M627" s="9" t="inlineStr">
        <is>
          <t>https://workiva.wd503.myworkdayjobs.com/careers/job/usa---remote/senior-campaign-manager_r12423-1</t>
        </is>
      </c>
      <c r="N627" s="63" t="n"/>
    </row>
    <row r="628" ht="67" customHeight="1">
      <c r="A628" s="14" t="inlineStr">
        <is>
          <t>N10</t>
        </is>
      </c>
      <c r="B628" s="9" t="inlineStr">
        <is>
          <t>Lens 1 direct peer</t>
        </is>
      </c>
      <c r="C628" s="9" t="inlineStr">
        <is>
          <t>Workiva</t>
        </is>
      </c>
      <c r="D628" s="9" t="inlineStr">
        <is>
          <t>Product Marketing Operations Director</t>
        </is>
      </c>
      <c r="E628" s="63" t="n"/>
      <c r="F628" s="9" t="inlineStr">
        <is>
          <t>Explicit IC director role owning planning, budgets and cross-functional operating cadence.</t>
        </is>
      </c>
      <c r="G628" s="64" t="n"/>
      <c r="H628" s="63" t="n"/>
      <c r="I628" s="9" t="inlineStr">
        <is>
          <t>Not the same job as marketing automation; important title/track counterexample.</t>
        </is>
      </c>
      <c r="J628" s="64" t="n"/>
      <c r="K628" s="63" t="n"/>
      <c r="L628" s="9" t="inlineStr">
        <is>
          <t>USA</t>
        </is>
      </c>
      <c r="M628" s="9" t="inlineStr">
        <is>
          <t>https://workiva.wd503.myworkdayjobs.com/en-US/careers/job/Product-Marketing-Operations-Director_R12164</t>
        </is>
      </c>
      <c r="N628" s="63" t="n"/>
    </row>
    <row r="629" ht="80" customHeight="1">
      <c r="A629" s="14" t="inlineStr">
        <is>
          <t>N11</t>
        </is>
      </c>
      <c r="B629" s="9" t="inlineStr">
        <is>
          <t>Lens 1 direct peer</t>
        </is>
      </c>
      <c r="C629" s="9" t="inlineStr">
        <is>
          <t>Workiva</t>
        </is>
      </c>
      <c r="D629" s="9" t="inlineStr">
        <is>
          <t>Sales Development Representative, SLED</t>
        </is>
      </c>
      <c r="E629" s="63" t="n"/>
      <c r="F629" s="9" t="inlineStr">
        <is>
          <t>Prospecting and qualification feed account executives.</t>
        </is>
      </c>
      <c r="G629" s="64" t="n"/>
      <c r="H629" s="63" t="n"/>
      <c r="I629" s="9" t="inlineStr">
        <is>
          <t>US public-sector segment; do not transplant activity quotas.</t>
        </is>
      </c>
      <c r="J629" s="64" t="n"/>
      <c r="K629" s="63" t="n"/>
      <c r="L629" s="9" t="inlineStr">
        <is>
          <t>USA</t>
        </is>
      </c>
      <c r="M629" s="9" t="inlineStr">
        <is>
          <t>https://workiva.wd503.myworkdayjobs.com/en-US/careers/job/Territory-Development-Representative---State--Local---Education--SLED-_R12066</t>
        </is>
      </c>
      <c r="N629" s="63" t="n"/>
    </row>
    <row r="630" ht="67" customHeight="1">
      <c r="A630" s="14" t="inlineStr">
        <is>
          <t>N12</t>
        </is>
      </c>
      <c r="B630" s="9" t="inlineStr">
        <is>
          <t>Lens 1 direct peer</t>
        </is>
      </c>
      <c r="C630" s="9" t="inlineStr">
        <is>
          <t>Workiva</t>
        </is>
      </c>
      <c r="D630" s="9" t="inlineStr">
        <is>
          <t>Account Executive, SLED</t>
        </is>
      </c>
      <c r="E630" s="63" t="n"/>
      <c r="F630" s="9" t="inlineStr">
        <is>
          <t>Owns acquisition, expansion, commercial forecasting and closing.</t>
        </is>
      </c>
      <c r="G630" s="64" t="n"/>
      <c r="H630" s="63" t="n"/>
      <c r="I630" s="9" t="inlineStr">
        <is>
          <t>Account sales is distinct from SDR qualification; no grade inferred.</t>
        </is>
      </c>
      <c r="J630" s="64" t="n"/>
      <c r="K630" s="63" t="n"/>
      <c r="L630" s="9" t="inlineStr">
        <is>
          <t>USA</t>
        </is>
      </c>
      <c r="M630" s="9" t="inlineStr">
        <is>
          <t>https://workiva.wd503.myworkdayjobs.com/careers/job/usa---remote/account-executive---state--local---education--sled-_r12020</t>
        </is>
      </c>
      <c r="N630" s="63" t="n"/>
    </row>
    <row r="631" ht="54" customHeight="1">
      <c r="A631" s="14" t="inlineStr">
        <is>
          <t>N13</t>
        </is>
      </c>
      <c r="B631" s="9" t="inlineStr">
        <is>
          <t>Lens 1 direct peer</t>
        </is>
      </c>
      <c r="C631" s="9" t="inlineStr">
        <is>
          <t>Workiva</t>
        </is>
      </c>
      <c r="D631" s="9" t="inlineStr">
        <is>
          <t>Senior Account Executive, SLED</t>
        </is>
      </c>
      <c r="E631" s="63" t="n"/>
      <c r="F631" s="9" t="inlineStr">
        <is>
          <t>Senior account-executive title and enterprise sales duties are published.</t>
        </is>
      </c>
      <c r="G631" s="64" t="n"/>
      <c r="H631" s="63" t="n"/>
      <c r="I631" s="9" t="inlineStr">
        <is>
          <r>
            <rPr>
              <rFont val="Calibri"/>
              <b val="1"/>
              <sz val="10"/>
            </rPr>
            <t>Similar duties to AE listing:</t>
          </r>
          <r>
            <rPr>
              <rFont val="Calibri"/>
              <sz val="10"/>
            </rPr>
            <t xml:space="preserve"> precise step-up in scope is not established.</t>
          </r>
        </is>
      </c>
      <c r="J631" s="64" t="n"/>
      <c r="K631" s="63" t="n"/>
      <c r="L631" s="9" t="inlineStr">
        <is>
          <t>USA</t>
        </is>
      </c>
      <c r="M631" s="9" t="inlineStr">
        <is>
          <t>https://workiva.wd503.myworkdayjobs.com/en-US/careers/job/Senior-Account-Executive---SLED_R12096</t>
        </is>
      </c>
      <c r="N631" s="63" t="n"/>
    </row>
    <row r="632" ht="67" customHeight="1">
      <c r="A632" s="14" t="inlineStr">
        <is>
          <t>N14</t>
        </is>
      </c>
      <c r="B632" s="9" t="inlineStr">
        <is>
          <t>Lens 1 direct peer</t>
        </is>
      </c>
      <c r="C632" s="9" t="inlineStr">
        <is>
          <t>Workiva</t>
        </is>
      </c>
      <c r="D632" s="9" t="inlineStr">
        <is>
          <t>Senior Partner Sales Executive</t>
        </is>
      </c>
      <c r="E632" s="63" t="n"/>
      <c r="F632" s="9" t="inlineStr">
        <is>
          <t>Partner GTM responsibility with a partnerships director reporting line.</t>
        </is>
      </c>
      <c r="G632" s="64" t="n"/>
      <c r="H632" s="63" t="n"/>
      <c r="I632" s="9" t="inlineStr">
        <is>
          <t>Brazil-specific role; not proof of the full alliance hierarchy.</t>
        </is>
      </c>
      <c r="J632" s="64" t="n"/>
      <c r="K632" s="63" t="n"/>
      <c r="L632" s="9" t="inlineStr">
        <is>
          <t>Brazil</t>
        </is>
      </c>
      <c r="M632" s="9" t="inlineStr">
        <is>
          <t>https://workiva.wd503.myworkdayjobs.com/careers/job/remote---brazil/senior-partner-sales-executive---brazil_r12195</t>
        </is>
      </c>
      <c r="N632" s="63" t="n"/>
    </row>
    <row r="633" ht="67" customHeight="1">
      <c r="A633" s="14" t="inlineStr">
        <is>
          <t>N15</t>
        </is>
      </c>
      <c r="B633" s="9" t="inlineStr">
        <is>
          <t>Lens 1 direct peer</t>
        </is>
      </c>
      <c r="C633" s="9" t="inlineStr">
        <is>
          <t>Workiva</t>
        </is>
      </c>
      <c r="D633" s="9" t="inlineStr">
        <is>
          <t>Customer Success Manager</t>
        </is>
      </c>
      <c r="E633" s="63" t="n"/>
      <c r="F633" s="9" t="inlineStr">
        <is>
          <t>Assigned accounts, adoption, customer outcomes and renewal coordination.</t>
        </is>
      </c>
      <c r="G633" s="64" t="n"/>
      <c r="H633" s="63" t="n"/>
      <c r="I633" s="9" t="inlineStr">
        <is>
          <t>Language and territory requirements are local overlays.</t>
        </is>
      </c>
      <c r="J633" s="64" t="n"/>
      <c r="K633" s="63" t="n"/>
      <c r="L633" s="9" t="inlineStr">
        <is>
          <t>Netherlands / Sweden</t>
        </is>
      </c>
      <c r="M633" s="9" t="inlineStr">
        <is>
          <t>https://workiva.wd503.myworkdayjobs.com/en-US/careers/job/Customer-Success-Manager---Finnish-Speaker_R11553-1</t>
        </is>
      </c>
      <c r="N633" s="63" t="n"/>
    </row>
    <row r="634" ht="67" customHeight="1">
      <c r="A634" s="14" t="inlineStr">
        <is>
          <t>N16</t>
        </is>
      </c>
      <c r="B634" s="9" t="inlineStr">
        <is>
          <t>Lens 1 direct peer</t>
        </is>
      </c>
      <c r="C634" s="9" t="inlineStr">
        <is>
          <t>Workiva</t>
        </is>
      </c>
      <c r="D634" s="9" t="inlineStr">
        <is>
          <t>Lead Customer Success Manager, Public Sector</t>
        </is>
      </c>
      <c r="E634" s="63" t="n"/>
      <c r="F634" s="9" t="inlineStr">
        <is>
          <t>Complex public-sector account portfolios, executive engagement and escalations.</t>
        </is>
      </c>
      <c r="G634" s="64" t="n"/>
      <c r="H634" s="63" t="n"/>
      <c r="I634" s="9" t="inlineStr">
        <is>
          <t>Cross-geography comparison with N15 is directional, not a certified promotion sequence.</t>
        </is>
      </c>
      <c r="J634" s="64" t="n"/>
      <c r="K634" s="63" t="n"/>
      <c r="L634" s="9" t="inlineStr">
        <is>
          <t>USA</t>
        </is>
      </c>
      <c r="M634" s="9" t="inlineStr">
        <is>
          <t>https://workiva.wd503.myworkdayjobs.com/careers/job/usa---remote/lead-customer-success-manager--public-sector_r12417</t>
        </is>
      </c>
      <c r="N634" s="63" t="n"/>
    </row>
    <row r="635" ht="54" customHeight="1">
      <c r="A635" s="14" t="inlineStr">
        <is>
          <t>N17</t>
        </is>
      </c>
      <c r="B635" s="9" t="inlineStr">
        <is>
          <t>Lens 1 direct peer</t>
        </is>
      </c>
      <c r="C635" s="9" t="inlineStr">
        <is>
          <t>Workiva</t>
        </is>
      </c>
      <c r="D635" s="9" t="inlineStr">
        <is>
          <t>VP of Customer Experience</t>
        </is>
      </c>
      <c r="E635" s="63" t="n"/>
      <c r="F635" s="9" t="inlineStr">
        <is>
          <t>Broad support, customer education, community and digital-experience leadership.</t>
        </is>
      </c>
      <c r="G635" s="64" t="n"/>
      <c r="H635" s="63" t="n"/>
      <c r="I635" s="9" t="inlineStr">
        <is>
          <t>A shared functional destination, not a separate VP for every support specialism.</t>
        </is>
      </c>
      <c r="J635" s="64" t="n"/>
      <c r="K635" s="63" t="n"/>
      <c r="L635" s="9" t="inlineStr">
        <is>
          <t>USA</t>
        </is>
      </c>
      <c r="M635" s="9" t="inlineStr">
        <is>
          <t>https://workiva.wd503.myworkdayjobs.com/careers/job/USA---Remote/VP-of-Customer-Experience_R11897</t>
        </is>
      </c>
      <c r="N635" s="63" t="n"/>
    </row>
    <row r="636" ht="54" customHeight="1">
      <c r="A636" s="14" t="inlineStr">
        <is>
          <t>N18</t>
        </is>
      </c>
      <c r="B636" s="9" t="inlineStr">
        <is>
          <t>Lens 1 direct peer</t>
        </is>
      </c>
      <c r="C636" s="9" t="inlineStr">
        <is>
          <t>Workiva</t>
        </is>
      </c>
      <c r="D636" s="9" t="inlineStr">
        <is>
          <t>Product Support Engineer</t>
        </is>
      </c>
      <c r="E636" s="63" t="n"/>
      <c r="F636" s="9" t="inlineStr">
        <is>
          <t>Product diagnosis, customer cases, knowledge articles and junior mentoring.</t>
        </is>
      </c>
      <c r="G636" s="64" t="n"/>
      <c r="H636" s="63" t="n"/>
      <c r="I636" s="9" t="inlineStr">
        <is>
          <t>Customer product support, not internal employee IT.</t>
        </is>
      </c>
      <c r="J636" s="64" t="n"/>
      <c r="K636" s="63" t="n"/>
      <c r="L636" s="9" t="inlineStr">
        <is>
          <t>UK / Netherlands</t>
        </is>
      </c>
      <c r="M636" s="9" t="inlineStr">
        <is>
          <t>https://workiva.wd503.myworkdayjobs.com/en-US/careers/job/Product-Support-Engineer_R11734</t>
        </is>
      </c>
      <c r="N636" s="63" t="n"/>
    </row>
    <row r="637" ht="67" customHeight="1">
      <c r="A637" s="14" t="inlineStr">
        <is>
          <t>N19</t>
        </is>
      </c>
      <c r="B637" s="9" t="inlineStr">
        <is>
          <t>Lens 1 direct peer</t>
        </is>
      </c>
      <c r="C637" s="9" t="inlineStr">
        <is>
          <t>Workiva</t>
        </is>
      </c>
      <c r="D637" s="9" t="inlineStr">
        <is>
          <t>Senior Manager of Product Support</t>
        </is>
      </c>
      <c r="E637" s="63" t="n"/>
      <c r="F637" s="9" t="inlineStr">
        <is>
          <t>Formal support-team leadership and full performance-cycle ownership.</t>
        </is>
      </c>
      <c r="G637" s="64" t="n"/>
      <c r="H637" s="63" t="n"/>
      <c r="I637" s="9" t="inlineStr">
        <is>
          <t>Evidence distinguishes people management from technical case leadership.</t>
        </is>
      </c>
      <c r="J637" s="64" t="n"/>
      <c r="K637" s="63" t="n"/>
      <c r="L637" s="9" t="inlineStr">
        <is>
          <t>Netherlands</t>
        </is>
      </c>
      <c r="M637" s="9" t="inlineStr">
        <is>
          <t>https://workiva.wd503.myworkdayjobs.com/en-US/careers/job/Senior-Manager-of-Product-Support---FRX---Capital-Markets_R11869</t>
        </is>
      </c>
      <c r="N637" s="63" t="n"/>
    </row>
    <row r="638" ht="67" customHeight="1">
      <c r="A638" s="14" t="inlineStr">
        <is>
          <t>N20</t>
        </is>
      </c>
      <c r="B638" s="9" t="inlineStr">
        <is>
          <t>Lens 1 direct peer</t>
        </is>
      </c>
      <c r="C638" s="9" t="inlineStr">
        <is>
          <t>Workiva</t>
        </is>
      </c>
      <c r="D638" s="9" t="inlineStr">
        <is>
          <t>Senior AV Engineer</t>
        </is>
      </c>
      <c r="E638" s="63" t="n"/>
      <c r="F638" s="9" t="inlineStr">
        <is>
          <t>Independently recommends equipment and coordinates vendors without purchasing authority.</t>
        </is>
      </c>
      <c r="G638" s="64" t="n"/>
      <c r="H638" s="63" t="n"/>
      <c r="I638" s="9" t="inlineStr">
        <is>
          <t>Adjacent to workplace/IT, not a facilities or procurement ladder.</t>
        </is>
      </c>
      <c r="J638" s="64" t="n"/>
      <c r="K638" s="63" t="n"/>
      <c r="L638" s="9" t="inlineStr">
        <is>
          <t>USA</t>
        </is>
      </c>
      <c r="M638" s="9" t="inlineStr">
        <is>
          <t>https://workiva.wd503.myworkdayjobs.com/en-US/careers/job/Senior-AV-Engineer---Hybrid--Ames--IA-Office-_R11923</t>
        </is>
      </c>
      <c r="N638" s="63" t="n"/>
    </row>
    <row r="639" ht="41" customHeight="1">
      <c r="A639" s="14" t="inlineStr">
        <is>
          <t>N21</t>
        </is>
      </c>
      <c r="B639" s="9" t="inlineStr">
        <is>
          <t>Lens 1 direct peer</t>
        </is>
      </c>
      <c r="C639" s="9" t="inlineStr">
        <is>
          <t>Regnology</t>
        </is>
      </c>
      <c r="D639" s="9" t="inlineStr">
        <is>
          <t>IT Technical Writer</t>
        </is>
      </c>
      <c r="E639" s="63" t="n"/>
      <c r="F639" s="9" t="inlineStr">
        <is>
          <t>Banking-product documentation, domain accuracy and documentation-as-code.</t>
        </is>
      </c>
      <c r="G639" s="64" t="n"/>
      <c r="H639" s="63" t="n"/>
      <c r="I639" s="9" t="inlineStr">
        <is>
          <t>Distinct from document conversion; supports a proposed technical-writing branch.</t>
        </is>
      </c>
      <c r="J639" s="64" t="n"/>
      <c r="K639" s="63" t="n"/>
      <c r="L639" s="9" t="inlineStr">
        <is>
          <t>Tunisia</t>
        </is>
      </c>
      <c r="M639" s="9" t="inlineStr">
        <is>
          <t>https://www.regnology.net/en/careers/detail/?id=2644483</t>
        </is>
      </c>
      <c r="N639" s="63" t="n"/>
    </row>
    <row r="640" ht="41" customHeight="1">
      <c r="A640" s="14" t="inlineStr">
        <is>
          <t>N22</t>
        </is>
      </c>
      <c r="B640" s="9" t="inlineStr">
        <is>
          <t>Lens 2 domain practice</t>
        </is>
      </c>
      <c r="C640" s="9" t="inlineStr">
        <is>
          <t>Dropbox</t>
        </is>
      </c>
      <c r="D640" s="9" t="inlineStr">
        <is>
          <t>Engineering career framework v2.9.1</t>
        </is>
      </c>
      <c r="E640" s="63" t="n"/>
      <c r="F640" s="9" t="inlineStr">
        <is>
          <t>Separate software, QA, SDET, reliability, ML, data, security and management paths.</t>
        </is>
      </c>
      <c r="G640" s="64" t="n"/>
      <c r="H640" s="63" t="n"/>
      <c r="I640" s="9" t="inlineStr">
        <is>
          <t>Published discipline paths differ in length. Neither Dropbox codes nor pay levels are copied.</t>
        </is>
      </c>
      <c r="J640" s="64" t="n"/>
      <c r="K640" s="63" t="n"/>
      <c r="L640" s="9" t="inlineStr">
        <is>
          <t>Global</t>
        </is>
      </c>
      <c r="M640" s="9" t="inlineStr">
        <is>
          <t>https://dropbox.github.io/dbx-career-framework/index.html</t>
        </is>
      </c>
      <c r="N640" s="63" t="n"/>
    </row>
    <row r="641" ht="41" customHeight="1">
      <c r="A641" s="14" t="inlineStr">
        <is>
          <t>N23</t>
        </is>
      </c>
      <c r="B641" s="9" t="inlineStr">
        <is>
          <t>Lens 2 other sector</t>
        </is>
      </c>
      <c r="C641" s="9" t="inlineStr">
        <is>
          <t>Wise</t>
        </is>
      </c>
      <c r="D641" s="9" t="inlineStr">
        <is>
          <t>Product career map</t>
        </is>
      </c>
      <c r="E641" s="63" t="n"/>
      <c r="F641" s="9" t="inlineStr">
        <is>
          <t>Product ownership expands from features through broader product and team portfolios.</t>
        </is>
      </c>
      <c r="G641" s="64" t="n"/>
      <c r="H641" s="63" t="n"/>
      <c r="I641" s="9" t="inlineStr">
        <is>
          <t>Company-specific path; leadership terms do not automatically mean people management.</t>
        </is>
      </c>
      <c r="J641" s="64" t="n"/>
      <c r="K641" s="63" t="n"/>
      <c r="L641" s="9" t="inlineStr">
        <is>
          <t>Global</t>
        </is>
      </c>
      <c r="M641" s="9" t="inlineStr">
        <is>
          <t>https://wise.jobs/product-career-map</t>
        </is>
      </c>
      <c r="N641" s="63" t="n"/>
    </row>
    <row r="642" ht="41" customHeight="1">
      <c r="A642" s="14" t="inlineStr">
        <is>
          <t>N24</t>
        </is>
      </c>
      <c r="B642" s="9" t="inlineStr">
        <is>
          <t>Lens 2 other sector</t>
        </is>
      </c>
      <c r="C642" s="9" t="inlineStr">
        <is>
          <t>Wise</t>
        </is>
      </c>
      <c r="D642" s="9" t="inlineStr">
        <is>
          <t>Analytics career map</t>
        </is>
      </c>
      <c r="E642" s="63" t="n"/>
      <c r="F642" s="9" t="inlineStr">
        <is>
          <t>Separate IC and analytics leadership paths; responsibility and skills are distinct.</t>
        </is>
      </c>
      <c r="G642" s="64" t="n"/>
      <c r="H642" s="63" t="n"/>
      <c r="I642" s="9" t="inlineStr">
        <is>
          <t>Published job expectations support scope design; salary figures excluded.</t>
        </is>
      </c>
      <c r="J642" s="64" t="n"/>
      <c r="K642" s="63" t="n"/>
      <c r="L642" s="9" t="inlineStr">
        <is>
          <t>Global</t>
        </is>
      </c>
      <c r="M642" s="9" t="inlineStr">
        <is>
          <t>https://wise.jobs/analytics-career-map</t>
        </is>
      </c>
      <c r="N642" s="63" t="n"/>
    </row>
    <row r="643" ht="41" customHeight="1">
      <c r="A643" s="14" t="inlineStr">
        <is>
          <t>N25</t>
        </is>
      </c>
      <c r="B643" s="9" t="inlineStr">
        <is>
          <t>Lens 2 other sector</t>
        </is>
      </c>
      <c r="C643" s="9" t="inlineStr">
        <is>
          <t>Wise</t>
        </is>
      </c>
      <c r="D643" s="9" t="inlineStr">
        <is>
          <t>Data science career map</t>
        </is>
      </c>
      <c r="E643" s="63" t="n"/>
      <c r="F643" s="9" t="inlineStr">
        <is>
          <t>Published data-science levels describe wider ownership, problem solving and influence.</t>
        </is>
      </c>
      <c r="G643" s="64" t="n"/>
      <c r="H643" s="63" t="n"/>
      <c r="I643" s="9" t="inlineStr">
        <is>
          <t>Data-science evidence replaces the V1 use of data-engineering titles for this discipline.</t>
        </is>
      </c>
      <c r="J643" s="64" t="n"/>
      <c r="K643" s="63" t="n"/>
      <c r="L643" s="9" t="inlineStr">
        <is>
          <t>Global</t>
        </is>
      </c>
      <c r="M643" s="9" t="inlineStr">
        <is>
          <t>https://wise.jobs/data-science-career-map</t>
        </is>
      </c>
      <c r="N643" s="63" t="n"/>
    </row>
    <row r="644" ht="67" customHeight="1">
      <c r="A644" s="14" t="inlineStr">
        <is>
          <t>N26</t>
        </is>
      </c>
      <c r="B644" s="9" t="inlineStr">
        <is>
          <t>Lens 2 professional standard</t>
        </is>
      </c>
      <c r="C644" s="9" t="inlineStr">
        <is>
          <t>NIST</t>
        </is>
      </c>
      <c r="D644" s="9" t="inlineStr">
        <is>
          <t>NICE framework current components</t>
        </is>
      </c>
      <c r="E644" s="63" t="n"/>
      <c r="F644" s="9" t="inlineStr">
        <is>
          <t>Separates cybersecurity work roles, tasks, knowledge and skills; current listed components v2.2.0.</t>
        </is>
      </c>
      <c r="G644" s="64" t="n"/>
      <c r="H644" s="63" t="n"/>
      <c r="I644" s="9" t="inlineStr">
        <is>
          <t>Work roles are not corporate grades. Retain version and do not infer maturity from title.</t>
        </is>
      </c>
      <c r="J644" s="64" t="n"/>
      <c r="K644" s="63" t="n"/>
      <c r="L644" s="9" t="inlineStr">
        <is>
          <t>Global</t>
        </is>
      </c>
      <c r="M644" s="9" t="inlineStr">
        <is>
          <t>https://www.nist.gov/itl/applied-cybersecurity/nice/nice-framework-resource-center/nice-framework-current-versions</t>
        </is>
      </c>
      <c r="N644" s="63" t="n"/>
    </row>
    <row r="645" ht="67" customHeight="1">
      <c r="A645" s="14" t="inlineStr">
        <is>
          <t>N27</t>
        </is>
      </c>
      <c r="B645" s="9" t="inlineStr">
        <is>
          <t>Method</t>
        </is>
      </c>
      <c r="C645" s="9" t="inlineStr">
        <is>
          <t>ILO</t>
        </is>
      </c>
      <c r="D645" s="9" t="inlineStr">
        <is>
          <t>Gender-neutral job evaluation guide</t>
        </is>
      </c>
      <c r="E645" s="63" t="n"/>
      <c r="F645" s="9" t="inlineStr">
        <is>
          <t>Analytical evaluation considers skills, effort, responsibility and working conditions.</t>
        </is>
      </c>
      <c r="G645" s="64" t="n"/>
      <c r="H645" s="63" t="n"/>
      <c r="I645" s="9" t="inlineStr">
        <is>
          <t>2009 methodology, not a validation of the proposed weights or current legal advice.</t>
        </is>
      </c>
      <c r="J645" s="64" t="n"/>
      <c r="K645" s="63" t="n"/>
      <c r="L645" s="9" t="inlineStr">
        <is>
          <t>Global</t>
        </is>
      </c>
      <c r="M645" s="9" t="inlineStr">
        <is>
          <t>https://www.ilo.org/sites/default/files/wcmsp5/groups/public/%40ed_norm/%40declaration/documents/publication/wcms_122372.pdf</t>
        </is>
      </c>
      <c r="N645" s="63" t="n"/>
    </row>
    <row r="646" ht="41" customHeight="1">
      <c r="A646" s="14" t="inlineStr">
        <is>
          <t>N28</t>
        </is>
      </c>
      <c r="B646" s="9" t="inlineStr">
        <is>
          <t>Lens 2 professional standard</t>
        </is>
      </c>
      <c r="C646" s="9" t="inlineStr">
        <is>
          <t>Chartered Governance Institute</t>
        </is>
      </c>
      <c r="D646" s="9" t="inlineStr">
        <is>
          <t>Governance competency framework</t>
        </is>
      </c>
      <c r="E646" s="63" t="n"/>
      <c r="F646" s="9" t="inlineStr">
        <is>
          <t>Governance capability develops through entry, emerging, established and expert stages.</t>
        </is>
      </c>
      <c r="G646" s="64" t="n"/>
      <c r="H646" s="63" t="n"/>
      <c r="I646" s="9" t="inlineStr">
        <is>
          <t>Competence stages are not statutory appointments or corporate grades.</t>
        </is>
      </c>
      <c r="J646" s="64" t="n"/>
      <c r="K646" s="63" t="n"/>
      <c r="L646" s="9" t="inlineStr">
        <is>
          <t>Global</t>
        </is>
      </c>
      <c r="M646" s="9" t="inlineStr">
        <is>
          <t>https://www.cgi.org.uk/qualifications-training/competency-framework/</t>
        </is>
      </c>
      <c r="N646" s="63" t="n"/>
    </row>
    <row r="647" ht="41" customHeight="1">
      <c r="A647" s="14" t="inlineStr">
        <is>
          <t>N29</t>
        </is>
      </c>
      <c r="B647" s="9" t="inlineStr">
        <is>
          <t>Lens 2 professional standard</t>
        </is>
      </c>
      <c r="C647" s="9" t="inlineStr">
        <is>
          <t>Association of Corporate Treasurers</t>
        </is>
      </c>
      <c r="D647" s="9" t="inlineStr">
        <is>
          <t>Treasury competency framework</t>
        </is>
      </c>
      <c r="E647" s="63" t="n"/>
      <c r="F647" s="9" t="inlineStr">
        <is>
          <t>Treasury has tactical, operational, managerial and strategic responsibility contexts.</t>
        </is>
      </c>
      <c r="G647" s="64" t="n"/>
      <c r="H647" s="63" t="n"/>
      <c r="I647" s="9" t="inlineStr">
        <is>
          <t>Use treasury scope; salary guidance and external level codes are excluded.</t>
        </is>
      </c>
      <c r="J647" s="64" t="n"/>
      <c r="K647" s="63" t="n"/>
      <c r="L647" s="9" t="inlineStr">
        <is>
          <t>Global</t>
        </is>
      </c>
      <c r="M647" s="9" t="inlineStr">
        <is>
          <t>https://www.treasurers.org/cpd-and-training/competency-framework/</t>
        </is>
      </c>
      <c r="N647" s="63" t="n"/>
    </row>
    <row r="648" ht="41" customHeight="1">
      <c r="A648" s="14" t="inlineStr">
        <is>
          <t>N30</t>
        </is>
      </c>
      <c r="B648" s="9" t="inlineStr">
        <is>
          <t>Lens 2 professional standard</t>
        </is>
      </c>
      <c r="C648" s="9" t="inlineStr">
        <is>
          <t>APM</t>
        </is>
      </c>
      <c r="D648" s="9" t="inlineStr">
        <is>
          <t>Competence framework</t>
        </is>
      </c>
      <c r="E648" s="63" t="n"/>
      <c r="F648" s="9" t="inlineStr">
        <is>
          <t>Separate project, programme, portfolio and PMO roles with knowledge/application criteria.</t>
        </is>
      </c>
      <c r="G648" s="64" t="n"/>
      <c r="H648" s="63" t="n"/>
      <c r="I648" s="9" t="inlineStr">
        <is>
          <t>Competency ratings are not job-size grades or a compulsory career sequence.</t>
        </is>
      </c>
      <c r="J648" s="64" t="n"/>
      <c r="K648" s="63" t="n"/>
      <c r="L648" s="9" t="inlineStr">
        <is>
          <t>Global</t>
        </is>
      </c>
      <c r="M648" s="9" t="inlineStr">
        <is>
          <t>https://www.apm.org.uk/resources/find-a-resource/competence-framework/</t>
        </is>
      </c>
      <c r="N648" s="63" t="n"/>
    </row>
    <row r="649" ht="54" customHeight="1">
      <c r="A649" s="14" t="inlineStr">
        <is>
          <t>N31</t>
        </is>
      </c>
      <c r="B649" s="9" t="inlineStr">
        <is>
          <t>Lens 2 professional standard</t>
        </is>
      </c>
      <c r="C649" s="9" t="inlineStr">
        <is>
          <t>ATD</t>
        </is>
      </c>
      <c r="D649" s="9" t="inlineStr">
        <is>
          <t>Talent Development Capability Model</t>
        </is>
      </c>
      <c r="E649" s="63" t="n"/>
      <c r="F649" s="9" t="inlineStr">
        <is>
          <t>Development capabilities cover personal, professional and organisational practice.</t>
        </is>
      </c>
      <c r="G649" s="64" t="n"/>
      <c r="H649" s="63" t="n"/>
      <c r="I649" s="9" t="inlineStr">
        <is>
          <t>Capability model guides L&amp;D role content; does not grade jobs.</t>
        </is>
      </c>
      <c r="J649" s="64" t="n"/>
      <c r="K649" s="63" t="n"/>
      <c r="L649" s="9" t="inlineStr">
        <is>
          <t>Global</t>
        </is>
      </c>
      <c r="M649" s="9" t="inlineStr">
        <is>
          <t>https://www.td.org/chapters/clc/talent-development-capability-model-chapter-resources</t>
        </is>
      </c>
      <c r="N649" s="63" t="n"/>
    </row>
    <row r="650" ht="41" customHeight="1">
      <c r="A650" s="14" t="inlineStr">
        <is>
          <t>N32</t>
        </is>
      </c>
      <c r="B650" s="9" t="inlineStr">
        <is>
          <t>Lens 2 professional standard</t>
        </is>
      </c>
      <c r="C650" s="9" t="inlineStr">
        <is>
          <t>CIPS</t>
        </is>
      </c>
      <c r="D650" s="9" t="inlineStr">
        <is>
          <t>Global Standard for procurement and supply</t>
        </is>
      </c>
      <c r="E650" s="63" t="n"/>
      <c r="F650" s="9" t="inlineStr">
        <is>
          <t>Current overview uses Delivering, Managing, Leading and Influencing bands.</t>
        </is>
      </c>
      <c r="G650" s="64" t="n"/>
      <c r="H650" s="63" t="n"/>
      <c r="I650" s="9" t="inlineStr">
        <is>
          <t>Do not carry forward an older five-band model or map qualification levels to grades.</t>
        </is>
      </c>
      <c r="J650" s="64" t="n"/>
      <c r="K650" s="63" t="n"/>
      <c r="L650" s="9" t="inlineStr">
        <is>
          <t>Global</t>
        </is>
      </c>
      <c r="M650" s="9" t="inlineStr">
        <is>
          <t>https://www.cips.org/intelligence-hub/global-standard-for-procurement-supply</t>
        </is>
      </c>
      <c r="N650" s="63" t="n"/>
    </row>
    <row r="651" ht="41" customHeight="1">
      <c r="A651" s="14" t="inlineStr">
        <is>
          <t>N33</t>
        </is>
      </c>
      <c r="B651" s="9" t="inlineStr">
        <is>
          <t>Lens 2 professional standard</t>
        </is>
      </c>
      <c r="C651" s="9" t="inlineStr">
        <is>
          <t>IIA</t>
        </is>
      </c>
      <c r="D651" s="9" t="inlineStr">
        <is>
          <t>Internal Auditing Competency Framework, 2025</t>
        </is>
      </c>
      <c r="E651" s="63" t="n"/>
      <c r="F651" s="9" t="inlineStr">
        <is>
          <t>Updated guidance identifies audit knowledge, skills and proficiency expectations.</t>
        </is>
      </c>
      <c r="G651" s="64" t="n"/>
      <c r="H651" s="63" t="n"/>
      <c r="I651" s="9" t="inlineStr">
        <is>
          <t>Overview only; detailed member templates not inspected.</t>
        </is>
      </c>
      <c r="J651" s="64" t="n"/>
      <c r="K651" s="63" t="n"/>
      <c r="L651" s="9" t="inlineStr">
        <is>
          <t>Global</t>
        </is>
      </c>
      <c r="M651" s="9" t="inlineStr">
        <is>
          <t>https://www.theiia.org/en/content/guidance/global/competency-framework/</t>
        </is>
      </c>
      <c r="N651" s="63" t="n"/>
    </row>
    <row r="652" ht="80" customHeight="1">
      <c r="A652" s="14" t="inlineStr">
        <is>
          <t>N34</t>
        </is>
      </c>
      <c r="B652" s="9" t="inlineStr">
        <is>
          <t>Lens 2 professional standard</t>
        </is>
      </c>
      <c r="C652" s="9" t="inlineStr">
        <is>
          <t>ACCA</t>
        </is>
      </c>
      <c r="D652" s="9" t="inlineStr">
        <is>
          <t>Career Navigator capability model</t>
        </is>
      </c>
      <c r="E652" s="63" t="n"/>
      <c r="F652" s="9" t="inlineStr">
        <is>
          <t>Role requirements combine technical and wider business capabilities across finance careers.</t>
        </is>
      </c>
      <c r="G652" s="64" t="n"/>
      <c r="H652" s="63" t="n"/>
      <c r="I652" s="9" t="inlineStr">
        <is>
          <t>Qualification completion is not automatic corporate seniority.</t>
        </is>
      </c>
      <c r="J652" s="64" t="n"/>
      <c r="K652" s="63" t="n"/>
      <c r="L652" s="9" t="inlineStr">
        <is>
          <t>Global</t>
        </is>
      </c>
      <c r="M652" s="9" t="inlineStr">
        <is>
          <t>https://www.accaglobal.com/gb/en/employer/train-and-develop-finance-talent/what-skills-and-competencies-does-the-acca-qualification-develop.html</t>
        </is>
      </c>
      <c r="N652" s="63" t="n"/>
    </row>
    <row r="653" ht="41" customHeight="1">
      <c r="A653" s="14" t="inlineStr">
        <is>
          <t>N35</t>
        </is>
      </c>
      <c r="B653" s="9" t="inlineStr">
        <is>
          <t>Lens 2 other sector</t>
        </is>
      </c>
      <c r="C653" s="9" t="inlineStr">
        <is>
          <t>Skills England</t>
        </is>
      </c>
      <c r="D653" s="9" t="inlineStr">
        <is>
          <t>Sales executive occupational standard</t>
        </is>
      </c>
      <c r="E653" s="63" t="n"/>
      <c r="F653" s="9" t="inlineStr">
        <is>
          <t>Sales work includes needs analysis, end-to-end selling and growing accounts.</t>
        </is>
      </c>
      <c r="G653" s="64" t="n"/>
      <c r="H653" s="63" t="n"/>
      <c r="I653" s="9" t="inlineStr">
        <is>
          <t>Apprenticeship level is educational and must not become a job grade.</t>
        </is>
      </c>
      <c r="J653" s="64" t="n"/>
      <c r="K653" s="63" t="n"/>
      <c r="L653" s="9" t="inlineStr">
        <is>
          <t>UK</t>
        </is>
      </c>
      <c r="M653" s="9" t="inlineStr">
        <is>
          <t>https://skillsengland.education.gov.uk/apprenticeship-standards/st0572-v1-1</t>
        </is>
      </c>
      <c r="N653" s="63" t="n"/>
    </row>
    <row r="654" ht="41" customHeight="1">
      <c r="A654" s="14" t="inlineStr">
        <is>
          <t>N36</t>
        </is>
      </c>
      <c r="B654" s="9" t="inlineStr">
        <is>
          <t>Lens 2 professional standard</t>
        </is>
      </c>
      <c r="C654" s="9" t="inlineStr">
        <is>
          <t>IIA</t>
        </is>
      </c>
      <c r="D654" s="9" t="inlineStr">
        <is>
          <t>Global Internal Audit Standards</t>
        </is>
      </c>
      <c r="E654" s="63" t="n"/>
      <c r="F654" s="9" t="inlineStr">
        <is>
          <t>Professional standards address the effective governance and practice of internal audit.</t>
        </is>
      </c>
      <c r="G654" s="64" t="n"/>
      <c r="H654" s="63" t="n"/>
      <c r="I654" s="9" t="inlineStr">
        <is>
          <t>A role taxonomy must preserve audit independence; it is not a reporting-line mandate for every firm.</t>
        </is>
      </c>
      <c r="J654" s="64" t="n"/>
      <c r="K654" s="63" t="n"/>
      <c r="L654" s="9" t="inlineStr">
        <is>
          <t>Global</t>
        </is>
      </c>
      <c r="M654" s="9" t="inlineStr">
        <is>
          <t>https://www.theiia.org/en/standards/</t>
        </is>
      </c>
      <c r="N654" s="63" t="n"/>
    </row>
    <row r="655" ht="54" customHeight="1">
      <c r="A655" s="14" t="inlineStr">
        <is>
          <t>R03</t>
        </is>
      </c>
      <c r="B655" s="9" t="inlineStr">
        <is>
          <t>Lens 1</t>
        </is>
      </c>
      <c r="C655" s="9" t="inlineStr">
        <is>
          <t>DataTracks</t>
        </is>
      </c>
      <c r="D655" s="9" t="inlineStr">
        <is>
          <t>Published career openings</t>
        </is>
      </c>
      <c r="E655" s="63" t="n"/>
      <c r="F655" s="9" t="inlineStr">
        <is>
          <t>Associate Document Specialist, Senior Associate Document Specialist and Business Development Executive are published in Chennai.</t>
        </is>
      </c>
      <c r="G655" s="64" t="n"/>
      <c r="H655" s="63" t="n"/>
      <c r="I655" s="9" t="inlineStr">
        <is>
          <t>Observable role titles only. No complete manager-to-executive ladder is published on this page.</t>
        </is>
      </c>
      <c r="J655" s="64" t="n"/>
      <c r="K655" s="63" t="n"/>
      <c r="L655" s="9" t="inlineStr">
        <is>
          <t>India</t>
        </is>
      </c>
      <c r="M655" s="9" t="inlineStr">
        <is>
          <t>https://datatracks.com/careers/</t>
        </is>
      </c>
      <c r="N655" s="63" t="n"/>
    </row>
    <row r="656" ht="54" customHeight="1">
      <c r="A656" s="14" t="inlineStr">
        <is>
          <t>R05</t>
        </is>
      </c>
      <c r="B656" s="9" t="inlineStr">
        <is>
          <t>Lens 1</t>
        </is>
      </c>
      <c r="C656" s="9" t="inlineStr">
        <is>
          <t>Regnology</t>
        </is>
      </c>
      <c r="D656" s="9" t="inlineStr">
        <is>
          <t>Senior risk consultant</t>
        </is>
      </c>
      <c r="E656" s="63" t="n"/>
      <c r="F656" s="9" t="inlineStr">
        <is>
          <t>A senior risk consultant is described as a domain expert delivering functional financial-institution implementations.</t>
        </is>
      </c>
      <c r="G656" s="64" t="n"/>
      <c r="H656" s="63" t="n"/>
      <c r="I656" s="9" t="inlineStr">
        <is>
          <t>Risk implementation example from Poland; adjacent to XBRL advisory, not identical. No employer grade equivalence.</t>
        </is>
      </c>
      <c r="J656" s="64" t="n"/>
      <c r="K656" s="63" t="n"/>
      <c r="L656" s="9" t="inlineStr">
        <is>
          <t>Global</t>
        </is>
      </c>
      <c r="M656" s="9" t="inlineStr">
        <is>
          <t>https://regnology.jobs.personio.de/job/2645750?language=en</t>
        </is>
      </c>
      <c r="N656" s="63" t="n"/>
    </row>
    <row r="657" ht="54" customHeight="1">
      <c r="A657" s="14" t="inlineStr">
        <is>
          <t>R06</t>
        </is>
      </c>
      <c r="B657" s="9" t="inlineStr">
        <is>
          <t>Lens 1</t>
        </is>
      </c>
      <c r="C657" s="9" t="inlineStr">
        <is>
          <t>Workiva</t>
        </is>
      </c>
      <c r="D657" s="9" t="inlineStr">
        <is>
          <t>Staff data engineer</t>
        </is>
      </c>
      <c r="E657" s="63" t="n"/>
      <c r="F657" s="9" t="inlineStr">
        <is>
          <t>The posting assigns ownership of data foundations across GRC engineering.</t>
        </is>
      </c>
      <c r="G657" s="64" t="n"/>
      <c r="H657" s="63" t="n"/>
      <c r="I657" s="9" t="inlineStr">
        <is>
          <t>Same requisition has inconsistent indexed text across locale URLs. Use the data-specific canonical extract; title and full grade remain uncertain.</t>
        </is>
      </c>
      <c r="J657" s="64" t="n"/>
      <c r="K657" s="63" t="n"/>
      <c r="L657" s="9" t="inlineStr">
        <is>
          <t>USA</t>
        </is>
      </c>
      <c r="M657" s="9" t="inlineStr">
        <is>
          <t>https://workiva.wd503.myworkdayjobs.com/careers/job/Staff-Data-Engineer_R12046</t>
        </is>
      </c>
      <c r="N657" s="63" t="n"/>
    </row>
    <row r="658" ht="67" customHeight="1">
      <c r="A658" s="14" t="inlineStr">
        <is>
          <t>R08</t>
        </is>
      </c>
      <c r="B658" s="9" t="inlineStr">
        <is>
          <t>Lens 1</t>
        </is>
      </c>
      <c r="C658" s="9" t="inlineStr">
        <is>
          <t>Workiva</t>
        </is>
      </c>
      <c r="D658" s="9" t="inlineStr">
        <is>
          <t>Vice president product marketing</t>
        </is>
      </c>
      <c r="E658" s="63" t="n"/>
      <c r="F658" s="9" t="inlineStr">
        <is>
          <t>The position leads portfolio positioning, go-to-market strategy and a large product-marketing team.</t>
        </is>
      </c>
      <c r="G658" s="64" t="n"/>
      <c r="H658" s="63" t="n"/>
      <c r="I658" s="9" t="inlineStr">
        <is>
          <t>Supports functional executive scope. Does not mean every marketing speciality needs a VP.</t>
        </is>
      </c>
      <c r="J658" s="64" t="n"/>
      <c r="K658" s="63" t="n"/>
      <c r="L658" s="9" t="inlineStr">
        <is>
          <t>USA</t>
        </is>
      </c>
      <c r="M658" s="9" t="inlineStr">
        <is>
          <t>https://workiva.wd503.myworkdayjobs.com/careers/job/usa---remote/vice-president-of-product-marketing_r12408</t>
        </is>
      </c>
      <c r="N658" s="63" t="n"/>
    </row>
    <row r="659" ht="67" customHeight="1">
      <c r="A659" s="14" t="inlineStr">
        <is>
          <t>R09</t>
        </is>
      </c>
      <c r="B659" s="9" t="inlineStr">
        <is>
          <t>Lens 1</t>
        </is>
      </c>
      <c r="C659" s="9" t="inlineStr">
        <is>
          <t>Workiva</t>
        </is>
      </c>
      <c r="D659" s="9" t="inlineStr">
        <is>
          <t>Lead program manager</t>
        </is>
      </c>
      <c r="E659" s="63" t="n"/>
      <c r="F659" s="9" t="inlineStr">
        <is>
          <t>The role coordinates complex cross-functional revenue programs, dependencies, adoption and outcomes.</t>
        </is>
      </c>
      <c r="G659" s="64" t="n"/>
      <c r="H659" s="63" t="n"/>
      <c r="I659" s="9" t="inlineStr">
        <is>
          <t>Program leadership can operate through influence without formal reporting authority.</t>
        </is>
      </c>
      <c r="J659" s="64" t="n"/>
      <c r="K659" s="63" t="n"/>
      <c r="L659" s="9" t="inlineStr">
        <is>
          <t>USA</t>
        </is>
      </c>
      <c r="M659" s="9" t="inlineStr">
        <is>
          <t>https://workiva.wd503.myworkdayjobs.com/careers/job/USA---Remote/Lead-Program-Manager---GTM-Acceleration_R11909</t>
        </is>
      </c>
      <c r="N659" s="63" t="n"/>
    </row>
    <row r="660" ht="54" customHeight="1">
      <c r="A660" s="14" t="inlineStr">
        <is>
          <t>R10</t>
        </is>
      </c>
      <c r="B660" s="9" t="inlineStr">
        <is>
          <t>Lens 1</t>
        </is>
      </c>
      <c r="C660" s="9" t="inlineStr">
        <is>
          <t>Workiva</t>
        </is>
      </c>
      <c r="D660" s="9" t="inlineStr">
        <is>
          <t>Lead data product manager</t>
        </is>
      </c>
      <c r="E660" s="63" t="n"/>
      <c r="F660" s="9" t="inlineStr">
        <is>
          <t>The position owns data-product requirements, quality and adoption with finance and people stakeholders.</t>
        </is>
      </c>
      <c r="G660" s="64" t="n"/>
      <c r="H660" s="63" t="n"/>
      <c r="I660" s="9" t="inlineStr">
        <is>
          <t>Product ownership is distinct from engineering or people management.</t>
        </is>
      </c>
      <c r="J660" s="64" t="n"/>
      <c r="K660" s="63" t="n"/>
      <c r="L660" s="9" t="inlineStr">
        <is>
          <t>USA</t>
        </is>
      </c>
      <c r="M660" s="9" t="inlineStr">
        <is>
          <t>https://workiva.wd503.myworkdayjobs.com/en-US/careers/job/Lead-Data-Product-Manager_R12042</t>
        </is>
      </c>
      <c r="N660" s="63" t="n"/>
    </row>
    <row r="661" ht="41" customHeight="1">
      <c r="A661" s="14" t="inlineStr">
        <is>
          <t>R13</t>
        </is>
      </c>
      <c r="B661" s="9" t="inlineStr">
        <is>
          <t>Lens 1</t>
        </is>
      </c>
      <c r="C661" s="9" t="inlineStr">
        <is>
          <t>CoreFiling</t>
        </is>
      </c>
      <c r="D661" s="9" t="inlineStr">
        <is>
          <t>Careers and technical context</t>
        </is>
      </c>
      <c r="E661" s="63" t="n"/>
      <c r="F661" s="9" t="inlineStr">
        <is>
          <t>Careers content links regulatory-domain expertise with Java, microservices, Kubernetes, training and rotations.</t>
        </is>
      </c>
      <c r="G661" s="64" t="n"/>
      <c r="H661" s="63" t="n"/>
      <c r="I661" s="9" t="inlineStr">
        <is>
          <t>Describes development practice but does not publish a full level hierarchy.</t>
        </is>
      </c>
      <c r="J661" s="64" t="n"/>
      <c r="K661" s="63" t="n"/>
      <c r="L661" s="9" t="inlineStr">
        <is>
          <t>Global</t>
        </is>
      </c>
      <c r="M661" s="9" t="inlineStr">
        <is>
          <t>https://www.corefiling.com/company/careers/</t>
        </is>
      </c>
      <c r="N661" s="63" t="n"/>
    </row>
    <row r="662" ht="41" customHeight="1">
      <c r="A662" s="14" t="inlineStr">
        <is>
          <t>R16</t>
        </is>
      </c>
      <c r="B662" s="9" t="inlineStr">
        <is>
          <t>Lens 1 adjacent</t>
        </is>
      </c>
      <c r="C662" s="9" t="inlineStr">
        <is>
          <t>S&amp;P Global</t>
        </is>
      </c>
      <c r="D662" s="9" t="inlineStr">
        <is>
          <t>Lead data analyst</t>
        </is>
      </c>
      <c r="E662" s="63" t="n"/>
      <c r="F662" s="9" t="inlineStr">
        <is>
          <t>The listed duties include financial-data sourcing, validation, reconciliation and escalation within SOPs.</t>
        </is>
      </c>
      <c r="G662" s="64" t="n"/>
      <c r="H662" s="63" t="n"/>
      <c r="I662" s="9" t="inlineStr">
        <is>
          <t>Lead title coexists with bounded operating duties. Title alone cannot size the role; direct fetch returned 403.</t>
        </is>
      </c>
      <c r="J662" s="64" t="n"/>
      <c r="K662" s="63" t="n"/>
      <c r="L662" s="9" t="inlineStr">
        <is>
          <t>India</t>
        </is>
      </c>
      <c r="M662" s="9" t="inlineStr">
        <is>
          <t>https://careers.spglobal.com/jobs/330702?lang=en-us</t>
        </is>
      </c>
      <c r="N662" s="63" t="n"/>
    </row>
    <row r="663" ht="41" customHeight="1">
      <c r="A663" s="14" t="inlineStr">
        <is>
          <t>R19</t>
        </is>
      </c>
      <c r="B663" s="9" t="inlineStr">
        <is>
          <t>Lens 1 adjacent</t>
        </is>
      </c>
      <c r="C663" s="9" t="inlineStr">
        <is>
          <t>SAP</t>
        </is>
      </c>
      <c r="D663" s="9" t="inlineStr">
        <is>
          <t>Legal counsel</t>
        </is>
      </c>
      <c r="E663" s="63" t="n"/>
      <c r="F663" s="9" t="inlineStr">
        <is>
          <t>Bangalore counsel role covers independent privacy/AI legal advice, documentation and risk ownership.</t>
        </is>
      </c>
      <c r="G663" s="64" t="n"/>
      <c r="H663" s="63" t="n"/>
      <c r="I663" s="9" t="inlineStr">
        <is>
          <t>Privacy counsel is a legal sub-specialism, not company-secretarial work or the full commercial legal hierarchy.</t>
        </is>
      </c>
      <c r="J663" s="64" t="n"/>
      <c r="K663" s="63" t="n"/>
      <c r="L663" s="9" t="inlineStr">
        <is>
          <t>India</t>
        </is>
      </c>
      <c r="M663" s="9" t="inlineStr">
        <is>
          <t>https://jobs.sap.com/en/jobs/744000153442007/legal-counsel/</t>
        </is>
      </c>
      <c r="N663" s="63" t="n"/>
    </row>
    <row r="664" ht="80" customHeight="1">
      <c r="A664" s="14" t="inlineStr">
        <is>
          <t>R20</t>
        </is>
      </c>
      <c r="B664" s="9" t="inlineStr">
        <is>
          <t>Lens 1 adjacent</t>
        </is>
      </c>
      <c r="C664" s="9" t="inlineStr">
        <is>
          <t>Thomson Reuters</t>
        </is>
      </c>
      <c r="D664" s="9" t="inlineStr">
        <is>
          <t>Senior accountant</t>
        </is>
      </c>
      <c r="E664" s="63" t="n"/>
      <c r="F664" s="9" t="inlineStr">
        <is>
          <t>An India posting provides senior-accountant nomenclature in an information-services employer.</t>
        </is>
      </c>
      <c r="G664" s="64" t="n"/>
      <c r="H664" s="63" t="n"/>
      <c r="I664" s="9" t="inlineStr">
        <is>
          <t>Adjacent sector example and selected accounting scope, not a universal finance level.</t>
        </is>
      </c>
      <c r="J664" s="64" t="n"/>
      <c r="K664" s="63" t="n"/>
      <c r="L664" s="9" t="inlineStr">
        <is>
          <t>India</t>
        </is>
      </c>
      <c r="M664" s="9" t="inlineStr">
        <is>
          <t>https://thomsonreuters.wd5.myworkdayjobs.com/en-US/External_Career_Site/job/Senior-Accountant---Fixed-Asset---Project-Accounting_JREQ200356</t>
        </is>
      </c>
      <c r="N664" s="63" t="n"/>
    </row>
    <row r="665" ht="41" customHeight="1">
      <c r="A665" s="14" t="inlineStr">
        <is>
          <t>R21</t>
        </is>
      </c>
      <c r="B665" s="9" t="inlineStr">
        <is>
          <t>Lens 2</t>
        </is>
      </c>
      <c r="C665" s="9" t="inlineStr">
        <is>
          <t>GitLab</t>
        </is>
      </c>
      <c r="D665" s="9" t="inlineStr">
        <is>
          <t>Organizational structure</t>
        </is>
      </c>
      <c r="E665" s="63" t="n"/>
      <c r="F665" s="9" t="inlineStr">
        <is>
          <t>Public structure material separates IC and manager frameworks and links progression to business need and scope.</t>
        </is>
      </c>
      <c r="G665" s="64" t="n"/>
      <c r="H665" s="63" t="n"/>
      <c r="I665" s="9" t="inlineStr">
        <is>
          <t>Use the design principles; do not copy GitLab grades or spans automatically.</t>
        </is>
      </c>
      <c r="J665" s="64" t="n"/>
      <c r="K665" s="63" t="n"/>
      <c r="L665" s="9" t="inlineStr">
        <is>
          <t>Global</t>
        </is>
      </c>
      <c r="M665" s="9" t="inlineStr">
        <is>
          <t>https://handbook.gitlab.com/handbook/company/structure/</t>
        </is>
      </c>
      <c r="N665" s="63" t="n"/>
    </row>
    <row r="666" ht="54" customHeight="1">
      <c r="A666" s="14" t="inlineStr">
        <is>
          <t>R24</t>
        </is>
      </c>
      <c r="B666" s="9" t="inlineStr">
        <is>
          <t>Lens 2</t>
        </is>
      </c>
      <c r="C666" s="9" t="inlineStr">
        <is>
          <t>GitLab</t>
        </is>
      </c>
      <c r="D666" s="9" t="inlineStr">
        <is>
          <t>Product design</t>
        </is>
      </c>
      <c r="E666" s="63" t="n"/>
      <c r="F666" s="9" t="inlineStr">
        <is>
          <t>Staff, principal and distinguished design roles broaden influence from a group to company-level direction.</t>
        </is>
      </c>
      <c r="G666" s="64" t="n"/>
      <c r="H666" s="63" t="n"/>
      <c r="I666" s="9" t="inlineStr">
        <is>
          <t>Provides an expert path, not a requirement for every design team to create those positions.</t>
        </is>
      </c>
      <c r="J666" s="64" t="n"/>
      <c r="K666" s="63" t="n"/>
      <c r="L666" s="9" t="inlineStr">
        <is>
          <t>Global</t>
        </is>
      </c>
      <c r="M666" s="9" t="inlineStr">
        <is>
          <t>https://handbook.gitlab.com/job-description-library/product/product-designer/</t>
        </is>
      </c>
      <c r="N666" s="63" t="n"/>
    </row>
    <row r="667" ht="54" customHeight="1">
      <c r="A667" s="14" t="inlineStr">
        <is>
          <t>R26</t>
        </is>
      </c>
      <c r="B667" s="9" t="inlineStr">
        <is>
          <t>Lens 2</t>
        </is>
      </c>
      <c r="C667" s="9" t="inlineStr">
        <is>
          <t>GitLab</t>
        </is>
      </c>
      <c r="D667" s="9" t="inlineStr">
        <is>
          <t>Solutions architect</t>
        </is>
      </c>
      <c r="E667" s="63" t="n"/>
      <c r="F667" s="9" t="inlineStr">
        <is>
          <t>The role supports technical evaluation, solution validation and customer business value; an associate level is published.</t>
        </is>
      </c>
      <c r="G667" s="64" t="n"/>
      <c r="H667" s="63" t="n"/>
      <c r="I667" s="9" t="inlineStr">
        <is>
          <t>Sales solutions architecture is distinct from internal platform architecture.</t>
        </is>
      </c>
      <c r="J667" s="64" t="n"/>
      <c r="K667" s="63" t="n"/>
      <c r="L667" s="9" t="inlineStr">
        <is>
          <t>Global</t>
        </is>
      </c>
      <c r="M667" s="9" t="inlineStr">
        <is>
          <t>https://handbook.gitlab.com/job-description-library/sales/solutions-architect/</t>
        </is>
      </c>
      <c r="N667" s="63" t="n"/>
    </row>
    <row r="668" ht="54" customHeight="1">
      <c r="A668" s="14" t="inlineStr">
        <is>
          <t>R27</t>
        </is>
      </c>
      <c r="B668" s="9" t="inlineStr">
        <is>
          <t>Lens 2</t>
        </is>
      </c>
      <c r="C668" s="9" t="inlineStr">
        <is>
          <t>GitLab</t>
        </is>
      </c>
      <c r="D668" s="9" t="inlineStr">
        <is>
          <t>Support engineer</t>
        </is>
      </c>
      <c r="E668" s="63" t="n"/>
      <c r="F668" s="9" t="inlineStr">
        <is>
          <t>The role handles product problems through customer tickets; associate and other support-engineering levels are documented.</t>
        </is>
      </c>
      <c r="G668" s="64" t="n"/>
      <c r="H668" s="63" t="n"/>
      <c r="I668" s="9" t="inlineStr">
        <is>
          <t>Do not treat customer support as the same discipline as IT service desk.</t>
        </is>
      </c>
      <c r="J668" s="64" t="n"/>
      <c r="K668" s="63" t="n"/>
      <c r="L668" s="9" t="inlineStr">
        <is>
          <t>Global</t>
        </is>
      </c>
      <c r="M668" s="9" t="inlineStr">
        <is>
          <t>https://handbook.gitlab.com/job-description-library/engineering/support-engineer/</t>
        </is>
      </c>
      <c r="N668" s="63" t="n"/>
    </row>
    <row r="669" ht="54" customHeight="1">
      <c r="A669" s="14" t="inlineStr">
        <is>
          <t>R32</t>
        </is>
      </c>
      <c r="B669" s="9" t="inlineStr">
        <is>
          <t>Lens 2</t>
        </is>
      </c>
      <c r="C669" s="9" t="inlineStr">
        <is>
          <t>GitLab</t>
        </is>
      </c>
      <c r="D669" s="9" t="inlineStr">
        <is>
          <t>Legal counsel</t>
        </is>
      </c>
      <c r="E669" s="63" t="n"/>
      <c r="F669" s="9" t="inlineStr">
        <is>
          <t>Associate and counsel responsibilities are published; the page explicitly leaves the next career step undefined.</t>
        </is>
      </c>
      <c r="G669" s="64" t="n"/>
      <c r="H669" s="63" t="n"/>
      <c r="I669" s="9" t="inlineStr">
        <is>
          <t>Higher legal roles in the proposal are synthesized, not represented as GitLab's published full ladder.</t>
        </is>
      </c>
      <c r="J669" s="64" t="n"/>
      <c r="K669" s="63" t="n"/>
      <c r="L669" s="9" t="inlineStr">
        <is>
          <t>Global</t>
        </is>
      </c>
      <c r="M669" s="9" t="inlineStr">
        <is>
          <t>https://handbook.gitlab.com/job-description-library/legal-and-corporate-affairs/legal-counsel/</t>
        </is>
      </c>
      <c r="N669" s="63" t="n"/>
    </row>
    <row r="670" ht="67" customHeight="1">
      <c r="A670" s="14" t="inlineStr">
        <is>
          <t>R33</t>
        </is>
      </c>
      <c r="B670" s="9" t="inlineStr">
        <is>
          <t>Lens 2</t>
        </is>
      </c>
      <c r="C670" s="9" t="inlineStr">
        <is>
          <t>Whatfix</t>
        </is>
      </c>
      <c r="D670" s="9" t="inlineStr">
        <is>
          <t>Sales development framework</t>
        </is>
      </c>
      <c r="E670" s="63" t="n"/>
      <c r="F670" s="9" t="inlineStr">
        <is>
          <t>The published framework distinguishes descriptive title, scope and competency expectations for sales development.</t>
        </is>
      </c>
      <c r="G670" s="64" t="n"/>
      <c r="H670" s="63" t="n"/>
      <c r="I670" s="9" t="inlineStr">
        <is>
          <t>Version history is 2023–2024. It is a dated India SaaS practice example, not current internal policy.</t>
        </is>
      </c>
      <c r="J670" s="64" t="n"/>
      <c r="K670" s="63" t="n"/>
      <c r="L670" s="9" t="inlineStr">
        <is>
          <t>Global</t>
        </is>
      </c>
      <c r="M670" s="9" t="inlineStr">
        <is>
          <t>https://whatfix.com/wp-content/uploads/2024/06/sales_development_team_-_career___competency_framework.pdf</t>
        </is>
      </c>
      <c r="N670" s="63" t="n"/>
    </row>
    <row r="671" ht="41" customHeight="1">
      <c r="A671" s="14" t="inlineStr">
        <is>
          <t>R35</t>
        </is>
      </c>
      <c r="B671" s="9" t="inlineStr">
        <is>
          <t>Professional overlay</t>
        </is>
      </c>
      <c r="C671" s="9" t="inlineStr">
        <is>
          <t>SFIA Foundation</t>
        </is>
      </c>
      <c r="D671" s="9" t="inlineStr">
        <is>
          <t>SFIA 9 responsibility levels</t>
        </is>
      </c>
      <c r="E671" s="63" t="n"/>
      <c r="F671" s="9" t="inlineStr">
        <is>
          <t>Seven responsibility levels distinguish autonomy, influence, complexity and broader accountability.</t>
        </is>
      </c>
      <c r="G671" s="64" t="n"/>
      <c r="H671" s="63" t="n"/>
      <c r="I671" s="9" t="inlineStr">
        <is>
          <t>SFIA levels are skills/responsibility anchors, not salary grades or this model's 13 levels.</t>
        </is>
      </c>
      <c r="J671" s="64" t="n"/>
      <c r="K671" s="63" t="n"/>
      <c r="L671" s="9" t="inlineStr">
        <is>
          <t>Global</t>
        </is>
      </c>
      <c r="M671" s="9" t="inlineStr">
        <is>
          <t>https://sfia-online.org/en/sfia-9/responsibilities</t>
        </is>
      </c>
      <c r="N671" s="63" t="n"/>
    </row>
    <row r="672" ht="54" customHeight="1">
      <c r="A672" s="14" t="inlineStr">
        <is>
          <t>R36</t>
        </is>
      </c>
      <c r="B672" s="9" t="inlineStr">
        <is>
          <t>Professional overlay</t>
        </is>
      </c>
      <c r="C672" s="9" t="inlineStr">
        <is>
          <t>CIPD</t>
        </is>
      </c>
      <c r="D672" s="9" t="inlineStr">
        <is>
          <t>Profession map impact levels</t>
        </is>
      </c>
      <c r="E672" s="63" t="n"/>
      <c r="F672" s="9" t="inlineStr">
        <is>
          <t>The four impact levels move from tactical work through operational complexity to strategic and sustained value.</t>
        </is>
      </c>
      <c r="G672" s="64" t="n"/>
      <c r="H672" s="63" t="n"/>
      <c r="I672" s="9" t="inlineStr">
        <is>
          <t>Membership designations and impact levels are not corporate job titles.</t>
        </is>
      </c>
      <c r="J672" s="64" t="n"/>
      <c r="K672" s="63" t="n"/>
      <c r="L672" s="9" t="inlineStr">
        <is>
          <t>Global</t>
        </is>
      </c>
      <c r="M672" s="9" t="inlineStr">
        <is>
          <t>https://www.cipd.org/en/the-people-profession/the-profession-map/explore-the-profession-map/levels/</t>
        </is>
      </c>
      <c r="N672" s="63" t="n"/>
    </row>
    <row r="673" ht="54" customHeight="1">
      <c r="A673" s="14" t="inlineStr">
        <is>
          <t>R40</t>
        </is>
      </c>
      <c r="B673" s="9" t="inlineStr">
        <is>
          <t>Professional overlay</t>
        </is>
      </c>
      <c r="C673" s="9" t="inlineStr">
        <is>
          <t>CIM</t>
        </is>
      </c>
      <c r="D673" s="9" t="inlineStr">
        <is>
          <t>Global professional marketing framework</t>
        </is>
      </c>
      <c r="E673" s="63" t="n"/>
      <c r="F673" s="9" t="inlineStr">
        <is>
          <t>The framework differentiates marketing capabilities and five competency stages from aware to expert.</t>
        </is>
      </c>
      <c r="G673" s="64" t="n"/>
      <c r="H673" s="63" t="n"/>
      <c r="I673" s="9" t="inlineStr">
        <is>
          <t>Use concepts and attribution; this proposal does not reproduce or modify the licensed framework.</t>
        </is>
      </c>
      <c r="J673" s="64" t="n"/>
      <c r="K673" s="63" t="n"/>
      <c r="L673" s="9" t="inlineStr">
        <is>
          <t>Global</t>
        </is>
      </c>
      <c r="M673" s="9" t="inlineStr">
        <is>
          <t>https://www.cim.co.uk/membership/cim-standards/global-professional-marketing-framework-gpmf/</t>
        </is>
      </c>
      <c r="N673" s="63" t="n"/>
    </row>
    <row r="674" ht="41" customHeight="1">
      <c r="A674" s="14" t="inlineStr">
        <is>
          <t>R42</t>
        </is>
      </c>
      <c r="B674" s="9" t="inlineStr">
        <is>
          <t>Professional overlay</t>
        </is>
      </c>
      <c r="C674" s="9" t="inlineStr">
        <is>
          <t>XBRL International</t>
        </is>
      </c>
      <c r="D674" s="9" t="inlineStr">
        <is>
          <t>Taxonomy quick start guide</t>
        </is>
      </c>
      <c r="E674" s="63" t="n"/>
      <c r="F674" s="9" t="inlineStr">
        <is>
          <t>Taxonomy development involves content, architecture, testing, documentation and lifecycle governance.</t>
        </is>
      </c>
      <c r="G674" s="64" t="n"/>
      <c r="H674" s="63" t="n"/>
      <c r="I674" s="9" t="inlineStr">
        <is>
          <t>The page labels the guide a review draft published in 2023. Role design uses its technical process concepts.</t>
        </is>
      </c>
      <c r="J674" s="64" t="n"/>
      <c r="K674" s="63" t="n"/>
      <c r="L674" s="9" t="inlineStr">
        <is>
          <t>Global</t>
        </is>
      </c>
      <c r="M674" s="9" t="inlineStr">
        <is>
          <t>https://www.xbrl.org/guidance/taxonomy-quick-start-guide/</t>
        </is>
      </c>
      <c r="N674" s="63" t="n"/>
    </row>
    <row r="675" ht="41" customHeight="1">
      <c r="A675" s="14" t="inlineStr">
        <is>
          <t>R44</t>
        </is>
      </c>
      <c r="B675" s="9" t="inlineStr">
        <is>
          <t>Professional overlay</t>
        </is>
      </c>
      <c r="C675" s="9" t="inlineStr">
        <is>
          <t>IFMA</t>
        </is>
      </c>
      <c r="D675" s="9" t="inlineStr">
        <is>
          <t>Facility management competencies</t>
        </is>
      </c>
      <c r="E675" s="63" t="n"/>
      <c r="F675" s="9" t="inlineStr">
        <is>
          <t>Facility management integrates people, places and processes and spans several competence domains.</t>
        </is>
      </c>
      <c r="G675" s="64" t="n"/>
      <c r="H675" s="63" t="n"/>
      <c r="I675" s="9" t="inlineStr">
        <is>
          <t>Facilities and workplace roles have broader scope than general office administration.</t>
        </is>
      </c>
      <c r="J675" s="64" t="n"/>
      <c r="K675" s="63" t="n"/>
      <c r="L675" s="9" t="inlineStr">
        <is>
          <t>Global</t>
        </is>
      </c>
      <c r="M675" s="9" t="inlineStr">
        <is>
          <t>https://www.ifma.org/about/what-is-fm/</t>
        </is>
      </c>
      <c r="N675" s="63" t="n"/>
    </row>
    <row r="676" ht="54" customHeight="1">
      <c r="A676" s="14" t="inlineStr">
        <is>
          <t>R49</t>
        </is>
      </c>
      <c r="B676" s="9" t="inlineStr">
        <is>
          <t>Lens 2 other</t>
        </is>
      </c>
      <c r="C676" s="9" t="inlineStr">
        <is>
          <t>UK Government</t>
        </is>
      </c>
      <c r="D676" s="9" t="inlineStr">
        <is>
          <t>Business analyst role levels</t>
        </is>
      </c>
      <c r="E676" s="63" t="n"/>
      <c r="F676" s="9" t="inlineStr">
        <is>
          <t>The current public framework identifies trainee, junior, practitioner, senior, lead and head roles.</t>
        </is>
      </c>
      <c r="G676" s="64" t="n"/>
      <c r="H676" s="63" t="n"/>
      <c r="I676" s="9" t="inlineStr">
        <is>
          <t>Updated August 2026. Civil Service grades are not private-sector corporate levels.</t>
        </is>
      </c>
      <c r="J676" s="64" t="n"/>
      <c r="K676" s="63" t="n"/>
      <c r="L676" s="9" t="inlineStr">
        <is>
          <t>Global</t>
        </is>
      </c>
      <c r="M676" s="9" t="inlineStr">
        <is>
          <t>https://understand-digital-data-roles-skills.service.gov.uk/role/business-analyst/</t>
        </is>
      </c>
      <c r="N676" s="63" t="n"/>
    </row>
    <row r="677" ht="15" customHeight="1"/>
    <row r="678" ht="20" customHeight="1">
      <c r="A678" s="6" t="inlineStr">
        <is>
          <t>M17. Glossary</t>
        </is>
      </c>
    </row>
    <row r="679" ht="15" customHeight="1">
      <c r="A679" s="7" t="inlineStr">
        <is>
          <t>Term</t>
        </is>
      </c>
      <c r="B679" s="64" t="n"/>
      <c r="C679" s="63" t="n"/>
      <c r="D679" s="7" t="inlineStr">
        <is>
          <t>Meaning</t>
        </is>
      </c>
      <c r="E679" s="64" t="n"/>
      <c r="F679" s="64" t="n"/>
      <c r="G679" s="64" t="n"/>
      <c r="H679" s="64" t="n"/>
      <c r="I679" s="64" t="n"/>
      <c r="J679" s="64" t="n"/>
      <c r="K679" s="64" t="n"/>
      <c r="L679" s="64" t="n"/>
      <c r="M679" s="64" t="n"/>
      <c r="N679" s="63" t="n"/>
    </row>
    <row r="680" ht="28" customHeight="1">
      <c r="A680" s="14" t="inlineStr">
        <is>
          <t>Band</t>
        </is>
      </c>
      <c r="B680" s="64" t="n"/>
      <c r="C680" s="63" t="n"/>
      <c r="D680" s="9" t="inlineStr">
        <is>
          <r>
            <rPr>
              <rFont val="Calibri"/>
              <b val="1"/>
              <sz val="10"/>
            </rPr>
            <t>A group of levels with the same kind of contribution:</t>
          </r>
          <r>
            <rPr>
              <rFont val="Calibri"/>
              <sz val="10"/>
            </rPr>
            <t xml:space="preserve"> A Practitioner · B Specialist / Manager · C Principal / Head · D Business leadership · E Enterprise leadership · X Consultant.</t>
          </r>
        </is>
      </c>
      <c r="E680" s="64" t="n"/>
      <c r="F680" s="64" t="n"/>
      <c r="G680" s="64" t="n"/>
      <c r="H680" s="64" t="n"/>
      <c r="I680" s="64" t="n"/>
      <c r="J680" s="64" t="n"/>
      <c r="K680" s="64" t="n"/>
      <c r="L680" s="64" t="n"/>
      <c r="M680" s="64" t="n"/>
      <c r="N680" s="63" t="n"/>
    </row>
    <row r="681" ht="15" customHeight="1">
      <c r="A681" s="14" t="inlineStr">
        <is>
          <t>Level</t>
        </is>
      </c>
      <c r="B681" s="64" t="n"/>
      <c r="C681" s="63" t="n"/>
      <c r="D681" s="9" t="inlineStr">
        <is>
          <t>The size of the role on a ladder scale · A1 = 1 … E2 = 12.</t>
        </is>
      </c>
      <c r="E681" s="64" t="n"/>
      <c r="F681" s="64" t="n"/>
      <c r="G681" s="64" t="n"/>
      <c r="H681" s="64" t="n"/>
      <c r="I681" s="64" t="n"/>
      <c r="J681" s="64" t="n"/>
      <c r="K681" s="64" t="n"/>
      <c r="L681" s="64" t="n"/>
      <c r="M681" s="64" t="n"/>
      <c r="N681" s="63" t="n"/>
    </row>
    <row r="682" ht="15" customHeight="1">
      <c r="A682" s="14" t="inlineStr">
        <is>
          <t>Job family / sub-family</t>
        </is>
      </c>
      <c r="B682" s="64" t="n"/>
      <c r="C682" s="63" t="n"/>
      <c r="D682" s="9" t="inlineStr">
        <is>
          <t>A discipline / the actual work done inside it.</t>
        </is>
      </c>
      <c r="E682" s="64" t="n"/>
      <c r="F682" s="64" t="n"/>
      <c r="G682" s="64" t="n"/>
      <c r="H682" s="64" t="n"/>
      <c r="I682" s="64" t="n"/>
      <c r="J682" s="64" t="n"/>
      <c r="K682" s="64" t="n"/>
      <c r="L682" s="64" t="n"/>
      <c r="M682" s="64" t="n"/>
      <c r="N682" s="63" t="n"/>
    </row>
    <row r="683" ht="15" customHeight="1">
      <c r="A683" s="14" t="inlineStr">
        <is>
          <t>Type of work</t>
        </is>
      </c>
      <c r="B683" s="64" t="n"/>
      <c r="C683" s="63" t="n"/>
      <c r="D683" s="9" t="inlineStr">
        <is>
          <t>The department's dominant work profile, which selects the weight tilt.</t>
        </is>
      </c>
      <c r="E683" s="64" t="n"/>
      <c r="F683" s="64" t="n"/>
      <c r="G683" s="64" t="n"/>
      <c r="H683" s="64" t="n"/>
      <c r="I683" s="64" t="n"/>
      <c r="J683" s="64" t="n"/>
      <c r="K683" s="64" t="n"/>
      <c r="L683" s="64" t="n"/>
      <c r="M683" s="64" t="n"/>
      <c r="N683" s="63" t="n"/>
    </row>
    <row r="684" ht="15" customHeight="1">
      <c r="A684" s="14" t="inlineStr">
        <is>
          <t>Weight set</t>
        </is>
      </c>
      <c r="B684" s="64" t="n"/>
      <c r="C684" s="63" t="n"/>
      <c r="D684" s="9" t="inlineStr">
        <is>
          <t>The six factor weights for a department × role group, edited on the Weightage Matrix.</t>
        </is>
      </c>
      <c r="E684" s="64" t="n"/>
      <c r="F684" s="64" t="n"/>
      <c r="G684" s="64" t="n"/>
      <c r="H684" s="64" t="n"/>
      <c r="I684" s="64" t="n"/>
      <c r="J684" s="64" t="n"/>
      <c r="K684" s="64" t="n"/>
      <c r="L684" s="64" t="n"/>
      <c r="M684" s="64" t="n"/>
      <c r="N684" s="63" t="n"/>
    </row>
    <row r="685" ht="15" customHeight="1">
      <c r="A685" s="14" t="inlineStr">
        <is>
          <t>Rule ID</t>
        </is>
      </c>
      <c r="B685" s="64" t="n"/>
      <c r="C685" s="63" t="n"/>
      <c r="D685" s="9" t="inlineStr">
        <is>
          <t>R1–R10 placement rules, applied in order; listed for every person on sheet 2.</t>
        </is>
      </c>
      <c r="E685" s="64" t="n"/>
      <c r="F685" s="64" t="n"/>
      <c r="G685" s="64" t="n"/>
      <c r="H685" s="64" t="n"/>
      <c r="I685" s="64" t="n"/>
      <c r="J685" s="64" t="n"/>
      <c r="K685" s="64" t="n"/>
      <c r="L685" s="64" t="n"/>
      <c r="M685" s="64" t="n"/>
      <c r="N685" s="63" t="n"/>
    </row>
    <row r="686" ht="15" customHeight="1">
      <c r="A686" s="14" t="inlineStr">
        <is>
          <t>POD Lead</t>
        </is>
      </c>
      <c r="B686" s="64" t="n"/>
      <c r="C686" s="63" t="n"/>
      <c r="D686" s="9" t="inlineStr">
        <is>
          <t>An expert leading 1–3 people while staying an IC.</t>
        </is>
      </c>
      <c r="E686" s="64" t="n"/>
      <c r="F686" s="64" t="n"/>
      <c r="G686" s="64" t="n"/>
      <c r="H686" s="64" t="n"/>
      <c r="I686" s="64" t="n"/>
      <c r="J686" s="64" t="n"/>
      <c r="K686" s="64" t="n"/>
      <c r="L686" s="64" t="n"/>
      <c r="M686" s="64" t="n"/>
      <c r="N686" s="63" t="n"/>
    </row>
    <row r="687" ht="28" customHeight="1">
      <c r="A687" s="14" t="inlineStr">
        <is>
          <t>Player-Coach · B+, C+</t>
        </is>
      </c>
      <c r="B687" s="64" t="n"/>
      <c r="C687" s="63" t="n"/>
      <c r="D687" s="9" t="inlineStr">
        <is>
          <t>A Player-Coach transition step between bands for people who both play · deliver hands-on expert work and coach · lead people: B+ between B3 and C1, C+ between C2 and D1.</t>
        </is>
      </c>
      <c r="E687" s="64" t="n"/>
      <c r="F687" s="64" t="n"/>
      <c r="G687" s="64" t="n"/>
      <c r="H687" s="64" t="n"/>
      <c r="I687" s="64" t="n"/>
      <c r="J687" s="64" t="n"/>
      <c r="K687" s="64" t="n"/>
      <c r="L687" s="64" t="n"/>
      <c r="M687" s="64" t="n"/>
      <c r="N687" s="63" t="n"/>
    </row>
    <row r="688" ht="15" customHeight="1">
      <c r="A688" s="14" t="inlineStr">
        <is>
          <t>Close call</t>
        </is>
      </c>
      <c r="B688" s="64" t="n"/>
      <c r="C688" s="63" t="n"/>
      <c r="D688" s="9" t="inlineStr">
        <is>
          <t>The score decided the level and sits within ±0.05 of a rounding point — goes to calibration.</t>
        </is>
      </c>
      <c r="E688" s="64" t="n"/>
      <c r="F688" s="64" t="n"/>
      <c r="G688" s="64" t="n"/>
      <c r="H688" s="64" t="n"/>
      <c r="I688" s="64" t="n"/>
      <c r="J688" s="64" t="n"/>
      <c r="K688" s="64" t="n"/>
      <c r="L688" s="64" t="n"/>
      <c r="M688" s="64" t="n"/>
      <c r="N688" s="63" t="n"/>
    </row>
    <row r="689" ht="15" customHeight="1">
      <c r="A689" s="14" t="inlineStr">
        <is>
          <t>Near a gate</t>
        </is>
      </c>
      <c r="B689" s="64" t="n"/>
      <c r="C689" s="63" t="n"/>
      <c r="D689" s="9" t="inlineStr">
        <is>
          <t>A rule set the level, and the number behind that rule is within a quarter-point of flipping it — goes to calibration.</t>
        </is>
      </c>
      <c r="E689" s="64" t="n"/>
      <c r="F689" s="64" t="n"/>
      <c r="G689" s="64" t="n"/>
      <c r="H689" s="64" t="n"/>
      <c r="I689" s="64" t="n"/>
      <c r="J689" s="64" t="n"/>
      <c r="K689" s="64" t="n"/>
      <c r="L689" s="64" t="n"/>
      <c r="M689" s="64" t="n"/>
      <c r="N689" s="63" t="n"/>
    </row>
    <row r="690" ht="28" customHeight="1">
      <c r="A690" s="14" t="inlineStr">
        <is>
          <t>Tolerance · Player-Coach</t>
        </is>
      </c>
      <c r="B690" s="64" t="n"/>
      <c r="C690" s="63" t="n"/>
      <c r="D690" s="9" t="inlineStr">
        <is>
          <t>A shortfall of up to 0.15 on a Player-Coach threshold is accepted; a span outside the norm is flagged, never blocking. Both are confirmed in calibration.</t>
        </is>
      </c>
      <c r="E690" s="64" t="n"/>
      <c r="F690" s="64" t="n"/>
      <c r="G690" s="64" t="n"/>
      <c r="H690" s="64" t="n"/>
      <c r="I690" s="64" t="n"/>
      <c r="J690" s="64" t="n"/>
      <c r="K690" s="64" t="n"/>
      <c r="L690" s="64" t="n"/>
      <c r="M690" s="64" t="n"/>
      <c r="N690" s="63" t="n"/>
    </row>
    <row r="691" ht="15" customHeight="1">
      <c r="A691" s="14" t="inlineStr">
        <is>
          <t>Market code</t>
        </is>
      </c>
      <c r="B691" s="64" t="n"/>
      <c r="C691" s="63" t="n"/>
      <c r="D691" s="9" t="inlineStr">
        <is>
          <t>Radford / Mercer survey level used for pay benchmarking.</t>
        </is>
      </c>
      <c r="E691" s="64" t="n"/>
      <c r="F691" s="64" t="n"/>
      <c r="G691" s="64" t="n"/>
      <c r="H691" s="64" t="n"/>
      <c r="I691" s="64" t="n"/>
      <c r="J691" s="64" t="n"/>
      <c r="K691" s="64" t="n"/>
      <c r="L691" s="64" t="n"/>
      <c r="M691" s="64" t="n"/>
      <c r="N691" s="63" t="n"/>
    </row>
  </sheetData>
  <mergeCells count="1970">
    <mergeCell ref="J209:N209"/>
    <mergeCell ref="A257:B257"/>
    <mergeCell ref="D619:E619"/>
    <mergeCell ref="C313:D313"/>
    <mergeCell ref="C526:L526"/>
    <mergeCell ref="A136:C136"/>
    <mergeCell ref="C315:D315"/>
    <mergeCell ref="C528:L528"/>
    <mergeCell ref="M60:N60"/>
    <mergeCell ref="M673:N673"/>
    <mergeCell ref="G589:J589"/>
    <mergeCell ref="L271:N271"/>
    <mergeCell ref="M366:N366"/>
    <mergeCell ref="M664:N664"/>
    <mergeCell ref="A267:B267"/>
    <mergeCell ref="M658:N658"/>
    <mergeCell ref="J206:N206"/>
    <mergeCell ref="B205:C205"/>
    <mergeCell ref="A269:B269"/>
    <mergeCell ref="J386:L386"/>
    <mergeCell ref="J81:L81"/>
    <mergeCell ref="G491:H491"/>
    <mergeCell ref="L268:N268"/>
    <mergeCell ref="C237:D237"/>
    <mergeCell ref="E547:F547"/>
    <mergeCell ref="D638:E638"/>
    <mergeCell ref="F396:G396"/>
    <mergeCell ref="M50:N50"/>
    <mergeCell ref="C326:D326"/>
    <mergeCell ref="M386:N386"/>
    <mergeCell ref="J381:L381"/>
    <mergeCell ref="G522:H522"/>
    <mergeCell ref="C239:D239"/>
    <mergeCell ref="J224:N224"/>
    <mergeCell ref="F398:G398"/>
    <mergeCell ref="M394:N394"/>
    <mergeCell ref="B365:L365"/>
    <mergeCell ref="J70:L70"/>
    <mergeCell ref="B454:L454"/>
    <mergeCell ref="M387:N387"/>
    <mergeCell ref="G517:H517"/>
    <mergeCell ref="C111:F111"/>
    <mergeCell ref="B593:D593"/>
    <mergeCell ref="G519:H519"/>
    <mergeCell ref="A200:C200"/>
    <mergeCell ref="E65:L65"/>
    <mergeCell ref="B595:D595"/>
    <mergeCell ref="B356:J356"/>
    <mergeCell ref="M528:N528"/>
    <mergeCell ref="G572:J572"/>
    <mergeCell ref="M101:N101"/>
    <mergeCell ref="G574:J574"/>
    <mergeCell ref="A197:C197"/>
    <mergeCell ref="G82:I82"/>
    <mergeCell ref="G238:H238"/>
    <mergeCell ref="B613:D613"/>
    <mergeCell ref="K546:M546"/>
    <mergeCell ref="A334:B334"/>
    <mergeCell ref="B606:D606"/>
    <mergeCell ref="C309:D309"/>
    <mergeCell ref="I515:K515"/>
    <mergeCell ref="L516:N516"/>
    <mergeCell ref="H201:I201"/>
    <mergeCell ref="M458:N458"/>
    <mergeCell ref="K237:L237"/>
    <mergeCell ref="C311:D311"/>
    <mergeCell ref="K579:M579"/>
    <mergeCell ref="K573:M573"/>
    <mergeCell ref="K239:L239"/>
    <mergeCell ref="L511:N511"/>
    <mergeCell ref="E492:F492"/>
    <mergeCell ref="K572:M572"/>
    <mergeCell ref="F641:H641"/>
    <mergeCell ref="G587:J587"/>
    <mergeCell ref="B99:L99"/>
    <mergeCell ref="K574:M574"/>
    <mergeCell ref="I655:K655"/>
    <mergeCell ref="A258:B258"/>
    <mergeCell ref="I657:K657"/>
    <mergeCell ref="L264:N264"/>
    <mergeCell ref="A137:C137"/>
    <mergeCell ref="A266:B266"/>
    <mergeCell ref="A260:B260"/>
    <mergeCell ref="C322:D322"/>
    <mergeCell ref="K563:M563"/>
    <mergeCell ref="F667:H667"/>
    <mergeCell ref="G613:J613"/>
    <mergeCell ref="A145:C145"/>
    <mergeCell ref="A139:C139"/>
    <mergeCell ref="F193:G193"/>
    <mergeCell ref="E545:F545"/>
    <mergeCell ref="H433:J433"/>
    <mergeCell ref="K556:M556"/>
    <mergeCell ref="C324:D324"/>
    <mergeCell ref="K110:L110"/>
    <mergeCell ref="B563:D563"/>
    <mergeCell ref="K592:M592"/>
    <mergeCell ref="K137:N137"/>
    <mergeCell ref="E240:F240"/>
    <mergeCell ref="K558:M558"/>
    <mergeCell ref="A90:N90"/>
    <mergeCell ref="B565:D565"/>
    <mergeCell ref="A140:C140"/>
    <mergeCell ref="K139:N139"/>
    <mergeCell ref="E546:F546"/>
    <mergeCell ref="B564:D564"/>
    <mergeCell ref="B558:D558"/>
    <mergeCell ref="K587:M587"/>
    <mergeCell ref="G515:H515"/>
    <mergeCell ref="G490:H490"/>
    <mergeCell ref="D245:N245"/>
    <mergeCell ref="I668:K668"/>
    <mergeCell ref="B566:D566"/>
    <mergeCell ref="A321:B321"/>
    <mergeCell ref="I670:K670"/>
    <mergeCell ref="A323:B323"/>
    <mergeCell ref="M103:N103"/>
    <mergeCell ref="M401:N401"/>
    <mergeCell ref="M395:N395"/>
    <mergeCell ref="A289:B289"/>
    <mergeCell ref="M96:N96"/>
    <mergeCell ref="C380:F380"/>
    <mergeCell ref="A193:C193"/>
    <mergeCell ref="M403:N403"/>
    <mergeCell ref="K490:N490"/>
    <mergeCell ref="A232:N232"/>
    <mergeCell ref="D621:E621"/>
    <mergeCell ref="M527:N527"/>
    <mergeCell ref="M398:N398"/>
    <mergeCell ref="A305:B305"/>
    <mergeCell ref="K491:N491"/>
    <mergeCell ref="G79:I79"/>
    <mergeCell ref="D537:N537"/>
    <mergeCell ref="G73:I73"/>
    <mergeCell ref="E584:F584"/>
    <mergeCell ref="D675:E675"/>
    <mergeCell ref="F433:G433"/>
    <mergeCell ref="K358:M358"/>
    <mergeCell ref="M423:N423"/>
    <mergeCell ref="B36:G36"/>
    <mergeCell ref="H199:I199"/>
    <mergeCell ref="K360:M360"/>
    <mergeCell ref="M431:N431"/>
    <mergeCell ref="M238:N238"/>
    <mergeCell ref="K353:M353"/>
    <mergeCell ref="M424:N424"/>
    <mergeCell ref="E498:F498"/>
    <mergeCell ref="E612:F612"/>
    <mergeCell ref="C120:F120"/>
    <mergeCell ref="G555:J555"/>
    <mergeCell ref="I626:K626"/>
    <mergeCell ref="A387:B387"/>
    <mergeCell ref="G557:J557"/>
    <mergeCell ref="H41:I41"/>
    <mergeCell ref="A685:C685"/>
    <mergeCell ref="G609:J609"/>
    <mergeCell ref="M442:N442"/>
    <mergeCell ref="K133:N133"/>
    <mergeCell ref="G611:J611"/>
    <mergeCell ref="A376:B376"/>
    <mergeCell ref="K554:M554"/>
    <mergeCell ref="K135:N135"/>
    <mergeCell ref="B174:C174"/>
    <mergeCell ref="K583:M583"/>
    <mergeCell ref="A508:N508"/>
    <mergeCell ref="K437:L437"/>
    <mergeCell ref="I664:K664"/>
    <mergeCell ref="I639:K639"/>
    <mergeCell ref="A529:B529"/>
    <mergeCell ref="B562:D562"/>
    <mergeCell ref="C501:H501"/>
    <mergeCell ref="M66:N66"/>
    <mergeCell ref="K124:L124"/>
    <mergeCell ref="I666:K666"/>
    <mergeCell ref="K432:L432"/>
    <mergeCell ref="C466:E466"/>
    <mergeCell ref="K424:L424"/>
    <mergeCell ref="B71:C71"/>
    <mergeCell ref="K601:M601"/>
    <mergeCell ref="K146:N146"/>
    <mergeCell ref="K611:M611"/>
    <mergeCell ref="G207:I207"/>
    <mergeCell ref="A120:B120"/>
    <mergeCell ref="A301:B301"/>
    <mergeCell ref="D681:N681"/>
    <mergeCell ref="A113:B113"/>
    <mergeCell ref="K450:L450"/>
    <mergeCell ref="E444:G444"/>
    <mergeCell ref="E580:F580"/>
    <mergeCell ref="A303:B303"/>
    <mergeCell ref="B575:D575"/>
    <mergeCell ref="E582:F582"/>
    <mergeCell ref="A332:B332"/>
    <mergeCell ref="M666:N666"/>
    <mergeCell ref="J42:K42"/>
    <mergeCell ref="E581:F581"/>
    <mergeCell ref="E575:F575"/>
    <mergeCell ref="K349:M349"/>
    <mergeCell ref="A249:N249"/>
    <mergeCell ref="E583:F583"/>
    <mergeCell ref="E577:F577"/>
    <mergeCell ref="D246:N246"/>
    <mergeCell ref="M236:N236"/>
    <mergeCell ref="G553:J553"/>
    <mergeCell ref="I624:K624"/>
    <mergeCell ref="A17:C17"/>
    <mergeCell ref="M438:N438"/>
    <mergeCell ref="C238:D238"/>
    <mergeCell ref="A19:C19"/>
    <mergeCell ref="E603:F603"/>
    <mergeCell ref="G548:J548"/>
    <mergeCell ref="I619:K619"/>
    <mergeCell ref="D656:E656"/>
    <mergeCell ref="B443:D443"/>
    <mergeCell ref="M440:N440"/>
    <mergeCell ref="K256:N256"/>
    <mergeCell ref="C383:F383"/>
    <mergeCell ref="E57:L57"/>
    <mergeCell ref="D658:E658"/>
    <mergeCell ref="C233:D233"/>
    <mergeCell ref="B445:D445"/>
    <mergeCell ref="D201:E201"/>
    <mergeCell ref="A262:N262"/>
    <mergeCell ref="K257:N257"/>
    <mergeCell ref="H396:L396"/>
    <mergeCell ref="G124:J124"/>
    <mergeCell ref="I635:K635"/>
    <mergeCell ref="E58:L58"/>
    <mergeCell ref="H398:L398"/>
    <mergeCell ref="F636:H636"/>
    <mergeCell ref="I637:K637"/>
    <mergeCell ref="A527:B527"/>
    <mergeCell ref="G109:J109"/>
    <mergeCell ref="K553:M553"/>
    <mergeCell ref="D75:F75"/>
    <mergeCell ref="G119:J119"/>
    <mergeCell ref="B521:F521"/>
    <mergeCell ref="A247:C247"/>
    <mergeCell ref="G111:J111"/>
    <mergeCell ref="D21:N21"/>
    <mergeCell ref="C470:E470"/>
    <mergeCell ref="I632:K632"/>
    <mergeCell ref="B523:F523"/>
    <mergeCell ref="D133:F133"/>
    <mergeCell ref="K115:L115"/>
    <mergeCell ref="C465:E465"/>
    <mergeCell ref="B62:D62"/>
    <mergeCell ref="C500:H500"/>
    <mergeCell ref="A126:B126"/>
    <mergeCell ref="G594:J594"/>
    <mergeCell ref="A109:B109"/>
    <mergeCell ref="G137:J137"/>
    <mergeCell ref="A240:B240"/>
    <mergeCell ref="F647:H647"/>
    <mergeCell ref="K116:L116"/>
    <mergeCell ref="A117:B117"/>
    <mergeCell ref="A111:B111"/>
    <mergeCell ref="G139:J139"/>
    <mergeCell ref="F649:H649"/>
    <mergeCell ref="C304:D304"/>
    <mergeCell ref="M662:N662"/>
    <mergeCell ref="K118:L118"/>
    <mergeCell ref="C490:D490"/>
    <mergeCell ref="B209:C209"/>
    <mergeCell ref="I497:J497"/>
    <mergeCell ref="B537:C537"/>
    <mergeCell ref="D146:F146"/>
    <mergeCell ref="J226:N226"/>
    <mergeCell ref="B546:D546"/>
    <mergeCell ref="D636:E636"/>
    <mergeCell ref="A268:B268"/>
    <mergeCell ref="C330:D330"/>
    <mergeCell ref="A363:N363"/>
    <mergeCell ref="B538:C538"/>
    <mergeCell ref="A147:C147"/>
    <mergeCell ref="A13:C13"/>
    <mergeCell ref="C332:D332"/>
    <mergeCell ref="F660:H660"/>
    <mergeCell ref="J221:N221"/>
    <mergeCell ref="A15:C15"/>
    <mergeCell ref="H426:J426"/>
    <mergeCell ref="D627:E627"/>
    <mergeCell ref="B439:D439"/>
    <mergeCell ref="J223:N223"/>
    <mergeCell ref="C379:F379"/>
    <mergeCell ref="D654:E654"/>
    <mergeCell ref="B441:D441"/>
    <mergeCell ref="G236:H236"/>
    <mergeCell ref="C110:F110"/>
    <mergeCell ref="E592:F592"/>
    <mergeCell ref="A279:B279"/>
    <mergeCell ref="D199:E199"/>
    <mergeCell ref="D655:E655"/>
    <mergeCell ref="D78:F78"/>
    <mergeCell ref="D649:E649"/>
    <mergeCell ref="B436:D436"/>
    <mergeCell ref="D71:F71"/>
    <mergeCell ref="D194:E194"/>
    <mergeCell ref="K359:M359"/>
    <mergeCell ref="G384:I384"/>
    <mergeCell ref="D73:F73"/>
    <mergeCell ref="D17:N17"/>
    <mergeCell ref="A28:C28"/>
    <mergeCell ref="I628:K628"/>
    <mergeCell ref="J82:L82"/>
    <mergeCell ref="G563:J563"/>
    <mergeCell ref="D667:E667"/>
    <mergeCell ref="D12:N12"/>
    <mergeCell ref="B612:D612"/>
    <mergeCell ref="A222:I222"/>
    <mergeCell ref="G590:J590"/>
    <mergeCell ref="D14:N14"/>
    <mergeCell ref="M631:N631"/>
    <mergeCell ref="D668:E668"/>
    <mergeCell ref="L515:N515"/>
    <mergeCell ref="I470:K470"/>
    <mergeCell ref="F645:H645"/>
    <mergeCell ref="F620:H620"/>
    <mergeCell ref="C275:D275"/>
    <mergeCell ref="M633:N633"/>
    <mergeCell ref="G591:J591"/>
    <mergeCell ref="K114:L114"/>
    <mergeCell ref="A462:N462"/>
    <mergeCell ref="G518:H518"/>
    <mergeCell ref="I493:J493"/>
    <mergeCell ref="I495:J495"/>
    <mergeCell ref="B175:C175"/>
    <mergeCell ref="I672:K672"/>
    <mergeCell ref="C295:D295"/>
    <mergeCell ref="M46:N46"/>
    <mergeCell ref="A143:C143"/>
    <mergeCell ref="I496:J496"/>
    <mergeCell ref="K560:M560"/>
    <mergeCell ref="G603:J603"/>
    <mergeCell ref="C328:D328"/>
    <mergeCell ref="K430:L430"/>
    <mergeCell ref="B536:C536"/>
    <mergeCell ref="I674:K674"/>
    <mergeCell ref="G602:J602"/>
    <mergeCell ref="K125:L125"/>
    <mergeCell ref="C497:D497"/>
    <mergeCell ref="F664:H664"/>
    <mergeCell ref="H422:J422"/>
    <mergeCell ref="F658:H658"/>
    <mergeCell ref="D139:F139"/>
    <mergeCell ref="C504:H504"/>
    <mergeCell ref="M646:N646"/>
    <mergeCell ref="G604:J604"/>
    <mergeCell ref="C323:D323"/>
    <mergeCell ref="H424:J424"/>
    <mergeCell ref="I514:K514"/>
    <mergeCell ref="M648:N648"/>
    <mergeCell ref="F659:H659"/>
    <mergeCell ref="D177:J177"/>
    <mergeCell ref="D618:E618"/>
    <mergeCell ref="I237:J237"/>
    <mergeCell ref="D689:N689"/>
    <mergeCell ref="B409:L409"/>
    <mergeCell ref="A283:B283"/>
    <mergeCell ref="I509:K509"/>
    <mergeCell ref="C381:F381"/>
    <mergeCell ref="A277:B277"/>
    <mergeCell ref="B555:D555"/>
    <mergeCell ref="D620:E620"/>
    <mergeCell ref="I239:J239"/>
    <mergeCell ref="M374:N374"/>
    <mergeCell ref="I238:J238"/>
    <mergeCell ref="A285:B285"/>
    <mergeCell ref="H450:J450"/>
    <mergeCell ref="I511:K511"/>
    <mergeCell ref="B557:D557"/>
    <mergeCell ref="A306:B306"/>
    <mergeCell ref="A105:N105"/>
    <mergeCell ref="D684:N684"/>
    <mergeCell ref="K603:M603"/>
    <mergeCell ref="J205:N205"/>
    <mergeCell ref="A278:B278"/>
    <mergeCell ref="K575:M575"/>
    <mergeCell ref="I236:J236"/>
    <mergeCell ref="K357:M357"/>
    <mergeCell ref="K181:N181"/>
    <mergeCell ref="A405:N405"/>
    <mergeCell ref="G382:I382"/>
    <mergeCell ref="J201:K201"/>
    <mergeCell ref="B581:D581"/>
    <mergeCell ref="M62:N62"/>
    <mergeCell ref="A371:N371"/>
    <mergeCell ref="A295:B295"/>
    <mergeCell ref="B583:D583"/>
    <mergeCell ref="B577:D577"/>
    <mergeCell ref="J80:L80"/>
    <mergeCell ref="G377:I377"/>
    <mergeCell ref="B187:K187"/>
    <mergeCell ref="J79:L79"/>
    <mergeCell ref="A296:B296"/>
    <mergeCell ref="F397:G397"/>
    <mergeCell ref="D209:F209"/>
    <mergeCell ref="G554:J554"/>
    <mergeCell ref="B189:K189"/>
    <mergeCell ref="B188:K188"/>
    <mergeCell ref="E63:L63"/>
    <mergeCell ref="B190:K190"/>
    <mergeCell ref="B417:C417"/>
    <mergeCell ref="A3:N3"/>
    <mergeCell ref="L196:M196"/>
    <mergeCell ref="B367:L367"/>
    <mergeCell ref="A322:B322"/>
    <mergeCell ref="A229:I229"/>
    <mergeCell ref="A5:N5"/>
    <mergeCell ref="B355:J355"/>
    <mergeCell ref="A201:C201"/>
    <mergeCell ref="D394:E394"/>
    <mergeCell ref="B357:J357"/>
    <mergeCell ref="G390:I390"/>
    <mergeCell ref="C293:D293"/>
    <mergeCell ref="B350:J350"/>
    <mergeCell ref="F629:H629"/>
    <mergeCell ref="C284:D284"/>
    <mergeCell ref="B358:J358"/>
    <mergeCell ref="C294:D294"/>
    <mergeCell ref="F655:H655"/>
    <mergeCell ref="C375:F375"/>
    <mergeCell ref="M643:N643"/>
    <mergeCell ref="A472:N472"/>
    <mergeCell ref="G117:J117"/>
    <mergeCell ref="F657:H657"/>
    <mergeCell ref="C377:F377"/>
    <mergeCell ref="B63:D63"/>
    <mergeCell ref="B407:L407"/>
    <mergeCell ref="M459:N459"/>
    <mergeCell ref="H446:J446"/>
    <mergeCell ref="C312:D312"/>
    <mergeCell ref="K150:N150"/>
    <mergeCell ref="M365:N365"/>
    <mergeCell ref="E553:F553"/>
    <mergeCell ref="B548:D548"/>
    <mergeCell ref="H441:J441"/>
    <mergeCell ref="M373:N373"/>
    <mergeCell ref="A44:N44"/>
    <mergeCell ref="M58:N58"/>
    <mergeCell ref="C307:D307"/>
    <mergeCell ref="K600:M600"/>
    <mergeCell ref="K145:N145"/>
    <mergeCell ref="K108:L108"/>
    <mergeCell ref="J199:K199"/>
    <mergeCell ref="L263:N263"/>
    <mergeCell ref="B579:D579"/>
    <mergeCell ref="K147:N147"/>
    <mergeCell ref="L265:N265"/>
    <mergeCell ref="G498:H498"/>
    <mergeCell ref="C390:F390"/>
    <mergeCell ref="K589:M589"/>
    <mergeCell ref="M383:N383"/>
    <mergeCell ref="B574:D574"/>
    <mergeCell ref="C236:D236"/>
    <mergeCell ref="I520:K520"/>
    <mergeCell ref="F395:G395"/>
    <mergeCell ref="L266:N266"/>
    <mergeCell ref="M385:N385"/>
    <mergeCell ref="A543:N543"/>
    <mergeCell ref="M86:N86"/>
    <mergeCell ref="J41:K41"/>
    <mergeCell ref="M80:N80"/>
    <mergeCell ref="M384:N384"/>
    <mergeCell ref="K584:M584"/>
    <mergeCell ref="B413:C413"/>
    <mergeCell ref="G514:H514"/>
    <mergeCell ref="C118:F118"/>
    <mergeCell ref="A318:B318"/>
    <mergeCell ref="M411:N411"/>
    <mergeCell ref="D42:E42"/>
    <mergeCell ref="B415:C415"/>
    <mergeCell ref="G516:H516"/>
    <mergeCell ref="B592:D592"/>
    <mergeCell ref="A320:B320"/>
    <mergeCell ref="A314:B314"/>
    <mergeCell ref="D535:N535"/>
    <mergeCell ref="B594:D594"/>
    <mergeCell ref="F423:G423"/>
    <mergeCell ref="K610:M610"/>
    <mergeCell ref="A192:C192"/>
    <mergeCell ref="A315:B315"/>
    <mergeCell ref="M437:N437"/>
    <mergeCell ref="M70:N70"/>
    <mergeCell ref="B354:J354"/>
    <mergeCell ref="B348:J348"/>
    <mergeCell ref="A194:C194"/>
    <mergeCell ref="E600:F600"/>
    <mergeCell ref="K552:M552"/>
    <mergeCell ref="E594:F594"/>
    <mergeCell ref="E443:G443"/>
    <mergeCell ref="M99:N99"/>
    <mergeCell ref="M397:N397"/>
    <mergeCell ref="G418:N418"/>
    <mergeCell ref="I512:K512"/>
    <mergeCell ref="F467:H467"/>
    <mergeCell ref="A333:B333"/>
    <mergeCell ref="M455:N455"/>
    <mergeCell ref="K234:L234"/>
    <mergeCell ref="I636:K636"/>
    <mergeCell ref="F469:H469"/>
    <mergeCell ref="K236:L236"/>
    <mergeCell ref="G110:J110"/>
    <mergeCell ref="M450:N450"/>
    <mergeCell ref="F470:H470"/>
    <mergeCell ref="K571:M571"/>
    <mergeCell ref="I652:K652"/>
    <mergeCell ref="A69:N69"/>
    <mergeCell ref="K143:N143"/>
    <mergeCell ref="L42:M42"/>
    <mergeCell ref="A183:N183"/>
    <mergeCell ref="K106:L106"/>
    <mergeCell ref="D13:N13"/>
    <mergeCell ref="I647:K647"/>
    <mergeCell ref="G610:J610"/>
    <mergeCell ref="D417:F417"/>
    <mergeCell ref="H430:J430"/>
    <mergeCell ref="B510:F510"/>
    <mergeCell ref="M626:N626"/>
    <mergeCell ref="K107:L107"/>
    <mergeCell ref="I649:K649"/>
    <mergeCell ref="E552:F552"/>
    <mergeCell ref="K134:N134"/>
    <mergeCell ref="E237:F237"/>
    <mergeCell ref="M76:N76"/>
    <mergeCell ref="M380:N380"/>
    <mergeCell ref="B80:C80"/>
    <mergeCell ref="E239:F239"/>
    <mergeCell ref="H397:L397"/>
    <mergeCell ref="B79:C79"/>
    <mergeCell ref="M382:N382"/>
    <mergeCell ref="E238:F238"/>
    <mergeCell ref="B81:C81"/>
    <mergeCell ref="D145:F145"/>
    <mergeCell ref="I667:K667"/>
    <mergeCell ref="F201:G201"/>
    <mergeCell ref="I660:K660"/>
    <mergeCell ref="E563:F563"/>
    <mergeCell ref="E565:F565"/>
    <mergeCell ref="M95:N95"/>
    <mergeCell ref="D691:N691"/>
    <mergeCell ref="E598:F598"/>
    <mergeCell ref="M97:N97"/>
    <mergeCell ref="E591:F591"/>
    <mergeCell ref="G70:I70"/>
    <mergeCell ref="K355:M355"/>
    <mergeCell ref="D77:F77"/>
    <mergeCell ref="B611:D611"/>
    <mergeCell ref="H196:I196"/>
    <mergeCell ref="J384:L384"/>
    <mergeCell ref="K350:M350"/>
    <mergeCell ref="M421:N421"/>
    <mergeCell ref="D72:F72"/>
    <mergeCell ref="E495:F495"/>
    <mergeCell ref="B34:G34"/>
    <mergeCell ref="K567:M567"/>
    <mergeCell ref="E609:F609"/>
    <mergeCell ref="B539:C539"/>
    <mergeCell ref="K352:M352"/>
    <mergeCell ref="B181:C181"/>
    <mergeCell ref="A385:B385"/>
    <mergeCell ref="K569:M569"/>
    <mergeCell ref="E490:F490"/>
    <mergeCell ref="A384:B384"/>
    <mergeCell ref="F432:G432"/>
    <mergeCell ref="I643:K643"/>
    <mergeCell ref="G547:J547"/>
    <mergeCell ref="A386:B386"/>
    <mergeCell ref="A343:C343"/>
    <mergeCell ref="I645:K645"/>
    <mergeCell ref="B207:C207"/>
    <mergeCell ref="B511:F511"/>
    <mergeCell ref="M624:N624"/>
    <mergeCell ref="A345:C345"/>
    <mergeCell ref="K254:N254"/>
    <mergeCell ref="H421:J421"/>
    <mergeCell ref="C91:L91"/>
    <mergeCell ref="G150:J150"/>
    <mergeCell ref="H423:J423"/>
    <mergeCell ref="B77:C77"/>
    <mergeCell ref="A526:B526"/>
    <mergeCell ref="I663:K663"/>
    <mergeCell ref="D143:F143"/>
    <mergeCell ref="A528:B528"/>
    <mergeCell ref="C286:D286"/>
    <mergeCell ref="M650:N650"/>
    <mergeCell ref="I673:K673"/>
    <mergeCell ref="K429:L429"/>
    <mergeCell ref="G145:J145"/>
    <mergeCell ref="E559:F559"/>
    <mergeCell ref="B554:D554"/>
    <mergeCell ref="F199:G199"/>
    <mergeCell ref="K431:L431"/>
    <mergeCell ref="G147:J147"/>
    <mergeCell ref="E567:F567"/>
    <mergeCell ref="I658:K658"/>
    <mergeCell ref="E561:F561"/>
    <mergeCell ref="A311:B311"/>
    <mergeCell ref="K608:M608"/>
    <mergeCell ref="E440:G440"/>
    <mergeCell ref="C498:D498"/>
    <mergeCell ref="E560:F560"/>
    <mergeCell ref="D624:E624"/>
    <mergeCell ref="A6:C6"/>
    <mergeCell ref="C531:L531"/>
    <mergeCell ref="E439:G439"/>
    <mergeCell ref="E562:F562"/>
    <mergeCell ref="K447:L447"/>
    <mergeCell ref="D688:N688"/>
    <mergeCell ref="E441:G441"/>
    <mergeCell ref="M634:N634"/>
    <mergeCell ref="D690:N690"/>
    <mergeCell ref="F675:H675"/>
    <mergeCell ref="M627:N627"/>
    <mergeCell ref="M663:N663"/>
    <mergeCell ref="K442:L442"/>
    <mergeCell ref="M629:N629"/>
    <mergeCell ref="J380:L380"/>
    <mergeCell ref="M665:N665"/>
    <mergeCell ref="F676:H676"/>
    <mergeCell ref="B535:C535"/>
    <mergeCell ref="D635:E635"/>
    <mergeCell ref="A468:B468"/>
    <mergeCell ref="G496:H496"/>
    <mergeCell ref="D643:E643"/>
    <mergeCell ref="F401:G401"/>
    <mergeCell ref="D637:E637"/>
    <mergeCell ref="L469:N469"/>
    <mergeCell ref="A16:C16"/>
    <mergeCell ref="G545:J545"/>
    <mergeCell ref="A690:C690"/>
    <mergeCell ref="A18:C18"/>
    <mergeCell ref="E62:L62"/>
    <mergeCell ref="A683:C683"/>
    <mergeCell ref="L470:N470"/>
    <mergeCell ref="M430:N430"/>
    <mergeCell ref="G546:J546"/>
    <mergeCell ref="E64:L64"/>
    <mergeCell ref="L195:M195"/>
    <mergeCell ref="D27:N27"/>
    <mergeCell ref="G115:J115"/>
    <mergeCell ref="L503:N503"/>
    <mergeCell ref="L197:M197"/>
    <mergeCell ref="L188:N188"/>
    <mergeCell ref="A401:C401"/>
    <mergeCell ref="I634:K634"/>
    <mergeCell ref="G579:J579"/>
    <mergeCell ref="G573:J573"/>
    <mergeCell ref="G116:J116"/>
    <mergeCell ref="A219:B219"/>
    <mergeCell ref="A403:C403"/>
    <mergeCell ref="F626:H626"/>
    <mergeCell ref="I627:K627"/>
    <mergeCell ref="A96:B96"/>
    <mergeCell ref="B66:D66"/>
    <mergeCell ref="A396:C396"/>
    <mergeCell ref="G118:J118"/>
    <mergeCell ref="F628:H628"/>
    <mergeCell ref="C283:D283"/>
    <mergeCell ref="H42:I42"/>
    <mergeCell ref="I629:K629"/>
    <mergeCell ref="K545:M545"/>
    <mergeCell ref="L513:N513"/>
    <mergeCell ref="A398:C398"/>
    <mergeCell ref="C285:D285"/>
    <mergeCell ref="A347:N347"/>
    <mergeCell ref="B61:D61"/>
    <mergeCell ref="B411:L411"/>
    <mergeCell ref="A123:B123"/>
    <mergeCell ref="L514:N514"/>
    <mergeCell ref="C529:L529"/>
    <mergeCell ref="F40:G40"/>
    <mergeCell ref="G134:J134"/>
    <mergeCell ref="A237:B237"/>
    <mergeCell ref="G584:J584"/>
    <mergeCell ref="A108:B108"/>
    <mergeCell ref="F646:H646"/>
    <mergeCell ref="C301:D301"/>
    <mergeCell ref="D340:N340"/>
    <mergeCell ref="M659:N659"/>
    <mergeCell ref="A118:B118"/>
    <mergeCell ref="J207:N207"/>
    <mergeCell ref="G592:J592"/>
    <mergeCell ref="F41:G41"/>
    <mergeCell ref="F618:H618"/>
    <mergeCell ref="A238:B238"/>
    <mergeCell ref="B64:D64"/>
    <mergeCell ref="C303:D303"/>
    <mergeCell ref="C97:L97"/>
    <mergeCell ref="M661:N661"/>
    <mergeCell ref="K440:L440"/>
    <mergeCell ref="A263:B263"/>
    <mergeCell ref="M654:N654"/>
    <mergeCell ref="A489:N489"/>
    <mergeCell ref="A142:C142"/>
    <mergeCell ref="D633:E633"/>
    <mergeCell ref="D175:J175"/>
    <mergeCell ref="A265:B265"/>
    <mergeCell ref="J382:L382"/>
    <mergeCell ref="E571:F571"/>
    <mergeCell ref="J77:L77"/>
    <mergeCell ref="E450:G450"/>
    <mergeCell ref="M372:N372"/>
    <mergeCell ref="A30:N30"/>
    <mergeCell ref="D176:J176"/>
    <mergeCell ref="G210:I210"/>
    <mergeCell ref="M672:N672"/>
    <mergeCell ref="F394:G394"/>
    <mergeCell ref="C376:F376"/>
    <mergeCell ref="B438:D438"/>
    <mergeCell ref="J222:N222"/>
    <mergeCell ref="E60:L60"/>
    <mergeCell ref="C107:F107"/>
    <mergeCell ref="C378:F378"/>
    <mergeCell ref="A309:B309"/>
    <mergeCell ref="D652:E652"/>
    <mergeCell ref="D646:E646"/>
    <mergeCell ref="L193:M193"/>
    <mergeCell ref="K252:N252"/>
    <mergeCell ref="M400:N400"/>
    <mergeCell ref="B591:D591"/>
    <mergeCell ref="G569:J569"/>
    <mergeCell ref="D648:E648"/>
    <mergeCell ref="K180:N180"/>
    <mergeCell ref="B51:L51"/>
    <mergeCell ref="D647:E647"/>
    <mergeCell ref="G114:J114"/>
    <mergeCell ref="F624:H624"/>
    <mergeCell ref="K235:L235"/>
    <mergeCell ref="G497:H497"/>
    <mergeCell ref="D672:E672"/>
    <mergeCell ref="G143:J143"/>
    <mergeCell ref="G78:I78"/>
    <mergeCell ref="G376:I376"/>
    <mergeCell ref="B609:D609"/>
    <mergeCell ref="D674:E674"/>
    <mergeCell ref="B517:F517"/>
    <mergeCell ref="G80:I80"/>
    <mergeCell ref="L510:N510"/>
    <mergeCell ref="G378:I378"/>
    <mergeCell ref="D11:N11"/>
    <mergeCell ref="A330:B330"/>
    <mergeCell ref="B602:D602"/>
    <mergeCell ref="L512:N512"/>
    <mergeCell ref="I467:K467"/>
    <mergeCell ref="F642:H642"/>
    <mergeCell ref="B604:D604"/>
    <mergeCell ref="M630:N630"/>
    <mergeCell ref="G588:J588"/>
    <mergeCell ref="G582:J582"/>
    <mergeCell ref="G125:J125"/>
    <mergeCell ref="I469:K469"/>
    <mergeCell ref="F644:H644"/>
    <mergeCell ref="M456:N456"/>
    <mergeCell ref="F39:G39"/>
    <mergeCell ref="F643:H643"/>
    <mergeCell ref="F637:H637"/>
    <mergeCell ref="M625:N625"/>
    <mergeCell ref="G583:J583"/>
    <mergeCell ref="I492:J492"/>
    <mergeCell ref="I522:K522"/>
    <mergeCell ref="C325:D325"/>
    <mergeCell ref="A256:B256"/>
    <mergeCell ref="C318:D318"/>
    <mergeCell ref="K559:M559"/>
    <mergeCell ref="A141:C141"/>
    <mergeCell ref="B42:C42"/>
    <mergeCell ref="A135:C135"/>
    <mergeCell ref="A264:B264"/>
    <mergeCell ref="G601:J601"/>
    <mergeCell ref="F627:H627"/>
    <mergeCell ref="C320:D320"/>
    <mergeCell ref="F665:H665"/>
    <mergeCell ref="A84:N84"/>
    <mergeCell ref="K588:M588"/>
    <mergeCell ref="K582:M582"/>
    <mergeCell ref="H431:J431"/>
    <mergeCell ref="F656:H656"/>
    <mergeCell ref="B561:D561"/>
    <mergeCell ref="K590:M590"/>
    <mergeCell ref="D540:N540"/>
    <mergeCell ref="A280:B280"/>
    <mergeCell ref="A274:B274"/>
    <mergeCell ref="C338:D338"/>
    <mergeCell ref="K422:L422"/>
    <mergeCell ref="K176:N176"/>
    <mergeCell ref="C496:D496"/>
    <mergeCell ref="D541:N541"/>
    <mergeCell ref="A275:B275"/>
    <mergeCell ref="B547:D547"/>
    <mergeCell ref="D645:E645"/>
    <mergeCell ref="H442:J442"/>
    <mergeCell ref="M399:N399"/>
    <mergeCell ref="C333:D333"/>
    <mergeCell ref="G372:I372"/>
    <mergeCell ref="B459:L459"/>
    <mergeCell ref="D670:E670"/>
    <mergeCell ref="G76:I76"/>
    <mergeCell ref="G380:I380"/>
    <mergeCell ref="G374:I374"/>
    <mergeCell ref="C126:F126"/>
    <mergeCell ref="B184:K184"/>
    <mergeCell ref="B607:D607"/>
    <mergeCell ref="H194:I194"/>
    <mergeCell ref="A331:B331"/>
    <mergeCell ref="G551:J551"/>
    <mergeCell ref="B600:D600"/>
    <mergeCell ref="F429:G429"/>
    <mergeCell ref="C117:F117"/>
    <mergeCell ref="K174:N174"/>
    <mergeCell ref="K354:M354"/>
    <mergeCell ref="G77:I77"/>
    <mergeCell ref="G375:I375"/>
    <mergeCell ref="D8:N8"/>
    <mergeCell ref="H195:I195"/>
    <mergeCell ref="D673:E673"/>
    <mergeCell ref="F431:G431"/>
    <mergeCell ref="K356:M356"/>
    <mergeCell ref="C115:F115"/>
    <mergeCell ref="A288:B288"/>
    <mergeCell ref="K497:N497"/>
    <mergeCell ref="B414:C414"/>
    <mergeCell ref="H197:I197"/>
    <mergeCell ref="B416:C416"/>
    <mergeCell ref="G237:H237"/>
    <mergeCell ref="A452:N452"/>
    <mergeCell ref="B86:L86"/>
    <mergeCell ref="A681:C681"/>
    <mergeCell ref="A375:B375"/>
    <mergeCell ref="L39:M39"/>
    <mergeCell ref="K555:M555"/>
    <mergeCell ref="A453:N453"/>
    <mergeCell ref="B40:C40"/>
    <mergeCell ref="K550:M550"/>
    <mergeCell ref="K586:M586"/>
    <mergeCell ref="K131:N131"/>
    <mergeCell ref="G108:J108"/>
    <mergeCell ref="B41:C41"/>
    <mergeCell ref="A246:C246"/>
    <mergeCell ref="I510:K510"/>
    <mergeCell ref="I504:K504"/>
    <mergeCell ref="D397:E397"/>
    <mergeCell ref="I662:K662"/>
    <mergeCell ref="B180:C180"/>
    <mergeCell ref="M64:N64"/>
    <mergeCell ref="I233:J233"/>
    <mergeCell ref="K568:M568"/>
    <mergeCell ref="K122:L122"/>
    <mergeCell ref="K420:L420"/>
    <mergeCell ref="I505:K505"/>
    <mergeCell ref="E550:F550"/>
    <mergeCell ref="H438:J438"/>
    <mergeCell ref="F674:H674"/>
    <mergeCell ref="K570:M570"/>
    <mergeCell ref="M364:N364"/>
    <mergeCell ref="K597:M597"/>
    <mergeCell ref="K142:N142"/>
    <mergeCell ref="M65:N65"/>
    <mergeCell ref="H440:J440"/>
    <mergeCell ref="A302:B302"/>
    <mergeCell ref="J196:K196"/>
    <mergeCell ref="B576:D576"/>
    <mergeCell ref="G493:H493"/>
    <mergeCell ref="A298:B298"/>
    <mergeCell ref="B570:D570"/>
    <mergeCell ref="K599:M599"/>
    <mergeCell ref="K144:N144"/>
    <mergeCell ref="H439:J439"/>
    <mergeCell ref="A116:B116"/>
    <mergeCell ref="K565:M565"/>
    <mergeCell ref="G495:H495"/>
    <mergeCell ref="A327:B327"/>
    <mergeCell ref="K446:L446"/>
    <mergeCell ref="A299:B299"/>
    <mergeCell ref="B571:D571"/>
    <mergeCell ref="A293:B293"/>
    <mergeCell ref="B458:L458"/>
    <mergeCell ref="K448:L448"/>
    <mergeCell ref="E578:F578"/>
    <mergeCell ref="B573:D573"/>
    <mergeCell ref="A328:B328"/>
    <mergeCell ref="A284:B284"/>
    <mergeCell ref="G373:I373"/>
    <mergeCell ref="D247:N247"/>
    <mergeCell ref="M49:N49"/>
    <mergeCell ref="G550:J550"/>
    <mergeCell ref="J40:K40"/>
    <mergeCell ref="E579:F579"/>
    <mergeCell ref="K495:N495"/>
    <mergeCell ref="B214:L214"/>
    <mergeCell ref="E573:F573"/>
    <mergeCell ref="M78:N78"/>
    <mergeCell ref="D242:N242"/>
    <mergeCell ref="A317:B317"/>
    <mergeCell ref="B589:D589"/>
    <mergeCell ref="A20:C20"/>
    <mergeCell ref="A469:B469"/>
    <mergeCell ref="D244:N244"/>
    <mergeCell ref="J377:L377"/>
    <mergeCell ref="G122:J122"/>
    <mergeCell ref="C384:F384"/>
    <mergeCell ref="E589:F589"/>
    <mergeCell ref="A312:B312"/>
    <mergeCell ref="B584:D584"/>
    <mergeCell ref="M434:N434"/>
    <mergeCell ref="L187:N187"/>
    <mergeCell ref="B351:J351"/>
    <mergeCell ref="A470:B470"/>
    <mergeCell ref="D196:E196"/>
    <mergeCell ref="M436:N436"/>
    <mergeCell ref="L189:N189"/>
    <mergeCell ref="E442:G442"/>
    <mergeCell ref="E55:L55"/>
    <mergeCell ref="D70:F70"/>
    <mergeCell ref="B610:D610"/>
    <mergeCell ref="I631:K631"/>
    <mergeCell ref="A242:C242"/>
    <mergeCell ref="G106:J106"/>
    <mergeCell ref="B39:C39"/>
    <mergeCell ref="H394:L394"/>
    <mergeCell ref="G417:N417"/>
    <mergeCell ref="I633:K633"/>
    <mergeCell ref="A244:C244"/>
    <mergeCell ref="D395:E395"/>
    <mergeCell ref="G107:J107"/>
    <mergeCell ref="M447:N447"/>
    <mergeCell ref="C300:D300"/>
    <mergeCell ref="E610:F610"/>
    <mergeCell ref="B519:F519"/>
    <mergeCell ref="A245:C245"/>
    <mergeCell ref="M449:N449"/>
    <mergeCell ref="A112:B112"/>
    <mergeCell ref="D131:F131"/>
    <mergeCell ref="B58:D58"/>
    <mergeCell ref="D344:N344"/>
    <mergeCell ref="A68:N68"/>
    <mergeCell ref="G133:J133"/>
    <mergeCell ref="A114:B114"/>
    <mergeCell ref="K233:L233"/>
    <mergeCell ref="B60:D60"/>
    <mergeCell ref="D414:F414"/>
    <mergeCell ref="A107:B107"/>
    <mergeCell ref="K444:L444"/>
    <mergeCell ref="G135:J135"/>
    <mergeCell ref="I646:K646"/>
    <mergeCell ref="I671:K671"/>
    <mergeCell ref="E234:F234"/>
    <mergeCell ref="M79:N79"/>
    <mergeCell ref="D416:F416"/>
    <mergeCell ref="B509:F509"/>
    <mergeCell ref="I648:K648"/>
    <mergeCell ref="C302:D302"/>
    <mergeCell ref="K255:N255"/>
    <mergeCell ref="E236:F236"/>
    <mergeCell ref="M74:N74"/>
    <mergeCell ref="B78:C78"/>
    <mergeCell ref="D142:F142"/>
    <mergeCell ref="D144:F144"/>
    <mergeCell ref="J373:L373"/>
    <mergeCell ref="A203:N203"/>
    <mergeCell ref="G146:J146"/>
    <mergeCell ref="M215:N215"/>
    <mergeCell ref="E593:F593"/>
    <mergeCell ref="A337:B337"/>
    <mergeCell ref="M92:N92"/>
    <mergeCell ref="K179:N179"/>
    <mergeCell ref="D650:E650"/>
    <mergeCell ref="B437:D437"/>
    <mergeCell ref="E438:G438"/>
    <mergeCell ref="E588:F588"/>
    <mergeCell ref="D195:E195"/>
    <mergeCell ref="E590:F590"/>
    <mergeCell ref="F42:G42"/>
    <mergeCell ref="D74:F74"/>
    <mergeCell ref="B608:D608"/>
    <mergeCell ref="D197:E197"/>
    <mergeCell ref="E614:F614"/>
    <mergeCell ref="A24:C24"/>
    <mergeCell ref="M234:N234"/>
    <mergeCell ref="C124:F124"/>
    <mergeCell ref="E606:F606"/>
    <mergeCell ref="J383:L383"/>
    <mergeCell ref="D15:N15"/>
    <mergeCell ref="C388:F388"/>
    <mergeCell ref="J78:L78"/>
    <mergeCell ref="J376:L376"/>
    <mergeCell ref="D663:E663"/>
    <mergeCell ref="B450:D450"/>
    <mergeCell ref="C119:F119"/>
    <mergeCell ref="E601:F601"/>
    <mergeCell ref="J378:L378"/>
    <mergeCell ref="D665:E665"/>
    <mergeCell ref="H401:L401"/>
    <mergeCell ref="D210:F210"/>
    <mergeCell ref="D10:N10"/>
    <mergeCell ref="L501:N501"/>
    <mergeCell ref="A383:B383"/>
    <mergeCell ref="A505:B505"/>
    <mergeCell ref="A689:C689"/>
    <mergeCell ref="B366:L366"/>
    <mergeCell ref="D664:E664"/>
    <mergeCell ref="F422:G422"/>
    <mergeCell ref="G131:J131"/>
    <mergeCell ref="H403:L403"/>
    <mergeCell ref="I642:K642"/>
    <mergeCell ref="D666:E666"/>
    <mergeCell ref="F424:G424"/>
    <mergeCell ref="C108:F108"/>
    <mergeCell ref="A684:C684"/>
    <mergeCell ref="A378:B378"/>
    <mergeCell ref="I644:K644"/>
    <mergeCell ref="D82:F82"/>
    <mergeCell ref="G126:J126"/>
    <mergeCell ref="A686:C686"/>
    <mergeCell ref="K253:N253"/>
    <mergeCell ref="I491:J491"/>
    <mergeCell ref="C109:F109"/>
    <mergeCell ref="D28:N28"/>
    <mergeCell ref="D138:F138"/>
    <mergeCell ref="B76:C76"/>
    <mergeCell ref="D140:F140"/>
    <mergeCell ref="C505:H505"/>
    <mergeCell ref="L522:N522"/>
    <mergeCell ref="K426:L426"/>
    <mergeCell ref="G142:J142"/>
    <mergeCell ref="D23:N23"/>
    <mergeCell ref="C494:D494"/>
    <mergeCell ref="E556:F556"/>
    <mergeCell ref="K121:L121"/>
    <mergeCell ref="C493:D493"/>
    <mergeCell ref="A397:C397"/>
    <mergeCell ref="K428:L428"/>
    <mergeCell ref="G144:J144"/>
    <mergeCell ref="D141:F141"/>
    <mergeCell ref="F654:H654"/>
    <mergeCell ref="D135:F135"/>
    <mergeCell ref="E558:F558"/>
    <mergeCell ref="M642:N642"/>
    <mergeCell ref="G600:J600"/>
    <mergeCell ref="K123:L123"/>
    <mergeCell ref="I665:K665"/>
    <mergeCell ref="A124:B124"/>
    <mergeCell ref="C495:D495"/>
    <mergeCell ref="B518:F518"/>
    <mergeCell ref="F662:H662"/>
    <mergeCell ref="H420:J420"/>
    <mergeCell ref="C502:H502"/>
    <mergeCell ref="M669:N669"/>
    <mergeCell ref="M644:N644"/>
    <mergeCell ref="M212:N212"/>
    <mergeCell ref="D685:N685"/>
    <mergeCell ref="M214:N214"/>
    <mergeCell ref="D679:N679"/>
    <mergeCell ref="I235:J235"/>
    <mergeCell ref="D687:N687"/>
    <mergeCell ref="F672:H672"/>
    <mergeCell ref="J208:N208"/>
    <mergeCell ref="B553:D553"/>
    <mergeCell ref="C337:D337"/>
    <mergeCell ref="M57:N57"/>
    <mergeCell ref="J198:K198"/>
    <mergeCell ref="D682:N682"/>
    <mergeCell ref="C95:L95"/>
    <mergeCell ref="M240:N240"/>
    <mergeCell ref="J228:N228"/>
    <mergeCell ref="J379:L379"/>
    <mergeCell ref="B186:K186"/>
    <mergeCell ref="C122:F122"/>
    <mergeCell ref="J74:L74"/>
    <mergeCell ref="J372:L372"/>
    <mergeCell ref="A291:B291"/>
    <mergeCell ref="B446:D446"/>
    <mergeCell ref="D634:E634"/>
    <mergeCell ref="A26:C26"/>
    <mergeCell ref="H39:I39"/>
    <mergeCell ref="J374:L374"/>
    <mergeCell ref="B448:D448"/>
    <mergeCell ref="D6:N6"/>
    <mergeCell ref="A501:B501"/>
    <mergeCell ref="L466:N466"/>
    <mergeCell ref="A292:B292"/>
    <mergeCell ref="A286:B286"/>
    <mergeCell ref="D629:E629"/>
    <mergeCell ref="A273:N273"/>
    <mergeCell ref="B185:K185"/>
    <mergeCell ref="A503:B503"/>
    <mergeCell ref="D662:E662"/>
    <mergeCell ref="A294:B294"/>
    <mergeCell ref="F420:G420"/>
    <mergeCell ref="D207:F207"/>
    <mergeCell ref="G552:J552"/>
    <mergeCell ref="E59:L59"/>
    <mergeCell ref="A680:C680"/>
    <mergeCell ref="A374:B374"/>
    <mergeCell ref="L467:N467"/>
    <mergeCell ref="H34:N34"/>
    <mergeCell ref="E61:L61"/>
    <mergeCell ref="B364:L364"/>
    <mergeCell ref="B49:L49"/>
    <mergeCell ref="A682:C682"/>
    <mergeCell ref="H36:N36"/>
    <mergeCell ref="L192:M192"/>
    <mergeCell ref="G391:I391"/>
    <mergeCell ref="D80:F80"/>
    <mergeCell ref="A225:I225"/>
    <mergeCell ref="E54:L54"/>
    <mergeCell ref="G568:J568"/>
    <mergeCell ref="L194:M194"/>
    <mergeCell ref="D26:N26"/>
    <mergeCell ref="B50:L50"/>
    <mergeCell ref="E56:L56"/>
    <mergeCell ref="A227:I227"/>
    <mergeCell ref="B353:J353"/>
    <mergeCell ref="G386:I386"/>
    <mergeCell ref="G570:J570"/>
    <mergeCell ref="G113:J113"/>
    <mergeCell ref="D19:N19"/>
    <mergeCell ref="C281:D281"/>
    <mergeCell ref="A218:B218"/>
    <mergeCell ref="C280:D280"/>
    <mergeCell ref="F625:H625"/>
    <mergeCell ref="C274:D274"/>
    <mergeCell ref="M638:N638"/>
    <mergeCell ref="G571:J571"/>
    <mergeCell ref="K119:L119"/>
    <mergeCell ref="G565:J565"/>
    <mergeCell ref="M429:N429"/>
    <mergeCell ref="A395:C395"/>
    <mergeCell ref="B179:C179"/>
    <mergeCell ref="C282:D282"/>
    <mergeCell ref="M640:N640"/>
    <mergeCell ref="G598:J598"/>
    <mergeCell ref="E496:F496"/>
    <mergeCell ref="B408:L408"/>
    <mergeCell ref="D402:E402"/>
    <mergeCell ref="B103:L103"/>
    <mergeCell ref="D401:E401"/>
    <mergeCell ref="A234:B234"/>
    <mergeCell ref="B410:L410"/>
    <mergeCell ref="C373:F373"/>
    <mergeCell ref="D9:N9"/>
    <mergeCell ref="B59:D59"/>
    <mergeCell ref="D403:E403"/>
    <mergeCell ref="I468:K468"/>
    <mergeCell ref="A115:B115"/>
    <mergeCell ref="J204:N204"/>
    <mergeCell ref="C308:D308"/>
    <mergeCell ref="M622:N622"/>
    <mergeCell ref="H444:J444"/>
    <mergeCell ref="J200:K200"/>
    <mergeCell ref="C310:D310"/>
    <mergeCell ref="D150:F150"/>
    <mergeCell ref="M55:N55"/>
    <mergeCell ref="K148:N148"/>
    <mergeCell ref="M651:N651"/>
    <mergeCell ref="H437:J437"/>
    <mergeCell ref="M48:N48"/>
    <mergeCell ref="K141:N141"/>
    <mergeCell ref="H429:J429"/>
    <mergeCell ref="F671:H671"/>
    <mergeCell ref="C391:F391"/>
    <mergeCell ref="D630:E630"/>
    <mergeCell ref="M653:N653"/>
    <mergeCell ref="J195:K195"/>
    <mergeCell ref="K598:M598"/>
    <mergeCell ref="A22:C22"/>
    <mergeCell ref="A255:B255"/>
    <mergeCell ref="I521:K521"/>
    <mergeCell ref="D632:E632"/>
    <mergeCell ref="J197:K197"/>
    <mergeCell ref="A134:C134"/>
    <mergeCell ref="B560:D560"/>
    <mergeCell ref="D631:E631"/>
    <mergeCell ref="C386:F386"/>
    <mergeCell ref="D625:E625"/>
    <mergeCell ref="M81:N81"/>
    <mergeCell ref="K585:M585"/>
    <mergeCell ref="J76:L76"/>
    <mergeCell ref="M379:N379"/>
    <mergeCell ref="A290:B290"/>
    <mergeCell ref="I516:K516"/>
    <mergeCell ref="M381:N381"/>
    <mergeCell ref="K614:M614"/>
    <mergeCell ref="K580:M580"/>
    <mergeCell ref="G510:H510"/>
    <mergeCell ref="H32:N32"/>
    <mergeCell ref="J39:K39"/>
    <mergeCell ref="A221:I221"/>
    <mergeCell ref="K609:M609"/>
    <mergeCell ref="G512:H512"/>
    <mergeCell ref="C106:F106"/>
    <mergeCell ref="A534:N534"/>
    <mergeCell ref="D538:N538"/>
    <mergeCell ref="B588:D588"/>
    <mergeCell ref="B46:L46"/>
    <mergeCell ref="D40:E40"/>
    <mergeCell ref="A223:I223"/>
    <mergeCell ref="I234:J234"/>
    <mergeCell ref="B349:J349"/>
    <mergeCell ref="A195:C195"/>
    <mergeCell ref="B590:D590"/>
    <mergeCell ref="B48:L48"/>
    <mergeCell ref="G414:N414"/>
    <mergeCell ref="M94:N94"/>
    <mergeCell ref="D41:E41"/>
    <mergeCell ref="F621:H621"/>
    <mergeCell ref="G567:J567"/>
    <mergeCell ref="G416:N416"/>
    <mergeCell ref="G561:J561"/>
    <mergeCell ref="M425:N425"/>
    <mergeCell ref="F623:H623"/>
    <mergeCell ref="G75:I75"/>
    <mergeCell ref="M427:N427"/>
    <mergeCell ref="M420:N420"/>
    <mergeCell ref="L509:N509"/>
    <mergeCell ref="D399:E399"/>
    <mergeCell ref="A329:B329"/>
    <mergeCell ref="F430:G430"/>
    <mergeCell ref="B601:D601"/>
    <mergeCell ref="G585:J585"/>
    <mergeCell ref="B57:D57"/>
    <mergeCell ref="F465:H465"/>
    <mergeCell ref="I466:K466"/>
    <mergeCell ref="E608:F608"/>
    <mergeCell ref="K566:M566"/>
    <mergeCell ref="B603:D603"/>
    <mergeCell ref="I503:K503"/>
    <mergeCell ref="L198:M198"/>
    <mergeCell ref="C306:D306"/>
    <mergeCell ref="B215:L215"/>
    <mergeCell ref="L504:N504"/>
    <mergeCell ref="F634:H634"/>
    <mergeCell ref="M446:N446"/>
    <mergeCell ref="G580:J580"/>
    <mergeCell ref="A153:N153"/>
    <mergeCell ref="C335:D335"/>
    <mergeCell ref="K561:M561"/>
    <mergeCell ref="M448:N448"/>
    <mergeCell ref="D418:F418"/>
    <mergeCell ref="B87:L87"/>
    <mergeCell ref="J193:K193"/>
    <mergeCell ref="A130:C130"/>
    <mergeCell ref="A259:B259"/>
    <mergeCell ref="A253:B253"/>
    <mergeCell ref="L40:M40"/>
    <mergeCell ref="J72:L72"/>
    <mergeCell ref="B456:L456"/>
    <mergeCell ref="A138:C138"/>
    <mergeCell ref="A132:C132"/>
    <mergeCell ref="D413:F413"/>
    <mergeCell ref="C317:D317"/>
    <mergeCell ref="M377:N377"/>
    <mergeCell ref="I523:K523"/>
    <mergeCell ref="M675:N675"/>
    <mergeCell ref="K130:N130"/>
    <mergeCell ref="D181:J181"/>
    <mergeCell ref="E233:F233"/>
    <mergeCell ref="G608:J608"/>
    <mergeCell ref="D415:F415"/>
    <mergeCell ref="K551:M551"/>
    <mergeCell ref="C319:D319"/>
    <mergeCell ref="K612:M612"/>
    <mergeCell ref="A133:C133"/>
    <mergeCell ref="K132:N132"/>
    <mergeCell ref="E235:F235"/>
    <mergeCell ref="K605:M605"/>
    <mergeCell ref="M676:N676"/>
    <mergeCell ref="J210:N210"/>
    <mergeCell ref="H448:J448"/>
    <mergeCell ref="K607:M607"/>
    <mergeCell ref="A507:N507"/>
    <mergeCell ref="F198:G198"/>
    <mergeCell ref="L270:N270"/>
    <mergeCell ref="B586:D586"/>
    <mergeCell ref="B520:F520"/>
    <mergeCell ref="K421:L421"/>
    <mergeCell ref="E551:F551"/>
    <mergeCell ref="M396:N396"/>
    <mergeCell ref="M390:N390"/>
    <mergeCell ref="D39:E39"/>
    <mergeCell ref="G71:I71"/>
    <mergeCell ref="M91:N91"/>
    <mergeCell ref="M389:N389"/>
    <mergeCell ref="K178:N178"/>
    <mergeCell ref="G492:H492"/>
    <mergeCell ref="B418:C418"/>
    <mergeCell ref="A146:C146"/>
    <mergeCell ref="A525:N525"/>
    <mergeCell ref="M93:N93"/>
    <mergeCell ref="C123:F123"/>
    <mergeCell ref="B368:L368"/>
    <mergeCell ref="M391:N391"/>
    <mergeCell ref="G521:H521"/>
    <mergeCell ref="A325:B325"/>
    <mergeCell ref="A300:B300"/>
    <mergeCell ref="F426:G426"/>
    <mergeCell ref="B597:D597"/>
    <mergeCell ref="K351:M351"/>
    <mergeCell ref="D680:N680"/>
    <mergeCell ref="G74:I74"/>
    <mergeCell ref="G523:H523"/>
    <mergeCell ref="H192:I192"/>
    <mergeCell ref="B599:D599"/>
    <mergeCell ref="F428:G428"/>
    <mergeCell ref="M532:N532"/>
    <mergeCell ref="M75:N75"/>
    <mergeCell ref="M233:N233"/>
    <mergeCell ref="A199:C199"/>
    <mergeCell ref="M409:N409"/>
    <mergeCell ref="M531:N531"/>
    <mergeCell ref="E605:F605"/>
    <mergeCell ref="C113:F113"/>
    <mergeCell ref="K348:M348"/>
    <mergeCell ref="M444:N444"/>
    <mergeCell ref="B361:J361"/>
    <mergeCell ref="B32:G32"/>
    <mergeCell ref="M235:N235"/>
    <mergeCell ref="G234:H234"/>
    <mergeCell ref="E607:F607"/>
    <mergeCell ref="G208:I208"/>
    <mergeCell ref="A380:B380"/>
    <mergeCell ref="A372:B372"/>
    <mergeCell ref="I517:K517"/>
    <mergeCell ref="A152:N152"/>
    <mergeCell ref="B85:L85"/>
    <mergeCell ref="A382:B382"/>
    <mergeCell ref="A338:B338"/>
    <mergeCell ref="M460:N460"/>
    <mergeCell ref="I519:K519"/>
    <mergeCell ref="K581:M581"/>
    <mergeCell ref="K547:M547"/>
    <mergeCell ref="A341:C341"/>
    <mergeCell ref="K577:M577"/>
    <mergeCell ref="A252:B252"/>
    <mergeCell ref="K549:M549"/>
    <mergeCell ref="K576:M576"/>
    <mergeCell ref="A131:C131"/>
    <mergeCell ref="M457:N457"/>
    <mergeCell ref="B549:D549"/>
    <mergeCell ref="K578:M578"/>
    <mergeCell ref="F200:G200"/>
    <mergeCell ref="A95:B95"/>
    <mergeCell ref="K117:L117"/>
    <mergeCell ref="I659:K659"/>
    <mergeCell ref="M61:N61"/>
    <mergeCell ref="G141:J141"/>
    <mergeCell ref="A122:B122"/>
    <mergeCell ref="A97:B97"/>
    <mergeCell ref="I661:K661"/>
    <mergeCell ref="F195:G195"/>
    <mergeCell ref="K427:L427"/>
    <mergeCell ref="K112:L112"/>
    <mergeCell ref="I654:K654"/>
    <mergeCell ref="E557:F557"/>
    <mergeCell ref="B552:D552"/>
    <mergeCell ref="F197:G197"/>
    <mergeCell ref="M56:N56"/>
    <mergeCell ref="E436:G436"/>
    <mergeCell ref="D343:N343"/>
    <mergeCell ref="D345:N345"/>
    <mergeCell ref="K443:L443"/>
    <mergeCell ref="B568:D568"/>
    <mergeCell ref="G494:H494"/>
    <mergeCell ref="K445:L445"/>
    <mergeCell ref="K438:L438"/>
    <mergeCell ref="E568:F568"/>
    <mergeCell ref="F673:H673"/>
    <mergeCell ref="E576:F576"/>
    <mergeCell ref="K492:N492"/>
    <mergeCell ref="E570:F570"/>
    <mergeCell ref="M100:N100"/>
    <mergeCell ref="E449:G449"/>
    <mergeCell ref="M529:N529"/>
    <mergeCell ref="K494:N494"/>
    <mergeCell ref="A466:B466"/>
    <mergeCell ref="M102:N102"/>
    <mergeCell ref="K493:N493"/>
    <mergeCell ref="B212:L212"/>
    <mergeCell ref="A544:N544"/>
    <mergeCell ref="D539:N539"/>
    <mergeCell ref="D243:N243"/>
    <mergeCell ref="A467:B467"/>
    <mergeCell ref="A12:C12"/>
    <mergeCell ref="G233:H233"/>
    <mergeCell ref="B352:J352"/>
    <mergeCell ref="M433:N433"/>
    <mergeCell ref="A14:C14"/>
    <mergeCell ref="J389:L389"/>
    <mergeCell ref="M426:N426"/>
    <mergeCell ref="B33:G33"/>
    <mergeCell ref="M428:N428"/>
    <mergeCell ref="B35:G35"/>
    <mergeCell ref="H198:I198"/>
    <mergeCell ref="A616:N616"/>
    <mergeCell ref="A91:B91"/>
    <mergeCell ref="A389:B389"/>
    <mergeCell ref="G559:J559"/>
    <mergeCell ref="I630:K630"/>
    <mergeCell ref="A399:C399"/>
    <mergeCell ref="A93:B93"/>
    <mergeCell ref="L186:N186"/>
    <mergeCell ref="A391:B391"/>
    <mergeCell ref="G148:J148"/>
    <mergeCell ref="A617:N617"/>
    <mergeCell ref="A243:C243"/>
    <mergeCell ref="A25:C25"/>
    <mergeCell ref="G560:J560"/>
    <mergeCell ref="I650:K650"/>
    <mergeCell ref="C463:E463"/>
    <mergeCell ref="I625:K625"/>
    <mergeCell ref="B522:F522"/>
    <mergeCell ref="B516:F516"/>
    <mergeCell ref="A394:C394"/>
    <mergeCell ref="H40:I40"/>
    <mergeCell ref="K259:N259"/>
    <mergeCell ref="B176:C176"/>
    <mergeCell ref="D341:N341"/>
    <mergeCell ref="C96:L96"/>
    <mergeCell ref="K439:L439"/>
    <mergeCell ref="B65:D65"/>
    <mergeCell ref="G130:J130"/>
    <mergeCell ref="A233:B233"/>
    <mergeCell ref="A531:B531"/>
    <mergeCell ref="K441:L441"/>
    <mergeCell ref="L468:N468"/>
    <mergeCell ref="C527:L527"/>
    <mergeCell ref="G132:J132"/>
    <mergeCell ref="A235:B235"/>
    <mergeCell ref="C297:D297"/>
    <mergeCell ref="D148:F148"/>
    <mergeCell ref="D342:N342"/>
    <mergeCell ref="M655:N655"/>
    <mergeCell ref="K434:L434"/>
    <mergeCell ref="A106:B106"/>
    <mergeCell ref="C299:D299"/>
    <mergeCell ref="C93:L93"/>
    <mergeCell ref="M657:N657"/>
    <mergeCell ref="D25:N25"/>
    <mergeCell ref="K436:L436"/>
    <mergeCell ref="E572:F572"/>
    <mergeCell ref="B204:C204"/>
    <mergeCell ref="C292:D292"/>
    <mergeCell ref="E566:F566"/>
    <mergeCell ref="M71:N71"/>
    <mergeCell ref="K613:M613"/>
    <mergeCell ref="G209:I209"/>
    <mergeCell ref="E445:G445"/>
    <mergeCell ref="B75:C75"/>
    <mergeCell ref="E574:F574"/>
    <mergeCell ref="A31:N31"/>
    <mergeCell ref="D173:J173"/>
    <mergeCell ref="E446:G446"/>
    <mergeCell ref="G204:I204"/>
    <mergeCell ref="B70:C70"/>
    <mergeCell ref="D134:F134"/>
    <mergeCell ref="M639:N639"/>
    <mergeCell ref="E569:F569"/>
    <mergeCell ref="A463:B463"/>
    <mergeCell ref="A8:C8"/>
    <mergeCell ref="E448:G448"/>
    <mergeCell ref="G206:I206"/>
    <mergeCell ref="A342:C342"/>
    <mergeCell ref="M668:N668"/>
    <mergeCell ref="D174:J174"/>
    <mergeCell ref="A465:B465"/>
    <mergeCell ref="A10:C10"/>
    <mergeCell ref="C372:F372"/>
    <mergeCell ref="A344:C344"/>
    <mergeCell ref="M670:N670"/>
    <mergeCell ref="M213:N213"/>
    <mergeCell ref="A251:N251"/>
    <mergeCell ref="K449:L449"/>
    <mergeCell ref="E585:F585"/>
    <mergeCell ref="C374:F374"/>
    <mergeCell ref="D192:E192"/>
    <mergeCell ref="D642:E642"/>
    <mergeCell ref="M671:N671"/>
    <mergeCell ref="J391:L391"/>
    <mergeCell ref="D644:E644"/>
    <mergeCell ref="C234:D234"/>
    <mergeCell ref="A21:C21"/>
    <mergeCell ref="I621:K621"/>
    <mergeCell ref="B512:F512"/>
    <mergeCell ref="J229:N229"/>
    <mergeCell ref="F403:G403"/>
    <mergeCell ref="E613:F613"/>
    <mergeCell ref="A23:C23"/>
    <mergeCell ref="I623:K623"/>
    <mergeCell ref="J75:L75"/>
    <mergeCell ref="D660:E660"/>
    <mergeCell ref="B447:D447"/>
    <mergeCell ref="B605:D605"/>
    <mergeCell ref="C116:F116"/>
    <mergeCell ref="L200:M200"/>
    <mergeCell ref="B449:D449"/>
    <mergeCell ref="D7:N7"/>
    <mergeCell ref="B515:F515"/>
    <mergeCell ref="B442:D442"/>
    <mergeCell ref="I463:K463"/>
    <mergeCell ref="L464:N464"/>
    <mergeCell ref="H400:L400"/>
    <mergeCell ref="F638:H638"/>
    <mergeCell ref="A504:B504"/>
    <mergeCell ref="F421:G421"/>
    <mergeCell ref="D208:F208"/>
    <mergeCell ref="G121:J121"/>
    <mergeCell ref="I465:K465"/>
    <mergeCell ref="H402:L402"/>
    <mergeCell ref="F640:H640"/>
    <mergeCell ref="I641:K641"/>
    <mergeCell ref="K557:M557"/>
    <mergeCell ref="G586:J586"/>
    <mergeCell ref="M628:N628"/>
    <mergeCell ref="G513:H513"/>
    <mergeCell ref="G123:J123"/>
    <mergeCell ref="H395:L395"/>
    <mergeCell ref="F633:H633"/>
    <mergeCell ref="M621:N621"/>
    <mergeCell ref="C290:D290"/>
    <mergeCell ref="M623:N623"/>
    <mergeCell ref="I490:J490"/>
    <mergeCell ref="L520:N520"/>
    <mergeCell ref="D137:F137"/>
    <mergeCell ref="C467:E467"/>
    <mergeCell ref="G596:J596"/>
    <mergeCell ref="C321:D321"/>
    <mergeCell ref="F622:H622"/>
    <mergeCell ref="A217:B217"/>
    <mergeCell ref="D130:F130"/>
    <mergeCell ref="C469:E469"/>
    <mergeCell ref="L521:N521"/>
    <mergeCell ref="F651:H651"/>
    <mergeCell ref="D132:F132"/>
    <mergeCell ref="G597:J597"/>
    <mergeCell ref="K120:L120"/>
    <mergeCell ref="C316:D316"/>
    <mergeCell ref="L523:N523"/>
    <mergeCell ref="C492:D492"/>
    <mergeCell ref="F653:H653"/>
    <mergeCell ref="M641:N641"/>
    <mergeCell ref="G599:J599"/>
    <mergeCell ref="F652:H652"/>
    <mergeCell ref="A38:N38"/>
    <mergeCell ref="D536:N536"/>
    <mergeCell ref="F648:H648"/>
    <mergeCell ref="A276:B276"/>
    <mergeCell ref="A270:B270"/>
    <mergeCell ref="J387:L387"/>
    <mergeCell ref="A149:C149"/>
    <mergeCell ref="B208:C208"/>
    <mergeCell ref="B550:D550"/>
    <mergeCell ref="D640:E640"/>
    <mergeCell ref="C334:D334"/>
    <mergeCell ref="K596:M596"/>
    <mergeCell ref="B210:C210"/>
    <mergeCell ref="A271:B271"/>
    <mergeCell ref="B460:L460"/>
    <mergeCell ref="C336:D336"/>
    <mergeCell ref="C92:L92"/>
    <mergeCell ref="A150:C150"/>
    <mergeCell ref="A144:C144"/>
    <mergeCell ref="M237:N237"/>
    <mergeCell ref="J225:N225"/>
    <mergeCell ref="F399:G399"/>
    <mergeCell ref="B545:D545"/>
    <mergeCell ref="C329:D329"/>
    <mergeCell ref="J71:L71"/>
    <mergeCell ref="B455:L455"/>
    <mergeCell ref="M239:N239"/>
    <mergeCell ref="J227:N227"/>
    <mergeCell ref="E611:F611"/>
    <mergeCell ref="C331:D331"/>
    <mergeCell ref="C389:F389"/>
    <mergeCell ref="C112:F112"/>
    <mergeCell ref="A393:N393"/>
    <mergeCell ref="G72:I72"/>
    <mergeCell ref="J73:L73"/>
    <mergeCell ref="B457:L457"/>
    <mergeCell ref="C114:F114"/>
    <mergeCell ref="D651:E651"/>
    <mergeCell ref="A500:B500"/>
    <mergeCell ref="D659:E659"/>
    <mergeCell ref="G549:J549"/>
    <mergeCell ref="D204:F204"/>
    <mergeCell ref="D653:E653"/>
    <mergeCell ref="B440:D440"/>
    <mergeCell ref="M407:N407"/>
    <mergeCell ref="B598:D598"/>
    <mergeCell ref="F427:G427"/>
    <mergeCell ref="A502:B502"/>
    <mergeCell ref="D206:F206"/>
    <mergeCell ref="A679:C679"/>
    <mergeCell ref="H193:I193"/>
    <mergeCell ref="H33:N33"/>
    <mergeCell ref="G388:I388"/>
    <mergeCell ref="M408:N408"/>
    <mergeCell ref="G240:H240"/>
    <mergeCell ref="M402:N402"/>
    <mergeCell ref="K548:M548"/>
    <mergeCell ref="H35:N35"/>
    <mergeCell ref="M619:N619"/>
    <mergeCell ref="M410:N410"/>
    <mergeCell ref="B614:D614"/>
    <mergeCell ref="A224:I224"/>
    <mergeCell ref="G389:I389"/>
    <mergeCell ref="G383:I383"/>
    <mergeCell ref="D16:N16"/>
    <mergeCell ref="G235:H235"/>
    <mergeCell ref="L517:N517"/>
    <mergeCell ref="G385:I385"/>
    <mergeCell ref="D18:N18"/>
    <mergeCell ref="A373:B373"/>
    <mergeCell ref="G593:J593"/>
    <mergeCell ref="M635:N635"/>
    <mergeCell ref="L519:N519"/>
    <mergeCell ref="M637:N637"/>
    <mergeCell ref="G595:J595"/>
    <mergeCell ref="E493:F493"/>
    <mergeCell ref="B100:L100"/>
    <mergeCell ref="F650:H650"/>
    <mergeCell ref="C125:F125"/>
    <mergeCell ref="M632:N632"/>
    <mergeCell ref="B102:L102"/>
    <mergeCell ref="D400:E400"/>
    <mergeCell ref="F464:H464"/>
    <mergeCell ref="I500:K500"/>
    <mergeCell ref="A678:N678"/>
    <mergeCell ref="C305:D305"/>
    <mergeCell ref="A236:B236"/>
    <mergeCell ref="K564:M564"/>
    <mergeCell ref="I494:J494"/>
    <mergeCell ref="K594:M594"/>
    <mergeCell ref="I501:K501"/>
    <mergeCell ref="B178:C178"/>
    <mergeCell ref="G606:J606"/>
    <mergeCell ref="H434:J434"/>
    <mergeCell ref="K593:M593"/>
    <mergeCell ref="M45:N45"/>
    <mergeCell ref="K138:N138"/>
    <mergeCell ref="F668:H668"/>
    <mergeCell ref="A148:C148"/>
    <mergeCell ref="E548:F548"/>
    <mergeCell ref="H436:J436"/>
    <mergeCell ref="J192:K192"/>
    <mergeCell ref="C327:D327"/>
    <mergeCell ref="B572:D572"/>
    <mergeCell ref="K595:M595"/>
    <mergeCell ref="D179:J179"/>
    <mergeCell ref="M47:N47"/>
    <mergeCell ref="K140:N140"/>
    <mergeCell ref="H428:J428"/>
    <mergeCell ref="I518:K518"/>
    <mergeCell ref="J194:K194"/>
    <mergeCell ref="F663:H663"/>
    <mergeCell ref="D622:E622"/>
    <mergeCell ref="M376:N376"/>
    <mergeCell ref="B567:D567"/>
    <mergeCell ref="D180:J180"/>
    <mergeCell ref="A287:B287"/>
    <mergeCell ref="I513:K513"/>
    <mergeCell ref="C385:F385"/>
    <mergeCell ref="A281:B281"/>
    <mergeCell ref="B559:D559"/>
    <mergeCell ref="M378:N378"/>
    <mergeCell ref="K496:N496"/>
    <mergeCell ref="B569:D569"/>
    <mergeCell ref="M73:N73"/>
    <mergeCell ref="A316:B316"/>
    <mergeCell ref="K498:N498"/>
    <mergeCell ref="A282:B282"/>
    <mergeCell ref="H447:J447"/>
    <mergeCell ref="B556:D556"/>
    <mergeCell ref="K606:M606"/>
    <mergeCell ref="G509:H509"/>
    <mergeCell ref="H449:J449"/>
    <mergeCell ref="M406:N406"/>
    <mergeCell ref="A313:B313"/>
    <mergeCell ref="B585:D585"/>
    <mergeCell ref="A307:B307"/>
    <mergeCell ref="G511:H511"/>
    <mergeCell ref="G81:I81"/>
    <mergeCell ref="G379:I379"/>
    <mergeCell ref="B587:D587"/>
    <mergeCell ref="A336:B336"/>
    <mergeCell ref="L190:N190"/>
    <mergeCell ref="G556:J556"/>
    <mergeCell ref="G387:I387"/>
    <mergeCell ref="G381:I381"/>
    <mergeCell ref="A308:B308"/>
    <mergeCell ref="B580:D580"/>
    <mergeCell ref="M63:N63"/>
    <mergeCell ref="G564:J564"/>
    <mergeCell ref="G558:J558"/>
    <mergeCell ref="M422:N422"/>
    <mergeCell ref="H200:I200"/>
    <mergeCell ref="E587:F587"/>
    <mergeCell ref="A310:B310"/>
    <mergeCell ref="B582:D582"/>
    <mergeCell ref="K361:M361"/>
    <mergeCell ref="M432:N432"/>
    <mergeCell ref="L185:N185"/>
    <mergeCell ref="E491:F491"/>
    <mergeCell ref="D396:E396"/>
    <mergeCell ref="A326:B326"/>
    <mergeCell ref="A239:B239"/>
    <mergeCell ref="B359:J359"/>
    <mergeCell ref="G413:N413"/>
    <mergeCell ref="D398:E398"/>
    <mergeCell ref="A2:N2"/>
    <mergeCell ref="G415:N415"/>
    <mergeCell ref="M443:N443"/>
    <mergeCell ref="A688:C688"/>
    <mergeCell ref="C296:D296"/>
    <mergeCell ref="F463:H463"/>
    <mergeCell ref="I502:K502"/>
    <mergeCell ref="M445:N445"/>
    <mergeCell ref="H432:J432"/>
    <mergeCell ref="B213:L213"/>
    <mergeCell ref="C298:D298"/>
    <mergeCell ref="K591:M591"/>
    <mergeCell ref="K136:N136"/>
    <mergeCell ref="A110:B110"/>
    <mergeCell ref="F631:H631"/>
    <mergeCell ref="D178:J178"/>
    <mergeCell ref="M367:N367"/>
    <mergeCell ref="B73:C73"/>
    <mergeCell ref="F468:H468"/>
    <mergeCell ref="K425:L425"/>
    <mergeCell ref="I669:K669"/>
    <mergeCell ref="M674:N674"/>
    <mergeCell ref="M77:N77"/>
    <mergeCell ref="H443:J443"/>
    <mergeCell ref="M375:N375"/>
    <mergeCell ref="M369:N369"/>
    <mergeCell ref="K602:M602"/>
    <mergeCell ref="H445:J445"/>
    <mergeCell ref="B74:C74"/>
    <mergeCell ref="K604:M604"/>
    <mergeCell ref="K149:N149"/>
    <mergeCell ref="A231:N231"/>
    <mergeCell ref="A121:B121"/>
    <mergeCell ref="M72:N72"/>
    <mergeCell ref="L267:N267"/>
    <mergeCell ref="M87:N87"/>
    <mergeCell ref="A304:B304"/>
    <mergeCell ref="B551:D551"/>
    <mergeCell ref="L269:N269"/>
    <mergeCell ref="M59:N59"/>
    <mergeCell ref="E437:G437"/>
    <mergeCell ref="F196:G196"/>
    <mergeCell ref="K113:L113"/>
    <mergeCell ref="B578:D578"/>
    <mergeCell ref="M88:N88"/>
    <mergeCell ref="M82:N82"/>
    <mergeCell ref="K175:N175"/>
    <mergeCell ref="M54:N54"/>
    <mergeCell ref="A335:B335"/>
    <mergeCell ref="A128:N128"/>
    <mergeCell ref="M388:N388"/>
    <mergeCell ref="K177:N177"/>
    <mergeCell ref="E586:F586"/>
    <mergeCell ref="G520:H520"/>
    <mergeCell ref="A129:N129"/>
    <mergeCell ref="C121:F121"/>
    <mergeCell ref="M85:N85"/>
    <mergeCell ref="D193:E193"/>
    <mergeCell ref="C94:L94"/>
    <mergeCell ref="A324:B324"/>
    <mergeCell ref="B596:D596"/>
    <mergeCell ref="C240:D240"/>
    <mergeCell ref="M439:N439"/>
    <mergeCell ref="A196:C196"/>
    <mergeCell ref="E602:F602"/>
    <mergeCell ref="E596:F596"/>
    <mergeCell ref="A319:B319"/>
    <mergeCell ref="M441:N441"/>
    <mergeCell ref="C235:D235"/>
    <mergeCell ref="A198:C198"/>
    <mergeCell ref="M530:N530"/>
    <mergeCell ref="K562:M562"/>
    <mergeCell ref="E604:F604"/>
    <mergeCell ref="E447:G447"/>
    <mergeCell ref="G205:I205"/>
    <mergeCell ref="A1:N1"/>
    <mergeCell ref="E597:F597"/>
    <mergeCell ref="D661:E661"/>
    <mergeCell ref="D198:E198"/>
    <mergeCell ref="A379:B379"/>
    <mergeCell ref="E599:F599"/>
    <mergeCell ref="H399:L399"/>
    <mergeCell ref="I638:K638"/>
    <mergeCell ref="A381:B381"/>
    <mergeCell ref="I640:K640"/>
    <mergeCell ref="G112:J112"/>
    <mergeCell ref="A340:C340"/>
    <mergeCell ref="F466:H466"/>
    <mergeCell ref="M454:N454"/>
    <mergeCell ref="D24:N24"/>
    <mergeCell ref="A92:B92"/>
    <mergeCell ref="K423:L423"/>
    <mergeCell ref="I656:K656"/>
    <mergeCell ref="B72:C72"/>
    <mergeCell ref="D136:F136"/>
    <mergeCell ref="C279:D279"/>
    <mergeCell ref="G138:J138"/>
    <mergeCell ref="A119:B119"/>
    <mergeCell ref="A94:B94"/>
    <mergeCell ref="K238:L238"/>
    <mergeCell ref="B513:F513"/>
    <mergeCell ref="C503:H503"/>
    <mergeCell ref="F192:G192"/>
    <mergeCell ref="K126:L126"/>
    <mergeCell ref="K109:L109"/>
    <mergeCell ref="G140:J140"/>
    <mergeCell ref="I651:K651"/>
    <mergeCell ref="K240:L240"/>
    <mergeCell ref="E554:F554"/>
    <mergeCell ref="F194:G194"/>
    <mergeCell ref="C491:D491"/>
    <mergeCell ref="B514:F514"/>
    <mergeCell ref="B82:C82"/>
    <mergeCell ref="K111:L111"/>
    <mergeCell ref="I653:K653"/>
    <mergeCell ref="K173:N173"/>
    <mergeCell ref="E555:F555"/>
    <mergeCell ref="E549:F549"/>
    <mergeCell ref="B540:C540"/>
    <mergeCell ref="D683:N683"/>
    <mergeCell ref="D149:F149"/>
    <mergeCell ref="M656:N656"/>
    <mergeCell ref="G614:J614"/>
    <mergeCell ref="B541:C541"/>
    <mergeCell ref="F670:H670"/>
    <mergeCell ref="A27:C27"/>
    <mergeCell ref="J375:L375"/>
    <mergeCell ref="M526:N526"/>
    <mergeCell ref="D657:E657"/>
    <mergeCell ref="B444:D444"/>
    <mergeCell ref="D200:E200"/>
    <mergeCell ref="G239:H239"/>
    <mergeCell ref="E595:F595"/>
    <mergeCell ref="D79:F79"/>
    <mergeCell ref="A464:B464"/>
    <mergeCell ref="A9:C9"/>
    <mergeCell ref="A377:B377"/>
    <mergeCell ref="D81:F81"/>
    <mergeCell ref="A226:I226"/>
    <mergeCell ref="A11:C11"/>
    <mergeCell ref="L463:N463"/>
    <mergeCell ref="E497:F497"/>
    <mergeCell ref="A228:I228"/>
    <mergeCell ref="B45:L45"/>
    <mergeCell ref="L465:N465"/>
    <mergeCell ref="J388:L388"/>
    <mergeCell ref="D76:F76"/>
    <mergeCell ref="D20:N20"/>
    <mergeCell ref="B47:L47"/>
    <mergeCell ref="J390:L390"/>
    <mergeCell ref="D22:N22"/>
    <mergeCell ref="D676:E676"/>
    <mergeCell ref="F434:G434"/>
    <mergeCell ref="G566:J566"/>
    <mergeCell ref="E494:F494"/>
    <mergeCell ref="A388:B388"/>
    <mergeCell ref="C277:D277"/>
    <mergeCell ref="B101:L101"/>
    <mergeCell ref="J385:L385"/>
    <mergeCell ref="G136:J136"/>
    <mergeCell ref="I622:K622"/>
    <mergeCell ref="C276:D276"/>
    <mergeCell ref="A390:B390"/>
    <mergeCell ref="D671:E671"/>
    <mergeCell ref="C278:D278"/>
    <mergeCell ref="M636:N636"/>
    <mergeCell ref="B54:D54"/>
    <mergeCell ref="A691:C691"/>
    <mergeCell ref="B177:C177"/>
    <mergeCell ref="K258:N258"/>
    <mergeCell ref="L201:M201"/>
    <mergeCell ref="B56:D56"/>
    <mergeCell ref="B406:L406"/>
    <mergeCell ref="B206:C206"/>
    <mergeCell ref="K260:N260"/>
    <mergeCell ref="I464:K464"/>
    <mergeCell ref="F639:H639"/>
    <mergeCell ref="A530:B530"/>
    <mergeCell ref="C288:D288"/>
    <mergeCell ref="M652:N652"/>
    <mergeCell ref="I675:K675"/>
    <mergeCell ref="F666:H666"/>
    <mergeCell ref="M618:N618"/>
    <mergeCell ref="D147:F147"/>
    <mergeCell ref="A532:B532"/>
    <mergeCell ref="G612:J612"/>
    <mergeCell ref="K433:L433"/>
    <mergeCell ref="G149:J149"/>
    <mergeCell ref="M51:N51"/>
    <mergeCell ref="M647:N647"/>
    <mergeCell ref="G605:J605"/>
    <mergeCell ref="I676:K676"/>
    <mergeCell ref="H425:J425"/>
    <mergeCell ref="F661:H661"/>
    <mergeCell ref="C291:D291"/>
    <mergeCell ref="C387:F387"/>
    <mergeCell ref="D626:E626"/>
    <mergeCell ref="M649:N649"/>
    <mergeCell ref="G607:J607"/>
    <mergeCell ref="E564:F564"/>
    <mergeCell ref="C468:E468"/>
    <mergeCell ref="H427:J427"/>
    <mergeCell ref="F669:H669"/>
    <mergeCell ref="D628:E628"/>
    <mergeCell ref="C382:F382"/>
    <mergeCell ref="I240:J240"/>
    <mergeCell ref="D686:N686"/>
    <mergeCell ref="D623:E623"/>
    <mergeCell ref="C530:L530"/>
    <mergeCell ref="A7:C7"/>
    <mergeCell ref="M667:N667"/>
    <mergeCell ref="C532:L532"/>
    <mergeCell ref="M368:N368"/>
    <mergeCell ref="M660:N660"/>
    <mergeCell ref="A250:N250"/>
    <mergeCell ref="D639:E639"/>
    <mergeCell ref="G562:J562"/>
    <mergeCell ref="D641:E641"/>
    <mergeCell ref="A297:B297"/>
    <mergeCell ref="I618:K618"/>
    <mergeCell ref="F425:G425"/>
    <mergeCell ref="F400:G400"/>
    <mergeCell ref="F619:H619"/>
    <mergeCell ref="I620:K620"/>
    <mergeCell ref="D669:E669"/>
    <mergeCell ref="F402:G402"/>
    <mergeCell ref="E66:L66"/>
    <mergeCell ref="B369:L369"/>
    <mergeCell ref="A687:C687"/>
    <mergeCell ref="B173:C173"/>
    <mergeCell ref="L505:N505"/>
    <mergeCell ref="L199:M199"/>
    <mergeCell ref="F635:H635"/>
    <mergeCell ref="G581:J581"/>
    <mergeCell ref="G575:J575"/>
    <mergeCell ref="D205:F205"/>
    <mergeCell ref="I498:J498"/>
    <mergeCell ref="L500:N500"/>
    <mergeCell ref="B360:J360"/>
    <mergeCell ref="G577:J577"/>
    <mergeCell ref="B55:D55"/>
    <mergeCell ref="G120:J120"/>
    <mergeCell ref="F630:H630"/>
    <mergeCell ref="G576:J576"/>
    <mergeCell ref="B88:L88"/>
    <mergeCell ref="L502:N502"/>
    <mergeCell ref="A400:C400"/>
    <mergeCell ref="F632:H632"/>
    <mergeCell ref="C287:D287"/>
    <mergeCell ref="A254:B254"/>
    <mergeCell ref="L41:M41"/>
    <mergeCell ref="M645:N645"/>
    <mergeCell ref="M620:N620"/>
    <mergeCell ref="G578:J578"/>
    <mergeCell ref="A402:C402"/>
    <mergeCell ref="C464:E464"/>
    <mergeCell ref="A125:B125"/>
    <mergeCell ref="C289:D289"/>
    <mergeCell ref="A53:N53"/>
    <mergeCell ref="L184:N184"/>
    <mergeCell ref="L518:N518"/>
    <mergeCell ref="C314:D314"/>
  </mergeCells>
  <conditionalFormatting sqref="F275:F338">
    <cfRule type="colorScale" priority="1">
      <colorScale>
        <cfvo type="num" val="0"/>
        <cfvo type="num" val="40"/>
        <color rgb="00FFFFFF"/>
        <color rgb="005B9BD5"/>
      </colorScale>
    </cfRule>
  </conditionalFormatting>
  <conditionalFormatting sqref="G275:G338">
    <cfRule type="colorScale" priority="2">
      <colorScale>
        <cfvo type="num" val="0"/>
        <cfvo type="num" val="40"/>
        <color rgb="00FFFFFF"/>
        <color rgb="005B9BD5"/>
      </colorScale>
    </cfRule>
  </conditionalFormatting>
  <conditionalFormatting sqref="H275:H338">
    <cfRule type="colorScale" priority="3">
      <colorScale>
        <cfvo type="num" val="0"/>
        <cfvo type="num" val="40"/>
        <color rgb="00FFFFFF"/>
        <color rgb="005B9BD5"/>
      </colorScale>
    </cfRule>
  </conditionalFormatting>
  <conditionalFormatting sqref="I275:I338">
    <cfRule type="colorScale" priority="4">
      <colorScale>
        <cfvo type="num" val="0"/>
        <cfvo type="num" val="40"/>
        <color rgb="00FFFFFF"/>
        <color rgb="005B9BD5"/>
      </colorScale>
    </cfRule>
  </conditionalFormatting>
  <conditionalFormatting sqref="J275:J338">
    <cfRule type="colorScale" priority="5">
      <colorScale>
        <cfvo type="num" val="0"/>
        <cfvo type="num" val="40"/>
        <color rgb="00FFFFFF"/>
        <color rgb="005B9BD5"/>
      </colorScale>
    </cfRule>
  </conditionalFormatting>
  <conditionalFormatting sqref="K275:K338">
    <cfRule type="colorScale" priority="6">
      <colorScale>
        <cfvo type="num" val="0"/>
        <cfvo type="num" val="40"/>
        <color rgb="00FFFFFF"/>
        <color rgb="005B9BD5"/>
      </colorScale>
    </cfRule>
  </conditionalFormatting>
  <hyperlinks>
    <hyperlink xmlns:r="http://schemas.openxmlformats.org/officeDocument/2006/relationships" ref="O1" r:id="rId1"/>
    <hyperlink xmlns:r="http://schemas.openxmlformats.org/officeDocument/2006/relationships" ref="A7" r:id="rId2"/>
    <hyperlink xmlns:r="http://schemas.openxmlformats.org/officeDocument/2006/relationships" ref="A8" r:id="rId3"/>
    <hyperlink xmlns:r="http://schemas.openxmlformats.org/officeDocument/2006/relationships" ref="A9" r:id="rId4"/>
    <hyperlink xmlns:r="http://schemas.openxmlformats.org/officeDocument/2006/relationships" ref="A11" r:id="rId5"/>
    <hyperlink xmlns:r="http://schemas.openxmlformats.org/officeDocument/2006/relationships" ref="A12" r:id="rId6"/>
    <hyperlink xmlns:r="http://schemas.openxmlformats.org/officeDocument/2006/relationships" ref="A13" r:id="rId7"/>
    <hyperlink xmlns:r="http://schemas.openxmlformats.org/officeDocument/2006/relationships" ref="A15" r:id="rId8"/>
    <hyperlink xmlns:r="http://schemas.openxmlformats.org/officeDocument/2006/relationships" ref="A16" r:id="rId9"/>
    <hyperlink xmlns:r="http://schemas.openxmlformats.org/officeDocument/2006/relationships" ref="A17" r:id="rId10"/>
    <hyperlink xmlns:r="http://schemas.openxmlformats.org/officeDocument/2006/relationships" ref="A18" r:id="rId11"/>
    <hyperlink xmlns:r="http://schemas.openxmlformats.org/officeDocument/2006/relationships" ref="A19" r:id="rId12"/>
    <hyperlink xmlns:r="http://schemas.openxmlformats.org/officeDocument/2006/relationships" ref="A20" r:id="rId13"/>
    <hyperlink xmlns:r="http://schemas.openxmlformats.org/officeDocument/2006/relationships" ref="A21" r:id="rId14"/>
    <hyperlink xmlns:r="http://schemas.openxmlformats.org/officeDocument/2006/relationships" ref="A23" r:id="rId15"/>
    <hyperlink xmlns:r="http://schemas.openxmlformats.org/officeDocument/2006/relationships" ref="A24" r:id="rId16"/>
    <hyperlink xmlns:r="http://schemas.openxmlformats.org/officeDocument/2006/relationships" ref="A25" r:id="rId17"/>
    <hyperlink xmlns:r="http://schemas.openxmlformats.org/officeDocument/2006/relationships" ref="A27" r:id="rId18"/>
  </hyperlinks>
  <pageMargins left="0.4" right="0.4" top="0.5" bottom="0.5" header="0.5" footer="0.5"/>
  <pageSetup orientation="landscape" fitToHeight="0" fitToWidth="1"/>
  <headerFooter>
    <oddHeader/>
    <oddFooter>&amp;LIRIS · Job Architecture &amp; Job Design · Final v1.12 · October 2026 · Internal — Confidential&amp;RPage &amp;P of &amp;N</oddFooter>
    <evenHeader/>
    <evenFooter/>
    <firstHeader/>
    <firstFooter/>
  </headerFooter>
</worksheet>
</file>

<file path=xl/worksheets/sheet25.xml><?xml version="1.0" encoding="utf-8"?>
<worksheet xmlns="http://schemas.openxmlformats.org/spreadsheetml/2006/main">
  <sheetPr>
    <tabColor rgb="00806000"/>
    <outlinePr summaryBelow="1" summaryRight="1"/>
    <pageSetUpPr fitToPage="1"/>
  </sheetPr>
  <dimension ref="A1:P742"/>
  <sheetViews>
    <sheetView showGridLines="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s>
  <sheetData>
    <row r="1" ht="34" customHeight="1">
      <c r="A1" s="1" t="inlineStr">
        <is>
          <t>Master · References &amp; Benchmarks — competitors, regtech and SaaS leaders, standards, databases and sites</t>
        </is>
      </c>
      <c r="P1" s="99" t="inlineStr">
        <is>
          <t>◂ Contents</t>
        </is>
      </c>
    </row>
    <row r="2" ht="32" customHeight="1">
      <c r="A2" s="3" t="inlineStr">
        <is>
          <r>
            <rPr>
              <rFont val="Calibri"/>
              <b val="1"/>
              <i val="1"/>
              <color rgb="00404040"/>
              <sz val="10"/>
            </rPr>
            <t>Scope:</t>
          </r>
          <r>
            <rPr>
              <rFont val="Calibri"/>
              <i val="1"/>
              <color rgb="00404040"/>
              <sz val="10"/>
            </rPr>
            <t xml:space="preserve"> Enterprise — all businesses. Every company, standard, database and website used, and — department by department — what the best standard looks like at each IRIS level · A1 → E2 at IRIS's direct competitors, regtech leaders and SaaS leaders. Peer titles are equivalences of scope, not of pay.</t>
          </r>
        </is>
      </c>
    </row>
    <row r="3">
      <c r="A3" s="4" t="inlineStr">
        <is>
          <t>IRIS · Job Architecture &amp; Job Design · Final v1.12 · October 2026 · Internal — Confidential</t>
        </is>
      </c>
    </row>
    <row r="4" ht="15" customHeight="1"/>
    <row r="5" ht="20" customHeight="1">
      <c r="A5" s="6" t="inlineStr">
        <is>
          <t>R0. How to read the evidence</t>
        </is>
      </c>
    </row>
    <row r="6" ht="15" customHeight="1">
      <c r="A6" s="7" t="inlineStr">
        <is>
          <t>Grade</t>
        </is>
      </c>
      <c r="B6" s="63" t="n"/>
      <c r="C6" s="7" t="inlineStr">
        <is>
          <t>Meaning</t>
        </is>
      </c>
      <c r="D6" s="64" t="n"/>
      <c r="E6" s="64" t="n"/>
      <c r="F6" s="64" t="n"/>
      <c r="G6" s="64" t="n"/>
      <c r="H6" s="64" t="n"/>
      <c r="I6" s="64" t="n"/>
      <c r="J6" s="63" t="n"/>
      <c r="K6" s="7" t="inlineStr">
        <is>
          <t>Use</t>
        </is>
      </c>
      <c r="L6" s="64" t="n"/>
      <c r="M6" s="64" t="n"/>
      <c r="N6" s="64" t="n"/>
      <c r="O6" s="63" t="n"/>
    </row>
    <row r="7" ht="15" customHeight="1">
      <c r="A7" s="14" t="inlineStr">
        <is>
          <t>Primary</t>
        </is>
      </c>
      <c r="B7" s="63" t="n"/>
      <c r="C7" s="9" t="inlineStr">
        <is>
          <t>Publisher's own material · standard body, method owner, company newsroom</t>
        </is>
      </c>
      <c r="D7" s="64" t="n"/>
      <c r="E7" s="64" t="n"/>
      <c r="F7" s="64" t="n"/>
      <c r="G7" s="64" t="n"/>
      <c r="H7" s="64" t="n"/>
      <c r="I7" s="64" t="n"/>
      <c r="J7" s="63" t="n"/>
      <c r="K7" s="9" t="inlineStr">
        <is>
          <t>Rely on</t>
        </is>
      </c>
      <c r="L7" s="64" t="n"/>
      <c r="M7" s="64" t="n"/>
      <c r="N7" s="64" t="n"/>
      <c r="O7" s="63" t="n"/>
    </row>
    <row r="8" ht="15" customHeight="1">
      <c r="A8" s="14" t="inlineStr">
        <is>
          <t>Levels.fyi</t>
        </is>
      </c>
      <c r="B8" s="63" t="n"/>
      <c r="C8" s="9" t="inlineStr">
        <is>
          <t>Crowd-sourced level ladder for a named company</t>
        </is>
      </c>
      <c r="D8" s="64" t="n"/>
      <c r="E8" s="64" t="n"/>
      <c r="F8" s="64" t="n"/>
      <c r="G8" s="64" t="n"/>
      <c r="H8" s="64" t="n"/>
      <c r="I8" s="64" t="n"/>
      <c r="J8" s="63" t="n"/>
      <c r="K8" s="9" t="inlineStr">
        <is>
          <t>Rely on for titles and level order; not for pay</t>
        </is>
      </c>
      <c r="L8" s="64" t="n"/>
      <c r="M8" s="64" t="n"/>
      <c r="N8" s="64" t="n"/>
      <c r="O8" s="63" t="n"/>
    </row>
    <row r="9" ht="15" customHeight="1">
      <c r="A9" s="14" t="inlineStr">
        <is>
          <t>Job postings</t>
        </is>
      </c>
      <c r="B9" s="63" t="n"/>
      <c r="C9" s="9" t="inlineStr">
        <is>
          <t>Titles and requirements taken from the company's own live postings</t>
        </is>
      </c>
      <c r="D9" s="64" t="n"/>
      <c r="E9" s="64" t="n"/>
      <c r="F9" s="64" t="n"/>
      <c r="G9" s="64" t="n"/>
      <c r="H9" s="64" t="n"/>
      <c r="I9" s="64" t="n"/>
      <c r="J9" s="63" t="n"/>
      <c r="K9" s="9" t="inlineStr">
        <is>
          <t>Rely on for titles and experience asked</t>
        </is>
      </c>
      <c r="L9" s="64" t="n"/>
      <c r="M9" s="64" t="n"/>
      <c r="N9" s="64" t="n"/>
      <c r="O9" s="63" t="n"/>
    </row>
    <row r="10" ht="15" customHeight="1">
      <c r="A10" s="14" t="inlineStr">
        <is>
          <t>Secondary</t>
        </is>
      </c>
      <c r="B10" s="63" t="n"/>
      <c r="C10" s="9" t="inlineStr">
        <is>
          <t>Reputable analysis or industry publication</t>
        </is>
      </c>
      <c r="D10" s="64" t="n"/>
      <c r="E10" s="64" t="n"/>
      <c r="F10" s="64" t="n"/>
      <c r="G10" s="64" t="n"/>
      <c r="H10" s="64" t="n"/>
      <c r="I10" s="64" t="n"/>
      <c r="J10" s="63" t="n"/>
      <c r="K10" s="9" t="inlineStr">
        <is>
          <t>Use with the primary sources</t>
        </is>
      </c>
      <c r="L10" s="64" t="n"/>
      <c r="M10" s="64" t="n"/>
      <c r="N10" s="64" t="n"/>
      <c r="O10" s="63" t="n"/>
    </row>
    <row r="11" ht="15" customHeight="1">
      <c r="A11" s="14" t="inlineStr">
        <is>
          <t>Indicative</t>
        </is>
      </c>
      <c r="B11" s="63" t="n"/>
      <c r="C11" s="9" t="inlineStr">
        <is>
          <t>Aggregator or forum; widely repeated</t>
        </is>
      </c>
      <c r="D11" s="64" t="n"/>
      <c r="E11" s="64" t="n"/>
      <c r="F11" s="64" t="n"/>
      <c r="G11" s="64" t="n"/>
      <c r="H11" s="64" t="n"/>
      <c r="I11" s="64" t="n"/>
      <c r="J11" s="63" t="n"/>
      <c r="K11" s="9" t="inlineStr">
        <is>
          <t>Confirm before any pay decision</t>
        </is>
      </c>
      <c r="L11" s="64" t="n"/>
      <c r="M11" s="64" t="n"/>
      <c r="N11" s="64" t="n"/>
      <c r="O11" s="63" t="n"/>
    </row>
    <row r="12" ht="15" customHeight="1">
      <c r="A12" s="14" t="inlineStr">
        <is>
          <t>Internal</t>
        </is>
      </c>
      <c r="B12" s="63" t="n"/>
      <c r="C12" s="9" t="inlineStr">
        <is>
          <t>IRIS data · HRIS, survey, manager mapping</t>
        </is>
      </c>
      <c r="D12" s="64" t="n"/>
      <c r="E12" s="64" t="n"/>
      <c r="F12" s="64" t="n"/>
      <c r="G12" s="64" t="n"/>
      <c r="H12" s="64" t="n"/>
      <c r="I12" s="64" t="n"/>
      <c r="J12" s="63" t="n"/>
      <c r="K12" s="9" t="inlineStr">
        <is>
          <t>Primary evidence for placement</t>
        </is>
      </c>
      <c r="L12" s="64" t="n"/>
      <c r="M12" s="64" t="n"/>
      <c r="N12" s="64" t="n"/>
      <c r="O12" s="63" t="n"/>
    </row>
    <row r="13" ht="28" customHeight="1">
      <c r="A13" s="14" t="inlineStr">
        <is>
          <t>IRIS composite</t>
        </is>
      </c>
      <c r="B13" s="63" t="n"/>
      <c r="C13" s="9" t="inlineStr">
        <is>
          <t>A ladder IRIS assembled from the titles and codes of the sources named in brackets; no single company or body publishes it</t>
        </is>
      </c>
      <c r="D13" s="64" t="n"/>
      <c r="E13" s="64" t="n"/>
      <c r="F13" s="64" t="n"/>
      <c r="G13" s="64" t="n"/>
      <c r="H13" s="64" t="n"/>
      <c r="I13" s="64" t="n"/>
      <c r="J13" s="63" t="n"/>
      <c r="K13" s="9" t="inlineStr">
        <is>
          <t>Orientation only; not market evidence</t>
        </is>
      </c>
      <c r="L13" s="64" t="n"/>
      <c r="M13" s="64" t="n"/>
      <c r="N13" s="64" t="n"/>
      <c r="O13" s="63" t="n"/>
    </row>
    <row r="14" ht="15" customHeight="1">
      <c r="A14" s="14" t="inlineStr">
        <is>
          <t>IRIS mapping</t>
        </is>
      </c>
      <c r="B14" s="63" t="n"/>
      <c r="C14" s="9" t="inlineStr">
        <is>
          <t>A published scale or certificate path · CIM, ISTQB, IIBA, XBRL US matched to IRIS levels by IRIS</t>
        </is>
      </c>
      <c r="D14" s="64" t="n"/>
      <c r="E14" s="64" t="n"/>
      <c r="F14" s="64" t="n"/>
      <c r="G14" s="64" t="n"/>
      <c r="H14" s="64" t="n"/>
      <c r="I14" s="64" t="n"/>
      <c r="J14" s="63" t="n"/>
      <c r="K14" s="9" t="inlineStr">
        <is>
          <t>Orientation only; the match is IRIS's</t>
        </is>
      </c>
      <c r="L14" s="64" t="n"/>
      <c r="M14" s="64" t="n"/>
      <c r="N14" s="64" t="n"/>
      <c r="O14" s="63" t="n"/>
    </row>
    <row r="15" ht="15" customHeight="1"/>
    <row r="16" ht="41" customHeight="1">
      <c r="A16" s="12" t="inlineStr">
        <is>
          <r>
            <rPr>
              <rFont val="Calibri"/>
              <b val="1"/>
              <i val="1"/>
              <color rgb="00595959"/>
              <sz val="10"/>
            </rPr>
            <t>Source check · October 2026:</t>
          </r>
          <r>
            <rPr>
              <rFont val="Calibri"/>
              <i val="1"/>
              <color rgb="00595959"/>
              <sz val="10"/>
            </rPr>
            <t xml:space="preserve"> 42 sources and peer ladders were opened and read against the claims made here. 19 support the claim as written; 20 were partly right and have been corrected in this register · wording, counts or link; DFIN's ladder had no supporting source and is no longer used for levels; the Zoho and ClearTax ladders could not be confirmed and are marked unverified. Levels.fyi pages cannot be read automatically, so ladder names there were confirmed from page titles and company postings.</t>
          </r>
        </is>
      </c>
    </row>
    <row r="17" ht="20" customHeight="1">
      <c r="A17" s="6" t="inlineStr">
        <is>
          <t>R1. Peer universe — who IRIS is benchmarked against, and why</t>
        </is>
      </c>
    </row>
    <row r="18" ht="15" customHeight="1">
      <c r="A18" s="12" t="inlineStr">
        <is>
          <t>Direct competitors of IRIS CARBON, iFile and iDEAL; regtech and suptech leaders; global and Indian SaaS leaders; India talent-market anchors.</t>
        </is>
      </c>
    </row>
    <row r="19" ht="28" customHeight="1">
      <c r="A19" s="7" t="inlineStr">
        <is>
          <t>ID · Company</t>
        </is>
      </c>
      <c r="B19" s="63" t="n"/>
      <c r="C19" s="7" t="inlineStr">
        <is>
          <t>Segment</t>
        </is>
      </c>
      <c r="D19" s="63" t="n"/>
      <c r="E19" s="7" t="inlineStr">
        <is>
          <t>Competes with / relevant to</t>
        </is>
      </c>
      <c r="F19" s="63" t="n"/>
      <c r="G19" s="7" t="inlineStr">
        <is>
          <t>Why benchmarked</t>
        </is>
      </c>
      <c r="H19" s="64" t="n"/>
      <c r="I19" s="63" t="n"/>
      <c r="J19" s="7" t="inlineStr">
        <is>
          <t>What we used</t>
        </is>
      </c>
      <c r="K19" s="64" t="n"/>
      <c r="L19" s="63" t="n"/>
      <c r="M19" s="7" t="inlineStr">
        <is>
          <t>Site / source</t>
        </is>
      </c>
      <c r="N19" s="63" t="n"/>
      <c r="O19" s="7" t="inlineStr">
        <is>
          <t>Grade</t>
        </is>
      </c>
    </row>
    <row r="20" ht="145" customHeight="1">
      <c r="A20" s="14" t="inlineStr">
        <is>
          <t>C01 · Workiva</t>
        </is>
      </c>
      <c r="B20" s="63" t="n"/>
      <c r="C20" s="9" t="inlineStr">
        <is>
          <t>Disclosure management, XBRL / iXBRL, ESG reporting SaaS · global leader</t>
        </is>
      </c>
      <c r="D20" s="63" t="n"/>
      <c r="E20" s="9" t="inlineStr">
        <is>
          <t>IRIS CARBON; iFile XBRL</t>
        </is>
      </c>
      <c r="F20" s="63" t="n"/>
      <c r="G20" s="9" t="inlineStr">
        <is>
          <r>
            <rPr>
              <rFont val="Calibri"/>
              <b val="1"/>
              <sz val="10"/>
            </rPr>
            <t>Category leader:</t>
          </r>
          <r>
            <rPr>
              <rFont val="Calibri"/>
              <sz val="10"/>
            </rPr>
            <t xml:space="preserve"> 6,600+ customers, over 85% of the Fortune 1000 · FY2025 10-K; leading ESG disclosure platform</t>
          </r>
        </is>
      </c>
      <c r="H20" s="64" t="n"/>
      <c r="I20" s="63" t="n"/>
      <c r="J20" s="9" t="inlineStr">
        <is>
          <t>Engineering ladder · Associate SE → SE → Senior SE → Staff SE → Senior Staff SE; customer-success titles · CSM, Product Success Manager, Customer Success Architect; Professional Services Manager · XBRL data modelling</t>
        </is>
      </c>
      <c r="K20" s="64" t="n"/>
      <c r="L20" s="63" t="n"/>
      <c r="M20" s="9" t="inlineStr">
        <is>
          <t>https://www.levels.fyi/companies/workiva/salaries/software-engineer ; https://builtin.com/job/professional-services-manager/3581840 ; https://www.cfoshortlist.com/reports/sec-reporting-software ; https://www.sec.gov/Archives/edgar/data/1445305/000144530526000016/wk-20251231.htm</t>
        </is>
      </c>
      <c r="N20" s="63" t="n"/>
      <c r="O20" s="9" t="inlineStr">
        <is>
          <t>Levels.fyi + job postings</t>
        </is>
      </c>
    </row>
    <row r="21" ht="54" customHeight="1">
      <c r="A21" s="14" t="inlineStr">
        <is>
          <t>C02 · Donnelley Financial Solutions · DFIN — ActiveDisclosure, Arc Suite</t>
        </is>
      </c>
      <c r="B21" s="63" t="n"/>
      <c r="C21" s="9" t="inlineStr">
        <is>
          <t>SEC / EDGAR filing, disclosure software and services</t>
        </is>
      </c>
      <c r="D21" s="63" t="n"/>
      <c r="E21" s="9" t="inlineStr">
        <is>
          <t>IRIS CARBON · US SEC filing services</t>
        </is>
      </c>
      <c r="F21" s="63" t="n"/>
      <c r="G21" s="9" t="inlineStr">
        <is>
          <t>Leading US financial-compliance and filing company</t>
        </is>
      </c>
      <c r="H21" s="64" t="n"/>
      <c r="I21" s="63" t="n"/>
      <c r="J21" s="9" t="inlineStr">
        <is>
          <r>
            <rPr>
              <rFont val="Calibri"/>
              <b val="1"/>
              <sz val="10"/>
            </rPr>
            <t>Not used for levels:</t>
          </r>
          <r>
            <rPr>
              <rFont val="Calibri"/>
              <sz val="10"/>
            </rPr>
            <t xml:space="preserve"> no public source for its ladder was found · the earlier link did not support it; kept as a pay-survey peer</t>
          </r>
        </is>
      </c>
      <c r="K21" s="64" t="n"/>
      <c r="L21" s="63" t="n"/>
      <c r="M21" s="9" t="inlineStr">
        <is>
          <t>https://www.dfinsolutions.com</t>
        </is>
      </c>
      <c r="N21" s="63" t="n"/>
      <c r="O21" s="9" t="inlineStr">
        <is>
          <t>Market positioning</t>
        </is>
      </c>
    </row>
    <row r="22" ht="80" customHeight="1">
      <c r="A22" s="14" t="inlineStr">
        <is>
          <t>C03 · Toppan Merrill — Toppan Merrill Bridge, XBRL services</t>
        </is>
      </c>
      <c r="B22" s="63" t="n"/>
      <c r="C22" s="9" t="inlineStr">
        <is>
          <t>EDGAR filing agent, iXBRL / XBRL services</t>
        </is>
      </c>
      <c r="D22" s="63" t="n"/>
      <c r="E22" s="9" t="inlineStr">
        <is>
          <t>IRIS CARBON services · US SEC, FPI filings</t>
        </is>
      </c>
      <c r="F22" s="63" t="n"/>
      <c r="G22" s="9" t="inlineStr">
        <is>
          <t>Direct competitor for XBRL tagging and filing services</t>
        </is>
      </c>
      <c r="H22" s="64" t="n"/>
      <c r="I22" s="63" t="n"/>
      <c r="J22" s="9" t="inlineStr">
        <is>
          <r>
            <rPr>
              <rFont val="Calibri"/>
              <b val="1"/>
              <sz val="10"/>
            </rPr>
            <t>Entry title only:</t>
          </r>
          <r>
            <rPr>
              <rFont val="Calibri"/>
              <sz val="10"/>
            </rPr>
            <t xml:space="preserve"> XBRL Financial Analyst, Associate · the posting gives no higher rung; finance titles</t>
          </r>
        </is>
      </c>
      <c r="K22" s="64" t="n"/>
      <c r="L22" s="63" t="n"/>
      <c r="M22" s="9" t="inlineStr">
        <is>
          <t>https://builtinbengaluru.in/job/xbrl-financial-analyst-assoc/4131532 · Coimbatore posting, closed July 2025; https://toppanmerrill.com/bridge/</t>
        </is>
      </c>
      <c r="N22" s="63" t="n"/>
      <c r="O22" s="9" t="inlineStr">
        <is>
          <t>Job postings</t>
        </is>
      </c>
    </row>
    <row r="23" ht="41" customHeight="1">
      <c r="A23" s="14" t="inlineStr">
        <is>
          <t>C04 · Certent · insightsoftware — Disclosure Management</t>
        </is>
      </c>
      <c r="B23" s="63" t="n"/>
      <c r="C23" s="9" t="inlineStr">
        <is>
          <t>Disclosure management for mid-market filers</t>
        </is>
      </c>
      <c r="D23" s="63" t="n"/>
      <c r="E23" s="9" t="inlineStr">
        <is>
          <t>IRIS CARBON</t>
        </is>
      </c>
      <c r="F23" s="63" t="n"/>
      <c r="G23" s="9" t="inlineStr">
        <is>
          <t>Named alongside IRIS CARBON for cost-driven filers</t>
        </is>
      </c>
      <c r="H23" s="64" t="n"/>
      <c r="I23" s="63" t="n"/>
      <c r="J23" s="9" t="inlineStr">
        <is>
          <t>Market positioning</t>
        </is>
      </c>
      <c r="K23" s="64" t="n"/>
      <c r="L23" s="63" t="n"/>
      <c r="M23" s="9" t="inlineStr">
        <is>
          <t>https://www.cfoshortlist.com/reports/sec-reporting-software</t>
        </is>
      </c>
      <c r="N23" s="63" t="n"/>
      <c r="O23" s="9" t="inlineStr">
        <is>
          <t>Secondary</t>
        </is>
      </c>
    </row>
    <row r="24" ht="67" customHeight="1">
      <c r="A24" s="14" t="inlineStr">
        <is>
          <t>C05 · DataTracks</t>
        </is>
      </c>
      <c r="B24" s="63" t="n"/>
      <c r="C24" s="9" t="inlineStr">
        <is>
          <t>XBRL / iXBRL compliance services and software · India-based</t>
        </is>
      </c>
      <c r="D24" s="63" t="n"/>
      <c r="E24" s="9" t="inlineStr">
        <is>
          <t>IRIS CARBON services · UK, EU, India, South Africa</t>
        </is>
      </c>
      <c r="F24" s="63" t="n"/>
      <c r="G24" s="9" t="inlineStr">
        <is>
          <t>Same services in the same Indian talent market; 30,000+ clients, 26 countries</t>
        </is>
      </c>
      <c r="H24" s="64" t="n"/>
      <c r="I24" s="63" t="n"/>
      <c r="J24" s="9" t="inlineStr">
        <is>
          <r>
            <rPr>
              <rFont val="Calibri"/>
              <b val="1"/>
              <sz val="10"/>
            </rPr>
            <t>Two rungs published on its careers site:</t>
          </r>
          <r>
            <rPr>
              <rFont val="Calibri"/>
              <sz val="10"/>
            </rPr>
            <t xml:space="preserve"> Associate · freshers → Senior Associate · 2–5 yrs. Nothing above is published, so no higher DataTracks equivalent is used</t>
          </r>
        </is>
      </c>
      <c r="K24" s="64" t="n"/>
      <c r="L24" s="63" t="n"/>
      <c r="M24" s="9" t="inlineStr">
        <is>
          <t>https://www.datatracks.com/in/careers/</t>
        </is>
      </c>
      <c r="N24" s="63" t="n"/>
      <c r="O24" s="9" t="inlineStr">
        <is>
          <t>Job postings</t>
        </is>
      </c>
    </row>
    <row r="25" ht="184" customHeight="1">
      <c r="A25" s="14" t="inlineStr">
        <is>
          <t>C06 · Regnology · incl. Vizor Software, BearingPoint RegTech, Vermeg AGILE, and Wolters Kluwer's Finance, Risk &amp; Regulatory Reporting business — OneSumX — acquired December 2025</t>
        </is>
      </c>
      <c r="B25" s="63" t="n"/>
      <c r="C25" s="9" t="inlineStr">
        <is>
          <t>Supervisory · SupTech and regulatory reporting — global leader</t>
        </is>
      </c>
      <c r="D25" s="63" t="n"/>
      <c r="E25" s="9" t="inlineStr">
        <is>
          <t>IRIS iFile · regulator platforms; IRIS iDEAL · bank reporting</t>
        </is>
      </c>
      <c r="F25" s="63" t="n"/>
      <c r="G25" s="9" t="inlineStr">
        <is>
          <t>2,000+ employees; serves regulators and institutions in 100+ countries; Chartis RiskTech100 SupTech category winner; Pune product centre; owns OneSumX since 1 December 2025</t>
        </is>
      </c>
      <c r="H25" s="64" t="n"/>
      <c r="I25" s="63" t="n"/>
      <c r="J25" s="9" t="inlineStr">
        <is>
          <t>Business-analysis ladder · Junior BA → BA → Senior BA, regulatory reporting; product support titles</t>
        </is>
      </c>
      <c r="K25" s="64" t="n"/>
      <c r="L25" s="63" t="n"/>
      <c r="M25" s="9" t="inlineStr">
        <is>
          <t>https://www.regnology.net/en/careers/detail/?id=2527504 ; https://www.businesswire.com/news/home/20241124525888/en/ ; https://www.centralbanking.com/awards/7941536/technology-services-regulatory-regnology ; https://www.regnology.net/en/resources/news/regnology-completes-acquisition-of-wolters-kluwers-finance-risk-regulatory-reporting/</t>
        </is>
      </c>
      <c r="N25" s="63" t="n"/>
      <c r="O25" s="9" t="inlineStr">
        <is>
          <t>Primary + job postings</t>
        </is>
      </c>
    </row>
    <row r="26" ht="54" customHeight="1">
      <c r="A26" s="14" t="inlineStr">
        <is>
          <t>C08 · Nasdaq · AxiomSL / Calypso — regulatory reporting</t>
        </is>
      </c>
      <c r="B26" s="63" t="n"/>
      <c r="C26" s="9" t="inlineStr">
        <is>
          <t>Regulatory reporting and risk for banks</t>
        </is>
      </c>
      <c r="D26" s="63" t="n"/>
      <c r="E26" s="9" t="inlineStr">
        <is>
          <t>IRIS iDEAL</t>
        </is>
      </c>
      <c r="F26" s="63" t="n"/>
      <c r="G26" s="9" t="inlineStr">
        <is>
          <t>AxiomSL is a leading bank regulatory-reporting platform</t>
        </is>
      </c>
      <c r="H26" s="64" t="n"/>
      <c r="I26" s="63" t="n"/>
      <c r="J26" s="9" t="inlineStr">
        <is>
          <t>Engineering ladder SE → Senior SE → Lead SE → Principal SE · Lead and Principal from Nasdaq postings; no Staff title found</t>
        </is>
      </c>
      <c r="K26" s="64" t="n"/>
      <c r="L26" s="63" t="n"/>
      <c r="M26" s="9" t="inlineStr">
        <is>
          <t>https://www.levels.fyi/companies/nasdaq/salaries/software-engineer/levels/senior-software-engineer</t>
        </is>
      </c>
      <c r="N26" s="63" t="n"/>
      <c r="O26" s="9" t="inlineStr">
        <is>
          <t>Levels.fyi + job postings</t>
        </is>
      </c>
    </row>
    <row r="27" ht="41" customHeight="1">
      <c r="A27" s="14" t="inlineStr">
        <is>
          <t>C09 · Broadridge</t>
        </is>
      </c>
      <c r="B27" s="63" t="n"/>
      <c r="C27" s="9" t="inlineStr">
        <is>
          <t>Regulatory, trade and transaction reporting; large India technology centres</t>
        </is>
      </c>
      <c r="D27" s="63" t="n"/>
      <c r="E27" s="9" t="inlineStr">
        <is>
          <t>IRIS iDEAL; IRIS engineering talent market</t>
        </is>
      </c>
      <c r="F27" s="63" t="n"/>
      <c r="G27" s="9" t="inlineStr">
        <is>
          <t>Regtech provider with major Hyderabad / Bengaluru hubs</t>
        </is>
      </c>
      <c r="H27" s="64" t="n"/>
      <c r="I27" s="63" t="n"/>
      <c r="J27" s="9" t="inlineStr">
        <is>
          <t>India engineering ladder SE → Senior SE → Lead SE → Senior Lead SE</t>
        </is>
      </c>
      <c r="K27" s="64" t="n"/>
      <c r="L27" s="63" t="n"/>
      <c r="M27" s="9" t="inlineStr">
        <is>
          <t>https://www.levels.fyi/am-et/companies/broadridge/salaries/software-engineer</t>
        </is>
      </c>
      <c r="N27" s="63" t="n"/>
      <c r="O27" s="9" t="inlineStr">
        <is>
          <t>Levels.fyi</t>
        </is>
      </c>
    </row>
    <row r="28" ht="41" customHeight="1">
      <c r="A28" s="14" t="inlineStr">
        <is>
          <t>C10 · Salesforce</t>
        </is>
      </c>
      <c r="B28" s="63" t="n"/>
      <c r="C28" s="9" t="inlineStr">
        <is>
          <t>Global SaaS leader</t>
        </is>
      </c>
      <c r="D28" s="63" t="n"/>
      <c r="E28" s="9" t="inlineStr">
        <is>
          <t>All SaaS businesses · CARBON, iFile, iDEAL, Datatech</t>
        </is>
      </c>
      <c r="F28" s="63" t="n"/>
      <c r="G28" s="9" t="inlineStr">
        <is>
          <t>Reference SaaS career architecture</t>
        </is>
      </c>
      <c r="H28" s="64" t="n"/>
      <c r="I28" s="63" t="n"/>
      <c r="J28" s="9" t="inlineStr">
        <is>
          <t>Technical ladder AMTS → MTS → SMTS → LMTS → PMTS → Architect → Principal Architect → Distinguished Engineer</t>
        </is>
      </c>
      <c r="K28" s="64" t="n"/>
      <c r="L28" s="63" t="n"/>
      <c r="M28" s="9" t="inlineStr">
        <is>
          <t>https://www.designgurus.io/blog/salesforce-software-engineer-levels</t>
        </is>
      </c>
      <c r="N28" s="63" t="n"/>
      <c r="O28" s="9" t="inlineStr">
        <is>
          <t>Secondary</t>
        </is>
      </c>
    </row>
    <row r="29" ht="80" customHeight="1">
      <c r="A29" s="14" t="inlineStr">
        <is>
          <t>C11 · Atlassian</t>
        </is>
      </c>
      <c r="B29" s="63" t="n"/>
      <c r="C29" s="9" t="inlineStr">
        <is>
          <t>Global SaaS leader with a published level system</t>
        </is>
      </c>
      <c r="D29" s="63" t="n"/>
      <c r="E29" s="9" t="inlineStr">
        <is>
          <t>All SaaS businesses; IT, finance and PM ladders</t>
        </is>
      </c>
      <c r="F29" s="63" t="n"/>
      <c r="G29" s="9" t="inlineStr">
        <is>
          <t>P30–P90 system used across engineering, PM, IT and finance</t>
        </is>
      </c>
      <c r="H29" s="64" t="n"/>
      <c r="I29" s="63" t="n"/>
      <c r="J29" s="9" t="inlineStr">
        <is>
          <t>P30 Junior · 0–2 yrs → P40 → P50 Senior → P60 Principal → P70 Senior Principal → P80 → P90; P-levels shared across job families</t>
        </is>
      </c>
      <c r="K29" s="64" t="n"/>
      <c r="L29" s="63" t="n"/>
      <c r="M29" s="9" t="inlineStr">
        <is>
          <t>https://www.designgurus.io/blog/atlassian-software-engineer-levels ; https://www.levels.fyi/en-gb/companies/atlassian/salaries/accountant/levels/p60</t>
        </is>
      </c>
      <c r="N29" s="63" t="n"/>
      <c r="O29" s="9" t="inlineStr">
        <is>
          <t>Levels.fyi + secondary</t>
        </is>
      </c>
    </row>
    <row r="30" ht="41" customHeight="1">
      <c r="A30" s="14" t="inlineStr">
        <is>
          <t>C12 · Freshworks</t>
        </is>
      </c>
      <c r="B30" s="63" t="n"/>
      <c r="C30" s="9" t="inlineStr">
        <is>
          <t>Indian-origin global SaaS leader · Chennai, Bengaluru, Hyderabad</t>
        </is>
      </c>
      <c r="D30" s="63" t="n"/>
      <c r="E30" s="9" t="inlineStr">
        <is>
          <t>IRIS engineering and SaaS talent market in India</t>
        </is>
      </c>
      <c r="F30" s="63" t="n"/>
      <c r="G30" s="9" t="inlineStr">
        <is>
          <t>Closest Indian SaaS employer brand</t>
        </is>
      </c>
      <c r="H30" s="64" t="n"/>
      <c r="I30" s="63" t="n"/>
      <c r="J30" s="9" t="inlineStr">
        <is>
          <t>SE → Senior SE → Lead SE → Staff SE → Senior Staff SE → Principal Engineer; manager ladder to Senior Director</t>
        </is>
      </c>
      <c r="K30" s="64" t="n"/>
      <c r="L30" s="63" t="n"/>
      <c r="M30" s="9" t="inlineStr">
        <is>
          <t>https://www.levels.fyi/companies/freshworks/salaries/software-engineer</t>
        </is>
      </c>
      <c r="N30" s="63" t="n"/>
      <c r="O30" s="9" t="inlineStr">
        <is>
          <t>Levels.fyi</t>
        </is>
      </c>
    </row>
    <row r="31" ht="54" customHeight="1">
      <c r="A31" s="14" t="inlineStr">
        <is>
          <t>C13 · Zoho</t>
        </is>
      </c>
      <c r="B31" s="63" t="n"/>
      <c r="C31" s="9" t="inlineStr">
        <is>
          <t>Indian SaaS leader</t>
        </is>
      </c>
      <c r="D31" s="63" t="n"/>
      <c r="E31" s="9" t="inlineStr">
        <is>
          <t>IRIS engineering talent market in India</t>
        </is>
      </c>
      <c r="F31" s="63" t="n"/>
      <c r="G31" s="9" t="inlineStr">
        <is>
          <t>Large Indian product employer</t>
        </is>
      </c>
      <c r="H31" s="64" t="n"/>
      <c r="I31" s="63" t="n"/>
      <c r="J31" s="9" t="inlineStr">
        <is>
          <t>Engineering levels L1 → L2 → L3 · L1 and L3 India pages confirmed; titles not confirmed</t>
        </is>
      </c>
      <c r="K31" s="64" t="n"/>
      <c r="L31" s="63" t="n"/>
      <c r="M31" s="9" t="inlineStr">
        <is>
          <t>https://www.levels.fyi/companies/zoho/salaries/software-engineer/levels/l1/locations/india</t>
        </is>
      </c>
      <c r="N31" s="63" t="n"/>
      <c r="O31" s="9" t="inlineStr">
        <is>
          <t>Levels.fyi</t>
        </is>
      </c>
    </row>
    <row r="32" ht="54" customHeight="1">
      <c r="A32" s="14" t="inlineStr">
        <is>
          <t>C14 · Clear · ClearTax</t>
        </is>
      </c>
      <c r="B32" s="63" t="n"/>
      <c r="C32" s="9" t="inlineStr">
        <is>
          <t>Indian compliance SaaS · GST, e-invoicing, tax</t>
        </is>
      </c>
      <c r="D32" s="63" t="n"/>
      <c r="E32" s="9" t="inlineStr">
        <is>
          <t>IRIS e-invoicing / GST · Datatech, Consume and India compliance talent</t>
        </is>
      </c>
      <c r="F32" s="63" t="n"/>
      <c r="G32" s="9" t="inlineStr">
        <is>
          <t>Direct India compliance-SaaS talent competitor</t>
        </is>
      </c>
      <c r="H32" s="64" t="n"/>
      <c r="I32" s="63" t="n"/>
      <c r="J32" s="9" t="inlineStr">
        <is>
          <t>SDE1 → SDE2 → SDE3 / Senior → Staff · unverified: the earlier link was a different company; ClearTax is under /cleartax/</t>
        </is>
      </c>
      <c r="K32" s="64" t="n"/>
      <c r="L32" s="63" t="n"/>
      <c r="M32" s="9" t="inlineStr">
        <is>
          <t>https://www.levels.fyi/companies/cleartax/salaries/software-engineering-manager</t>
        </is>
      </c>
      <c r="N32" s="63" t="n"/>
      <c r="O32" s="9" t="inlineStr">
        <is>
          <t>Indicative</t>
        </is>
      </c>
    </row>
    <row r="33" ht="145" customHeight="1">
      <c r="A33" s="14" t="inlineStr">
        <is>
          <t>C15 · Gainsight · customer-success category leader</t>
        </is>
      </c>
      <c r="B33" s="63" t="n"/>
      <c r="C33" s="9" t="inlineStr">
        <is>
          <t>Customer-success SaaS</t>
        </is>
      </c>
      <c r="D33" s="63" t="n"/>
      <c r="E33" s="9" t="inlineStr">
        <is>
          <t>IRIS Customer Success &amp; Support</t>
        </is>
      </c>
      <c r="F33" s="63" t="n"/>
      <c r="G33" s="9" t="inlineStr">
        <is>
          <t>Defines the customer-success profession</t>
        </is>
      </c>
      <c r="H33" s="64" t="n"/>
      <c r="I33" s="63" t="n"/>
      <c r="J33" s="9" t="inlineStr">
        <is>
          <t>CSM → Senior CSM → Strategic CSM / Enterprise Success Leader → Director CS → VP CS → Chief Customer Officer</t>
        </is>
      </c>
      <c r="K33" s="64" t="n"/>
      <c r="L33" s="63" t="n"/>
      <c r="M33" s="9" t="inlineStr">
        <is>
          <t>https://jobs.insightpartners.com/companies/gainsight/jobs/64120646-director-customer-success ; https://www.gainsight.com/blog/customer-success-career-opportunities/ ; https://www.gainsight.com/press/gainsight-expands-scope-of-executive-team-and-doubles-down-on-product-leadership/</t>
        </is>
      </c>
      <c r="N33" s="63" t="n"/>
      <c r="O33" s="9" t="inlineStr">
        <is>
          <t>Job postings</t>
        </is>
      </c>
    </row>
    <row r="34" ht="80" customHeight="1">
      <c r="A34" s="14" t="inlineStr">
        <is>
          <t>C16 · B2B SaaS sales benchmarks · SaaStr, sales-title hierarchies</t>
        </is>
      </c>
      <c r="B34" s="63" t="n"/>
      <c r="C34" s="9" t="inlineStr">
        <is>
          <t>SaaS go-to-market</t>
        </is>
      </c>
      <c r="D34" s="63" t="n"/>
      <c r="E34" s="9" t="inlineStr">
        <is>
          <t>IRIS Sales &amp; BD</t>
        </is>
      </c>
      <c r="F34" s="63" t="n"/>
      <c r="G34" s="9" t="inlineStr">
        <is>
          <t>Standard SaaS sales ladder and promotion timing</t>
        </is>
      </c>
      <c r="H34" s="64" t="n"/>
      <c r="I34" s="63" t="n"/>
      <c r="J34" s="9" t="inlineStr">
        <is>
          <t>SDR / BDR → AE · SMB → Mid-Market AE → Enterprise AE; Sales Manager → Director → VP Sales / CRO; SDR → AE usually within a year</t>
        </is>
      </c>
      <c r="K34" s="64" t="n"/>
      <c r="L34" s="63" t="n"/>
      <c r="M34" s="9" t="inlineStr">
        <is>
          <t>https://www.saastr.com/dear-saastr-do-i-have-to-provide-a-promotion-path-from-sdr-to-ae ; https://prospeo.io/s/sales-titles-hierarchy</t>
        </is>
      </c>
      <c r="N34" s="63" t="n"/>
      <c r="O34" s="9" t="inlineStr">
        <is>
          <t>Secondary</t>
        </is>
      </c>
    </row>
    <row r="35" ht="54" customHeight="1">
      <c r="A35" s="14" t="inlineStr">
        <is>
          <t>C17 · Google · Microsoft · Amazon</t>
        </is>
      </c>
      <c r="B35" s="63" t="n"/>
      <c r="C35" s="9" t="inlineStr">
        <is>
          <t>Global technology · scale anchors</t>
        </is>
      </c>
      <c r="D35" s="63" t="n"/>
      <c r="E35" s="9" t="inlineStr">
        <is>
          <t>Engineering levels</t>
        </is>
      </c>
      <c r="F35" s="63" t="n"/>
      <c r="G35" s="9" t="inlineStr">
        <is>
          <t>Most-cited cross-company level equivalences</t>
        </is>
      </c>
      <c r="H35" s="64" t="n"/>
      <c r="I35" s="63" t="n"/>
      <c r="J35" s="9" t="inlineStr">
        <is>
          <t>L3–L8 · 59–68 · L4–L8</t>
        </is>
      </c>
      <c r="K35" s="64" t="n"/>
      <c r="L35" s="63" t="n"/>
      <c r="M35" s="9" t="inlineStr">
        <is>
          <t>https://testrigor.com/blog/engineering-levels-in-different-companies-compared/</t>
        </is>
      </c>
      <c r="N35" s="63" t="n"/>
      <c r="O35" s="9" t="inlineStr">
        <is>
          <t>Secondary</t>
        </is>
      </c>
    </row>
    <row r="36" ht="93" customHeight="1">
      <c r="A36" s="14" t="inlineStr">
        <is>
          <t>C18 · Infosys · TCS · Accenture India</t>
        </is>
      </c>
      <c r="B36" s="63" t="n"/>
      <c r="C36" s="9" t="inlineStr">
        <is>
          <t>Indian IT services · talent-market anchors</t>
        </is>
      </c>
      <c r="D36" s="63" t="n"/>
      <c r="E36" s="9" t="inlineStr">
        <is>
          <t>Engineering, QA, BA, data operations</t>
        </is>
      </c>
      <c r="F36" s="63" t="n"/>
      <c r="G36" s="9" t="inlineStr">
        <is>
          <t>Largest employers in IRIS's talent market</t>
        </is>
      </c>
      <c r="H36" s="64" t="n"/>
      <c r="I36" s="63" t="n"/>
      <c r="J36" s="9" t="inlineStr">
        <is>
          <t>JL3B–JL6A · C1–SP1 · L12–L5 with experience ranges</t>
        </is>
      </c>
      <c r="K36" s="64" t="n"/>
      <c r="L36" s="63" t="n"/>
      <c r="M36" s="9" t="inlineStr">
        <is>
          <t>https://www.designgurus.io/blog/infosys-job-levels ; https://www.designgurus.io/blog/tcs-job-levels ; https://jobrise.io/hi/blog/accenture-salary-package-2026-india/</t>
        </is>
      </c>
      <c r="N36" s="63" t="n"/>
      <c r="O36" s="9" t="inlineStr">
        <is>
          <t>Indicative</t>
        </is>
      </c>
    </row>
    <row r="37" ht="41" customHeight="1">
      <c r="A37" s="14" t="inlineStr">
        <is>
          <t>C19 · Deloitte · EY · KPMG · PwC · Big Four</t>
        </is>
      </c>
      <c r="B37" s="63" t="n"/>
      <c r="C37" s="9" t="inlineStr">
        <is>
          <t>Professional services / regulatory consulting</t>
        </is>
      </c>
      <c r="D37" s="63" t="n"/>
      <c r="E37" s="9" t="inlineStr">
        <is>
          <t>XBRL consulting, BA, solution consulting, finance</t>
        </is>
      </c>
      <c r="F37" s="63" t="n"/>
      <c r="G37" s="9" t="inlineStr">
        <is>
          <t>Market reference for consulting titles</t>
        </is>
      </c>
      <c r="H37" s="64" t="n"/>
      <c r="I37" s="63" t="n"/>
      <c r="J37" s="9" t="inlineStr">
        <is>
          <t>Analyst → Consultant → Senior Consultant → Manager → Senior Manager / AD → Director → Partner</t>
        </is>
      </c>
      <c r="K37" s="64" t="n"/>
      <c r="L37" s="63" t="n"/>
      <c r="M37" s="9" t="inlineStr">
        <is>
          <t>https://networkinterview.com/technical-hierarchy-deloitte-india/</t>
        </is>
      </c>
      <c r="N37" s="63" t="n"/>
      <c r="O37" s="9" t="inlineStr">
        <is>
          <t>Indicative</t>
        </is>
      </c>
    </row>
    <row r="38" ht="41" customHeight="1">
      <c r="A38" s="14" t="inlineStr">
        <is>
          <t>C20 · GitLab</t>
        </is>
      </c>
      <c r="B38" s="63" t="n"/>
      <c r="C38" s="9" t="inlineStr">
        <is>
          <t>SaaS with a public handbook</t>
        </is>
      </c>
      <c r="D38" s="63" t="n"/>
      <c r="E38" s="9" t="inlineStr">
        <is>
          <t>IC ↔ manager equivalence; layers</t>
        </is>
      </c>
      <c r="F38" s="63" t="n"/>
      <c r="G38" s="9" t="inlineStr">
        <is>
          <t>Most transparent public job framework</t>
        </is>
      </c>
      <c r="H38" s="64" t="n"/>
      <c r="I38" s="63" t="n"/>
      <c r="J38" s="9" t="inlineStr">
        <is>
          <t>Staff ↔ Manager, Principal ↔ Senior Manager, Distinguished ↔ Director, Fellow ↔ VP; ≤ 8 layers</t>
        </is>
      </c>
      <c r="K38" s="64" t="n"/>
      <c r="L38" s="63" t="n"/>
      <c r="M38" s="9" t="inlineStr">
        <is>
          <t>https://handbook.gitlab.com/handbook/company/structure/</t>
        </is>
      </c>
      <c r="N38" s="63" t="n"/>
      <c r="O38" s="9" t="inlineStr">
        <is>
          <t>Primary</t>
        </is>
      </c>
    </row>
    <row r="39" ht="15" customHeight="1"/>
    <row r="40" ht="20" customHeight="1">
      <c r="A40" s="6" t="inlineStr">
        <is>
          <t>R2. Professional standard by job family — the best standard there is</t>
        </is>
      </c>
    </row>
    <row r="41" ht="15" customHeight="1">
      <c r="A41" s="7" t="inlineStr">
        <is>
          <t>Job family</t>
        </is>
      </c>
      <c r="B41" s="64" t="n"/>
      <c r="C41" s="63" t="n"/>
      <c r="D41" s="7" t="inlineStr">
        <is>
          <t>Standard / body / certification pathway</t>
        </is>
      </c>
      <c r="E41" s="64" t="n"/>
      <c r="F41" s="64" t="n"/>
      <c r="G41" s="64" t="n"/>
      <c r="H41" s="64" t="n"/>
      <c r="I41" s="63" t="n"/>
      <c r="J41" s="7" t="inlineStr">
        <is>
          <t>Site</t>
        </is>
      </c>
      <c r="K41" s="64" t="n"/>
      <c r="L41" s="64" t="n"/>
      <c r="M41" s="64" t="n"/>
      <c r="N41" s="63" t="n"/>
      <c r="O41" s="7" t="inlineStr">
        <is>
          <t>People here</t>
        </is>
      </c>
    </row>
    <row r="42" ht="28" customHeight="1">
      <c r="A42" s="14" t="inlineStr">
        <is>
          <t>Engineering &amp; Development</t>
        </is>
      </c>
      <c r="B42" s="64" t="n"/>
      <c r="C42" s="63" t="n"/>
      <c r="D42" s="9" t="inlineStr">
        <is>
          <t>SFIA 9 · software development, programming; OWASP secure coding; cloud vendor certifications</t>
        </is>
      </c>
      <c r="E42" s="64" t="n"/>
      <c r="F42" s="64" t="n"/>
      <c r="G42" s="64" t="n"/>
      <c r="H42" s="64" t="n"/>
      <c r="I42" s="63" t="n"/>
      <c r="J42" s="9" t="inlineStr">
        <is>
          <t>https://sfia-online.org</t>
        </is>
      </c>
      <c r="K42" s="64" t="n"/>
      <c r="L42" s="64" t="n"/>
      <c r="M42" s="64" t="n"/>
      <c r="N42" s="63" t="n"/>
      <c r="O42" s="8" t="n">
        <v>179</v>
      </c>
    </row>
    <row r="43" ht="28" customHeight="1">
      <c r="A43" s="14" t="inlineStr">
        <is>
          <t>Consulting &amp; Professional Services</t>
        </is>
      </c>
      <c r="B43" s="64" t="n"/>
      <c r="C43" s="63" t="n"/>
      <c r="D43" s="9" t="inlineStr">
        <is>
          <t>XBRL US GAAP Certificate · AICPA &amp; XBRL US; XBRL International specifications; IFRS / US GAAP / Ind AS</t>
        </is>
      </c>
      <c r="E43" s="64" t="n"/>
      <c r="F43" s="64" t="n"/>
      <c r="G43" s="64" t="n"/>
      <c r="H43" s="64" t="n"/>
      <c r="I43" s="63" t="n"/>
      <c r="J43" s="9" t="inlineStr">
        <is>
          <t>https://xbrl.us</t>
        </is>
      </c>
      <c r="K43" s="64" t="n"/>
      <c r="L43" s="64" t="n"/>
      <c r="M43" s="64" t="n"/>
      <c r="N43" s="63" t="n"/>
      <c r="O43" s="8" t="n">
        <v>89</v>
      </c>
    </row>
    <row r="44" ht="28" customHeight="1">
      <c r="A44" s="14" t="inlineStr">
        <is>
          <t>Sales &amp; Business Development</t>
        </is>
      </c>
      <c r="B44" s="64" t="n"/>
      <c r="C44" s="63" t="n"/>
      <c r="D44" s="9" t="inlineStr">
        <is>
          <t>SaaS sales ladder · SDR → AE → Enterprise AE → VP / CRO; MEDDICC-style qualification</t>
        </is>
      </c>
      <c r="E44" s="64" t="n"/>
      <c r="F44" s="64" t="n"/>
      <c r="G44" s="64" t="n"/>
      <c r="H44" s="64" t="n"/>
      <c r="I44" s="63" t="n"/>
      <c r="J44" s="9" t="inlineStr">
        <is>
          <t>https://prospeo.io/s/sales-titles-hierarchy</t>
        </is>
      </c>
      <c r="K44" s="64" t="n"/>
      <c r="L44" s="64" t="n"/>
      <c r="M44" s="64" t="n"/>
      <c r="N44" s="63" t="n"/>
      <c r="O44" s="8" t="n">
        <v>39</v>
      </c>
    </row>
    <row r="45" ht="15" customHeight="1">
      <c r="A45" s="14" t="inlineStr">
        <is>
          <t>Quality Assurance</t>
        </is>
      </c>
      <c r="B45" s="64" t="n"/>
      <c r="C45" s="63" t="n"/>
      <c r="D45" s="9" t="inlineStr">
        <is>
          <t>ISTQB Foundation → Advanced → Expert; SFIA testing</t>
        </is>
      </c>
      <c r="E45" s="64" t="n"/>
      <c r="F45" s="64" t="n"/>
      <c r="G45" s="64" t="n"/>
      <c r="H45" s="64" t="n"/>
      <c r="I45" s="63" t="n"/>
      <c r="J45" s="9" t="inlineStr">
        <is>
          <t>https://www.istqb.org</t>
        </is>
      </c>
      <c r="K45" s="64" t="n"/>
      <c r="L45" s="64" t="n"/>
      <c r="M45" s="64" t="n"/>
      <c r="N45" s="63" t="n"/>
      <c r="O45" s="8" t="n">
        <v>38</v>
      </c>
    </row>
    <row r="46" ht="28" customHeight="1">
      <c r="A46" s="14" t="inlineStr">
        <is>
          <t>Customer Success &amp; Support</t>
        </is>
      </c>
      <c r="B46" s="64" t="n"/>
      <c r="C46" s="63" t="n"/>
      <c r="D46" s="9" t="inlineStr">
        <is>
          <t>TSIA frameworks and benchmarks; ITIL 4 service desk; Gainsight customer-success practice</t>
        </is>
      </c>
      <c r="E46" s="64" t="n"/>
      <c r="F46" s="64" t="n"/>
      <c r="G46" s="64" t="n"/>
      <c r="H46" s="64" t="n"/>
      <c r="I46" s="63" t="n"/>
      <c r="J46" s="9" t="inlineStr">
        <is>
          <t>https://www.tsia.com</t>
        </is>
      </c>
      <c r="K46" s="64" t="n"/>
      <c r="L46" s="64" t="n"/>
      <c r="M46" s="64" t="n"/>
      <c r="N46" s="63" t="n"/>
      <c r="O46" s="8" t="n">
        <v>37</v>
      </c>
    </row>
    <row r="47" ht="28" customHeight="1">
      <c r="A47" s="14" t="inlineStr">
        <is>
          <t>Data Operations &amp; Digitization</t>
        </is>
      </c>
      <c r="B47" s="64" t="n"/>
      <c r="C47" s="63" t="n"/>
      <c r="D47" s="9" t="inlineStr">
        <is>
          <t>COPC CX Standard · leadership &amp; planning, people, processes, performance; ISO 9001; Lean / Six Sigma</t>
        </is>
      </c>
      <c r="E47" s="64" t="n"/>
      <c r="F47" s="64" t="n"/>
      <c r="G47" s="64" t="n"/>
      <c r="H47" s="64" t="n"/>
      <c r="I47" s="63" t="n"/>
      <c r="J47" s="9" t="inlineStr">
        <is>
          <t>https://copc.com/copc-standards</t>
        </is>
      </c>
      <c r="K47" s="64" t="n"/>
      <c r="L47" s="64" t="n"/>
      <c r="M47" s="64" t="n"/>
      <c r="N47" s="63" t="n"/>
      <c r="O47" s="8" t="n">
        <v>32</v>
      </c>
    </row>
    <row r="48" ht="15" customHeight="1">
      <c r="A48" s="14" t="inlineStr">
        <is>
          <t>Business Analysis</t>
        </is>
      </c>
      <c r="B48" s="64" t="n"/>
      <c r="C48" s="63" t="n"/>
      <c r="D48" s="9" t="inlineStr">
        <is>
          <t>IIBA BABOK v3; certifications ECBA · entry → CCBA → CBAP · senior</t>
        </is>
      </c>
      <c r="E48" s="64" t="n"/>
      <c r="F48" s="64" t="n"/>
      <c r="G48" s="64" t="n"/>
      <c r="H48" s="64" t="n"/>
      <c r="I48" s="63" t="n"/>
      <c r="J48" s="9" t="inlineStr">
        <is>
          <t>https://www.iiba.org</t>
        </is>
      </c>
      <c r="K48" s="64" t="n"/>
      <c r="L48" s="64" t="n"/>
      <c r="M48" s="64" t="n"/>
      <c r="N48" s="63" t="n"/>
      <c r="O48" s="8" t="n">
        <v>29</v>
      </c>
    </row>
    <row r="49" ht="28" customHeight="1">
      <c r="A49" s="14" t="inlineStr">
        <is>
          <t>Marketing &amp; Communications</t>
        </is>
      </c>
      <c r="B49" s="64" t="n"/>
      <c r="C49" s="63" t="n"/>
      <c r="D49" s="9" t="inlineStr">
        <is>
          <t>CIM Global Professional Marketing Framework — proficiency Aware → Active learner → Able → Accomplished → Authoritative</t>
        </is>
      </c>
      <c r="E49" s="64" t="n"/>
      <c r="F49" s="64" t="n"/>
      <c r="G49" s="64" t="n"/>
      <c r="H49" s="64" t="n"/>
      <c r="I49" s="63" t="n"/>
      <c r="J49" s="9" t="inlineStr">
        <is>
          <t>https://www.cim.co.uk/more/professional-marketing-competencies</t>
        </is>
      </c>
      <c r="K49" s="64" t="n"/>
      <c r="L49" s="64" t="n"/>
      <c r="M49" s="64" t="n"/>
      <c r="N49" s="63" t="n"/>
      <c r="O49" s="8" t="n">
        <v>23</v>
      </c>
    </row>
    <row r="50" ht="15" customHeight="1">
      <c r="A50" s="14" t="inlineStr">
        <is>
          <t>Project &amp; Program Management</t>
        </is>
      </c>
      <c r="B50" s="64" t="n"/>
      <c r="C50" s="63" t="n"/>
      <c r="D50" s="9" t="inlineStr">
        <is>
          <t>PMI PMBOK and Talent Triangle; CAPM · entry → PMP → PgMP; Scrum / SAFe</t>
        </is>
      </c>
      <c r="E50" s="64" t="n"/>
      <c r="F50" s="64" t="n"/>
      <c r="G50" s="64" t="n"/>
      <c r="H50" s="64" t="n"/>
      <c r="I50" s="63" t="n"/>
      <c r="J50" s="9" t="inlineStr">
        <is>
          <t>https://www.pmi.org</t>
        </is>
      </c>
      <c r="K50" s="64" t="n"/>
      <c r="L50" s="64" t="n"/>
      <c r="M50" s="64" t="n"/>
      <c r="N50" s="63" t="n"/>
      <c r="O50" s="8" t="n">
        <v>18</v>
      </c>
    </row>
    <row r="51" ht="15" customHeight="1">
      <c r="A51" s="14" t="inlineStr">
        <is>
          <t>Product Management</t>
        </is>
      </c>
      <c r="B51" s="64" t="n"/>
      <c r="C51" s="63" t="n"/>
      <c r="D51" s="9" t="inlineStr">
        <is>
          <t>Pragmatic Institute Framework · 37 activities, 7 categories; AIPMM</t>
        </is>
      </c>
      <c r="E51" s="64" t="n"/>
      <c r="F51" s="64" t="n"/>
      <c r="G51" s="64" t="n"/>
      <c r="H51" s="64" t="n"/>
      <c r="I51" s="63" t="n"/>
      <c r="J51" s="9" t="inlineStr">
        <is>
          <t>https://pragmaticinstitute.com/product/framework/launch</t>
        </is>
      </c>
      <c r="K51" s="64" t="n"/>
      <c r="L51" s="64" t="n"/>
      <c r="M51" s="64" t="n"/>
      <c r="N51" s="63" t="n"/>
      <c r="O51" s="8" t="n">
        <v>15</v>
      </c>
    </row>
    <row r="52" ht="15" customHeight="1">
      <c r="A52" s="14" t="inlineStr">
        <is>
          <t>IT &amp; Infrastructure</t>
        </is>
      </c>
      <c r="B52" s="64" t="n"/>
      <c r="C52" s="63" t="n"/>
      <c r="D52" s="9" t="inlineStr">
        <is>
          <t>ITIL 4; ISO/IEC 27001:2022; SFIA infrastructure</t>
        </is>
      </c>
      <c r="E52" s="64" t="n"/>
      <c r="F52" s="64" t="n"/>
      <c r="G52" s="64" t="n"/>
      <c r="H52" s="64" t="n"/>
      <c r="I52" s="63" t="n"/>
      <c r="J52" s="9" t="inlineStr">
        <is>
          <t>https://www.iso.org/standard/27001</t>
        </is>
      </c>
      <c r="K52" s="64" t="n"/>
      <c r="L52" s="64" t="n"/>
      <c r="M52" s="64" t="n"/>
      <c r="N52" s="63" t="n"/>
      <c r="O52" s="8" t="n">
        <v>13</v>
      </c>
    </row>
    <row r="53" ht="28" customHeight="1">
      <c r="A53" s="14" t="inlineStr">
        <is>
          <t>Executive Leadership</t>
        </is>
      </c>
      <c r="B53" s="64" t="n"/>
      <c r="C53" s="63" t="n"/>
      <c r="D53" s="9" t="inlineStr">
        <is>
          <t>Aon Radford executive levels E1–E6; Mercer ET1–ET3; Korn Ferry Leadership Architect</t>
        </is>
      </c>
      <c r="E53" s="64" t="n"/>
      <c r="F53" s="64" t="n"/>
      <c r="G53" s="64" t="n"/>
      <c r="H53" s="64" t="n"/>
      <c r="I53" s="63" t="n"/>
      <c r="J53" s="9" t="inlineStr">
        <is>
          <t>https://support.pave.com/articles/understand-job-levels-SiKTjMHZtr.md</t>
        </is>
      </c>
      <c r="K53" s="64" t="n"/>
      <c r="L53" s="64" t="n"/>
      <c r="M53" s="64" t="n"/>
      <c r="N53" s="63" t="n"/>
      <c r="O53" s="8" t="n">
        <v>11</v>
      </c>
    </row>
    <row r="54" ht="28" customHeight="1">
      <c r="A54" s="14" t="inlineStr">
        <is>
          <t>Data &amp; Analytics</t>
        </is>
      </c>
      <c r="B54" s="64" t="n"/>
      <c r="C54" s="63" t="n"/>
      <c r="D54" s="9" t="inlineStr">
        <is>
          <t>DAMA-DMBOK · 11 knowledge areas around data governance</t>
        </is>
      </c>
      <c r="E54" s="64" t="n"/>
      <c r="F54" s="64" t="n"/>
      <c r="G54" s="64" t="n"/>
      <c r="H54" s="64" t="n"/>
      <c r="I54" s="63" t="n"/>
      <c r="J54" s="9" t="inlineStr">
        <is>
          <t>https://www.snowflake.com/en/fundamentals/data-governance/framework/dama-dmbok/</t>
        </is>
      </c>
      <c r="K54" s="64" t="n"/>
      <c r="L54" s="64" t="n"/>
      <c r="M54" s="64" t="n"/>
      <c r="N54" s="63" t="n"/>
      <c r="O54" s="8" t="n">
        <v>11</v>
      </c>
    </row>
    <row r="55" ht="15" customHeight="1">
      <c r="A55" s="14" t="inlineStr">
        <is>
          <t>Engineering &amp; Architecture</t>
        </is>
      </c>
      <c r="B55" s="64" t="n"/>
      <c r="C55" s="63" t="n"/>
      <c r="D55" s="9" t="inlineStr">
        <is>
          <t>SFIA 9 · solution architecture; TOGAF; AWS / Azure architect certifications</t>
        </is>
      </c>
      <c r="E55" s="64" t="n"/>
      <c r="F55" s="64" t="n"/>
      <c r="G55" s="64" t="n"/>
      <c r="H55" s="64" t="n"/>
      <c r="I55" s="63" t="n"/>
      <c r="J55" s="9" t="inlineStr">
        <is>
          <t>https://sfia-online.org</t>
        </is>
      </c>
      <c r="K55" s="64" t="n"/>
      <c r="L55" s="64" t="n"/>
      <c r="M55" s="64" t="n"/>
      <c r="N55" s="63" t="n"/>
      <c r="O55" s="8" t="n">
        <v>10</v>
      </c>
    </row>
    <row r="56" ht="15" customHeight="1">
      <c r="A56" s="14" t="inlineStr">
        <is>
          <t>Finance &amp; Accounts</t>
        </is>
      </c>
      <c r="B56" s="64" t="n"/>
      <c r="C56" s="63" t="n"/>
      <c r="D56" s="9" t="inlineStr">
        <is>
          <t>IMA Management Accounting Competency Framework; ICAI / CA; Ind AS</t>
        </is>
      </c>
      <c r="E56" s="64" t="n"/>
      <c r="F56" s="64" t="n"/>
      <c r="G56" s="64" t="n"/>
      <c r="H56" s="64" t="n"/>
      <c r="I56" s="63" t="n"/>
      <c r="J56" s="9" t="inlineStr">
        <is>
          <t>https://www.imanet.org/framework</t>
        </is>
      </c>
      <c r="K56" s="64" t="n"/>
      <c r="L56" s="64" t="n"/>
      <c r="M56" s="64" t="n"/>
      <c r="N56" s="63" t="n"/>
      <c r="O56" s="8" t="n">
        <v>10</v>
      </c>
    </row>
    <row r="57" ht="28" customHeight="1">
      <c r="A57" s="14" t="inlineStr">
        <is>
          <t>Administration, Legal &amp; Secretarial</t>
        </is>
      </c>
      <c r="B57" s="64" t="n"/>
      <c r="C57" s="63" t="n"/>
      <c r="D57" s="9" t="inlineStr">
        <is>
          <t>ICSI · Company Secretary; Companies Act 2013; IFMA · facilities; CIPS · procurement</t>
        </is>
      </c>
      <c r="E57" s="64" t="n"/>
      <c r="F57" s="64" t="n"/>
      <c r="G57" s="64" t="n"/>
      <c r="H57" s="64" t="n"/>
      <c r="I57" s="63" t="n"/>
      <c r="J57" s="9" t="inlineStr">
        <is>
          <t>https://www.icsi.edu</t>
        </is>
      </c>
      <c r="K57" s="64" t="n"/>
      <c r="L57" s="64" t="n"/>
      <c r="M57" s="64" t="n"/>
      <c r="N57" s="63" t="n"/>
      <c r="O57" s="8" t="n">
        <v>9</v>
      </c>
    </row>
    <row r="58" ht="15" customHeight="1">
      <c r="A58" s="14" t="inlineStr">
        <is>
          <t>Human Resources</t>
        </is>
      </c>
      <c r="B58" s="64" t="n"/>
      <c r="C58" s="63" t="n"/>
      <c r="D58" s="9" t="inlineStr">
        <is>
          <t>SHRM BASK · SHRM-CP → SHRM-SCP; CIPD Profession Map</t>
        </is>
      </c>
      <c r="E58" s="64" t="n"/>
      <c r="F58" s="64" t="n"/>
      <c r="G58" s="64" t="n"/>
      <c r="H58" s="64" t="n"/>
      <c r="I58" s="63" t="n"/>
      <c r="J58" s="9" t="inlineStr">
        <is>
          <t>https://www.shrm.org/credentials/certification/shrm-bask</t>
        </is>
      </c>
      <c r="K58" s="64" t="n"/>
      <c r="L58" s="64" t="n"/>
      <c r="M58" s="64" t="n"/>
      <c r="N58" s="63" t="n"/>
      <c r="O58" s="8" t="n">
        <v>8</v>
      </c>
    </row>
    <row r="59" ht="15" customHeight="1">
      <c r="A59" s="14" t="inlineStr">
        <is>
          <t>Solution Consulting &amp; Implementation</t>
        </is>
      </c>
      <c r="B59" s="64" t="n"/>
      <c r="C59" s="63" t="n"/>
      <c r="D59" s="9" t="inlineStr">
        <is>
          <t>TSIA professional services; PMI; BABOK</t>
        </is>
      </c>
      <c r="E59" s="64" t="n"/>
      <c r="F59" s="64" t="n"/>
      <c r="G59" s="64" t="n"/>
      <c r="H59" s="64" t="n"/>
      <c r="I59" s="63" t="n"/>
      <c r="J59" s="9" t="inlineStr">
        <is>
          <t>https://www.tsia.com</t>
        </is>
      </c>
      <c r="K59" s="64" t="n"/>
      <c r="L59" s="64" t="n"/>
      <c r="M59" s="64" t="n"/>
      <c r="N59" s="63" t="n"/>
      <c r="O59" s="8" t="n">
        <v>7</v>
      </c>
    </row>
    <row r="60" ht="28" customHeight="1">
      <c r="A60" s="14" t="inlineStr">
        <is>
          <t>Design &amp; Creative</t>
        </is>
      </c>
      <c r="B60" s="64" t="n"/>
      <c r="C60" s="63" t="n"/>
      <c r="D60" s="9" t="inlineStr">
        <is>
          <t>UX career ladder Junior → Designer → Senior → Lead → Principal; WCAG accessibility</t>
        </is>
      </c>
      <c r="E60" s="64" t="n"/>
      <c r="F60" s="64" t="n"/>
      <c r="G60" s="64" t="n"/>
      <c r="H60" s="64" t="n"/>
      <c r="I60" s="63" t="n"/>
      <c r="J60" s="9" t="inlineStr">
        <is>
          <t>https://bootcamp.uxdesign.cc/career-ladder-from-junior-to-director-guidance-for-ux-professionals-1b5f9b2bd6b8</t>
        </is>
      </c>
      <c r="K60" s="64" t="n"/>
      <c r="L60" s="64" t="n"/>
      <c r="M60" s="64" t="n"/>
      <c r="N60" s="63" t="n"/>
      <c r="O60" s="8" t="n">
        <v>6</v>
      </c>
    </row>
    <row r="61" ht="15" customHeight="1">
      <c r="A61" s="14" t="inlineStr">
        <is>
          <t>Unassigned</t>
        </is>
      </c>
      <c r="B61" s="64" t="n"/>
      <c r="C61" s="63" t="n"/>
      <c r="D61" s="9" t="inlineStr">
        <is>
          <t>—</t>
        </is>
      </c>
      <c r="E61" s="64" t="n"/>
      <c r="F61" s="64" t="n"/>
      <c r="G61" s="64" t="n"/>
      <c r="H61" s="64" t="n"/>
      <c r="I61" s="63" t="n"/>
      <c r="J61" s="9" t="inlineStr">
        <is>
          <t>—</t>
        </is>
      </c>
      <c r="K61" s="64" t="n"/>
      <c r="L61" s="64" t="n"/>
      <c r="M61" s="64" t="n"/>
      <c r="N61" s="63" t="n"/>
      <c r="O61" s="8" t="n">
        <v>2</v>
      </c>
    </row>
    <row r="62" ht="15" customHeight="1"/>
    <row r="63" ht="20" customHeight="1">
      <c r="A63" s="6" t="inlineStr">
        <is>
          <t>R3. Department × level benchmark — IRIS level vs competitors, regtech leaders and SaaS leaders · bottom to top</t>
        </is>
      </c>
    </row>
    <row r="64" ht="28" customHeight="1">
      <c r="A64" s="12" t="inlineStr">
        <is>
          <r>
            <rPr>
              <rFont val="Calibri"/>
              <b val="1"/>
              <i val="1"/>
              <color rgb="00595959"/>
              <sz val="10"/>
            </rPr>
            <t>For each department and each job family in it:</t>
          </r>
          <r>
            <rPr>
              <rFont val="Calibri"/>
              <i val="1"/>
              <color rgb="00595959"/>
              <sz val="10"/>
            </rPr>
            <t xml:space="preserve"> the IRIS title at each level, then the equivalent title at each benchmark company or standard. Blank = that company has no published equivalent at that level. Rows headed 'IRIS Vs Competitor Benchmark' · an IRIS composite or 'IRIS Vs Market Benchmark' · an IRIS mapping are IRIS's own assembly, not a published ladder.</t>
          </r>
        </is>
      </c>
    </row>
    <row r="65" ht="20" customHeight="1">
      <c r="A65" s="79" t="inlineStr">
        <is>
          <t>Technology — 236 people</t>
        </is>
      </c>
    </row>
    <row r="66" ht="15" customHeight="1">
      <c r="A66" s="61" t="inlineStr">
        <is>
          <t>IRIS Engineering &amp; Development Vs · Standard: SFIA 9 · software development, programming; OWASP secure coding; cloud vendor certifications · 173 here</t>
        </is>
      </c>
      <c r="B66" s="64" t="n"/>
      <c r="C66" s="64" t="n"/>
      <c r="D66" s="64" t="n"/>
      <c r="E66" s="64" t="n"/>
      <c r="F66" s="64" t="n"/>
      <c r="G66" s="64" t="n"/>
      <c r="H66" s="64" t="n"/>
      <c r="I66" s="64" t="n"/>
      <c r="J66" s="64" t="n"/>
      <c r="K66" s="64" t="n"/>
      <c r="L66" s="64" t="n"/>
      <c r="M66" s="64" t="n"/>
      <c r="N66" s="64" t="n"/>
      <c r="O66" s="63" t="n"/>
    </row>
    <row r="67" ht="15" customHeight="1">
      <c r="A67" s="76" t="inlineStr">
        <is>
          <t>Ladder / company</t>
        </is>
      </c>
      <c r="B67" s="76" t="inlineStr">
        <is>
          <t>A1</t>
        </is>
      </c>
      <c r="C67" s="76" t="inlineStr">
        <is>
          <t>A2</t>
        </is>
      </c>
      <c r="D67" s="76" t="inlineStr">
        <is>
          <t>A3</t>
        </is>
      </c>
      <c r="E67" s="76" t="inlineStr">
        <is>
          <t>B1</t>
        </is>
      </c>
      <c r="F67" s="76" t="inlineStr">
        <is>
          <t>B2</t>
        </is>
      </c>
      <c r="G67" s="76" t="inlineStr">
        <is>
          <t>B3</t>
        </is>
      </c>
      <c r="H67" s="76" t="inlineStr">
        <is>
          <t>B+</t>
        </is>
      </c>
      <c r="I67" s="76" t="inlineStr">
        <is>
          <t>C1</t>
        </is>
      </c>
      <c r="J67" s="76" t="inlineStr">
        <is>
          <t>C2</t>
        </is>
      </c>
      <c r="K67" s="76" t="inlineStr">
        <is>
          <t>C+</t>
        </is>
      </c>
      <c r="L67" s="76" t="inlineStr">
        <is>
          <t>D1</t>
        </is>
      </c>
      <c r="M67" s="76" t="inlineStr">
        <is>
          <t>D2</t>
        </is>
      </c>
      <c r="N67" s="76" t="inlineStr">
        <is>
          <t>E1</t>
        </is>
      </c>
      <c r="O67" s="76" t="inlineStr">
        <is>
          <t>E2</t>
        </is>
      </c>
    </row>
    <row r="68" ht="54" customHeight="1">
      <c r="A68" s="74" t="inlineStr">
        <is>
          <t>IRIS — IC title</t>
        </is>
      </c>
      <c r="B68" s="42" t="inlineStr">
        <is>
          <t>Intern / Trainee</t>
        </is>
      </c>
      <c r="C68" s="42" t="inlineStr">
        <is>
          <t>Associate</t>
        </is>
      </c>
      <c r="D68" s="42" t="inlineStr">
        <is>
          <t>Senior Associate</t>
        </is>
      </c>
      <c r="E68" s="43" t="inlineStr">
        <is>
          <t>Specialist</t>
        </is>
      </c>
      <c r="F68" s="43" t="inlineStr">
        <is>
          <t>Senior Specialist</t>
        </is>
      </c>
      <c r="G68" s="43" t="inlineStr">
        <is>
          <t>Lead Specialist</t>
        </is>
      </c>
      <c r="H68" s="44" t="inlineStr">
        <is>
          <t>Practice Lead · Player-Coach</t>
        </is>
      </c>
      <c r="I68" s="45" t="inlineStr">
        <is>
          <t>Principal</t>
        </is>
      </c>
      <c r="J68" s="45" t="inlineStr">
        <is>
          <t>Senior Principal / Architect</t>
        </is>
      </c>
      <c r="K68" s="46" t="inlineStr">
        <is>
          <t>Group Head · Player-Coach</t>
        </is>
      </c>
      <c r="L68" s="47" t="inlineStr">
        <is>
          <t>Chief Specialist / Distinguished Principal</t>
        </is>
      </c>
      <c r="M68" s="47" t="inlineStr">
        <is>
          <t>—</t>
        </is>
      </c>
      <c r="N68" s="48" t="inlineStr">
        <is>
          <t>—</t>
        </is>
      </c>
      <c r="O68" s="48" t="inlineStr">
        <is>
          <t>—</t>
        </is>
      </c>
    </row>
    <row r="69" ht="54" customHeight="1">
      <c r="A69" s="74" t="inlineStr">
        <is>
          <t>IRIS — Manager title</t>
        </is>
      </c>
      <c r="B69" s="42" t="n"/>
      <c r="C69" s="42" t="n"/>
      <c r="D69" s="42" t="n"/>
      <c r="E69" s="43" t="inlineStr">
        <is>
          <t>Team Lead</t>
        </is>
      </c>
      <c r="F69" s="43" t="inlineStr">
        <is>
          <t>Manager</t>
        </is>
      </c>
      <c r="G69" s="43" t="inlineStr">
        <is>
          <t>Senior Manager</t>
        </is>
      </c>
      <c r="H69" s="44" t="inlineStr">
        <is>
          <t>Practice Lead · Player-Coach</t>
        </is>
      </c>
      <c r="I69" s="45" t="inlineStr">
        <is>
          <t>Associate Head</t>
        </is>
      </c>
      <c r="J69" s="45" t="inlineStr">
        <is>
          <t>Head of Function</t>
        </is>
      </c>
      <c r="K69" s="46" t="inlineStr">
        <is>
          <t>Group Head · Player-Coach</t>
        </is>
      </c>
      <c r="L69" s="47" t="inlineStr">
        <is>
          <t>Associate Vice President / Business Head</t>
        </is>
      </c>
      <c r="M69" s="47" t="inlineStr">
        <is>
          <t>Vice President</t>
        </is>
      </c>
      <c r="N69" s="48" t="inlineStr">
        <is>
          <t>CXO / President</t>
        </is>
      </c>
      <c r="O69" s="48" t="inlineStr">
        <is>
          <t>Chief Executive Officer</t>
        </is>
      </c>
    </row>
    <row r="70" ht="15" customHeight="1">
      <c r="A70" s="74" t="inlineStr">
        <is>
          <t>IRIS — people at level</t>
        </is>
      </c>
      <c r="B70" s="42" t="n">
        <v>10</v>
      </c>
      <c r="C70" s="42" t="n">
        <v>20</v>
      </c>
      <c r="D70" s="42" t="n">
        <v>92</v>
      </c>
      <c r="E70" s="43" t="n">
        <v>16</v>
      </c>
      <c r="F70" s="43" t="n">
        <v>12</v>
      </c>
      <c r="G70" s="43" t="n">
        <v>6</v>
      </c>
      <c r="H70" s="44" t="n"/>
      <c r="I70" s="45" t="n"/>
      <c r="J70" s="45" t="n">
        <v>1</v>
      </c>
      <c r="K70" s="46" t="n"/>
      <c r="L70" s="47" t="n"/>
      <c r="M70" s="47" t="n"/>
      <c r="N70" s="48" t="n"/>
      <c r="O70" s="48" t="n"/>
    </row>
    <row r="71" ht="28" customHeight="1">
      <c r="A71" s="14" t="inlineStr">
        <is>
          <t>Workiva</t>
        </is>
      </c>
      <c r="B71" s="8" t="n"/>
      <c r="C71" s="8" t="inlineStr">
        <is>
          <t>Associate SE</t>
        </is>
      </c>
      <c r="D71" s="8" t="inlineStr">
        <is>
          <t>SE</t>
        </is>
      </c>
      <c r="E71" s="8" t="inlineStr">
        <is>
          <t>SE / Senior SE</t>
        </is>
      </c>
      <c r="F71" s="8" t="inlineStr">
        <is>
          <t>Senior SE</t>
        </is>
      </c>
      <c r="G71" s="8" t="inlineStr">
        <is>
          <t>Staff SE</t>
        </is>
      </c>
      <c r="H71" s="8" t="n"/>
      <c r="I71" s="8" t="n"/>
      <c r="J71" s="8" t="n"/>
      <c r="K71" s="8" t="n"/>
      <c r="L71" s="8" t="n"/>
      <c r="M71" s="8" t="n"/>
      <c r="N71" s="8" t="n"/>
      <c r="O71" s="8" t="n"/>
    </row>
    <row r="72" ht="28" customHeight="1">
      <c r="A72" s="14" t="inlineStr">
        <is>
          <t>Broadridge India</t>
        </is>
      </c>
      <c r="B72" s="8" t="n"/>
      <c r="C72" s="8" t="inlineStr">
        <is>
          <t>SE</t>
        </is>
      </c>
      <c r="D72" s="8" t="inlineStr">
        <is>
          <t>SE</t>
        </is>
      </c>
      <c r="E72" s="8" t="inlineStr">
        <is>
          <t>Senior SE</t>
        </is>
      </c>
      <c r="F72" s="8" t="inlineStr">
        <is>
          <t>Lead SE</t>
        </is>
      </c>
      <c r="G72" s="8" t="inlineStr">
        <is>
          <t>Senior Lead SE</t>
        </is>
      </c>
      <c r="H72" s="8" t="n"/>
      <c r="I72" s="8" t="n"/>
      <c r="J72" s="8" t="n"/>
      <c r="K72" s="8" t="n"/>
      <c r="L72" s="8" t="n"/>
      <c r="M72" s="8" t="n"/>
      <c r="N72" s="8" t="n"/>
      <c r="O72" s="8" t="n"/>
    </row>
    <row r="73" ht="15" customHeight="1">
      <c r="A73" s="14" t="inlineStr">
        <is>
          <t>Nasdaq / AxiomSL</t>
        </is>
      </c>
      <c r="B73" s="8" t="n"/>
      <c r="C73" s="8" t="inlineStr">
        <is>
          <t>SE</t>
        </is>
      </c>
      <c r="D73" s="8" t="inlineStr">
        <is>
          <t>SE</t>
        </is>
      </c>
      <c r="E73" s="8" t="inlineStr">
        <is>
          <t>Senior SE</t>
        </is>
      </c>
      <c r="F73" s="8" t="inlineStr">
        <is>
          <t>Senior SE</t>
        </is>
      </c>
      <c r="G73" s="8" t="inlineStr">
        <is>
          <t>Lead SE</t>
        </is>
      </c>
      <c r="H73" s="8" t="n"/>
      <c r="I73" s="8" t="inlineStr">
        <is>
          <t>Principal SE</t>
        </is>
      </c>
      <c r="J73" s="8" t="n"/>
      <c r="K73" s="8" t="n"/>
      <c r="L73" s="8" t="n"/>
      <c r="M73" s="8" t="n"/>
      <c r="N73" s="8" t="n"/>
      <c r="O73" s="8" t="n"/>
    </row>
    <row r="74" ht="41" customHeight="1">
      <c r="A74" s="14" t="inlineStr">
        <is>
          <t>Salesforce</t>
        </is>
      </c>
      <c r="B74" s="8" t="n"/>
      <c r="C74" s="8" t="inlineStr">
        <is>
          <t>AMTS</t>
        </is>
      </c>
      <c r="D74" s="8" t="inlineStr">
        <is>
          <t>MTS</t>
        </is>
      </c>
      <c r="E74" s="8" t="inlineStr">
        <is>
          <t>MTS</t>
        </is>
      </c>
      <c r="F74" s="8" t="inlineStr">
        <is>
          <t>SMTS</t>
        </is>
      </c>
      <c r="G74" s="8" t="inlineStr">
        <is>
          <t>LMTS</t>
        </is>
      </c>
      <c r="H74" s="8" t="n"/>
      <c r="I74" s="8" t="inlineStr">
        <is>
          <t>PMTS</t>
        </is>
      </c>
      <c r="J74" s="8" t="inlineStr">
        <is>
          <t>Architect / Principal Architect</t>
        </is>
      </c>
      <c r="K74" s="8" t="n"/>
      <c r="L74" s="8" t="inlineStr">
        <is>
          <t>Distinguished Engineer</t>
        </is>
      </c>
      <c r="M74" s="8" t="n"/>
      <c r="N74" s="8" t="n"/>
      <c r="O74" s="8" t="n"/>
    </row>
    <row r="75" ht="28" customHeight="1">
      <c r="A75" s="14" t="inlineStr">
        <is>
          <t>Atlassian</t>
        </is>
      </c>
      <c r="B75" s="8" t="n"/>
      <c r="C75" s="8" t="inlineStr">
        <is>
          <t>P30 Junior · 0–2 yrs</t>
        </is>
      </c>
      <c r="D75" s="8" t="inlineStr">
        <is>
          <t>P40 · 3–7 yrs</t>
        </is>
      </c>
      <c r="E75" s="8" t="inlineStr">
        <is>
          <t>P40</t>
        </is>
      </c>
      <c r="F75" s="8" t="inlineStr">
        <is>
          <t>P50 Senior · 6–12 yrs</t>
        </is>
      </c>
      <c r="G75" s="8" t="inlineStr">
        <is>
          <t>P50 Senior</t>
        </is>
      </c>
      <c r="H75" s="8" t="n"/>
      <c r="I75" s="8" t="inlineStr">
        <is>
          <t>P60 Principal · 10+ yrs</t>
        </is>
      </c>
      <c r="J75" s="8" t="inlineStr">
        <is>
          <t>P70</t>
        </is>
      </c>
      <c r="K75" s="8" t="n"/>
      <c r="L75" s="8" t="n"/>
      <c r="M75" s="8" t="n"/>
      <c r="N75" s="8" t="n"/>
      <c r="O75" s="8" t="n"/>
    </row>
    <row r="76" ht="28" customHeight="1">
      <c r="A76" s="14" t="inlineStr">
        <is>
          <t>Freshworks</t>
        </is>
      </c>
      <c r="B76" s="8" t="n"/>
      <c r="C76" s="8" t="inlineStr">
        <is>
          <t>SE</t>
        </is>
      </c>
      <c r="D76" s="8" t="inlineStr">
        <is>
          <t>Senior SE</t>
        </is>
      </c>
      <c r="E76" s="8" t="inlineStr">
        <is>
          <t>Senior SE</t>
        </is>
      </c>
      <c r="F76" s="8" t="inlineStr">
        <is>
          <t>Lead SE</t>
        </is>
      </c>
      <c r="G76" s="8" t="inlineStr">
        <is>
          <t>Staff SE</t>
        </is>
      </c>
      <c r="H76" s="8" t="n"/>
      <c r="I76" s="8" t="inlineStr">
        <is>
          <t>Senior Staff SE</t>
        </is>
      </c>
      <c r="J76" s="8" t="inlineStr">
        <is>
          <t>Principal Engineer</t>
        </is>
      </c>
      <c r="K76" s="8" t="n"/>
      <c r="L76" s="8" t="n"/>
      <c r="M76" s="8" t="n"/>
      <c r="N76" s="8" t="n"/>
      <c r="O76" s="8" t="n"/>
    </row>
    <row r="77" ht="28" customHeight="1">
      <c r="A77" s="14" t="inlineStr">
        <is>
          <t>Clear · C14; unverified</t>
        </is>
      </c>
      <c r="B77" s="8" t="n"/>
      <c r="C77" s="8" t="inlineStr">
        <is>
          <t>SDE1</t>
        </is>
      </c>
      <c r="D77" s="8" t="inlineStr">
        <is>
          <t>SDE2</t>
        </is>
      </c>
      <c r="E77" s="8" t="inlineStr">
        <is>
          <t>SDE2</t>
        </is>
      </c>
      <c r="F77" s="8" t="inlineStr">
        <is>
          <t>SDE3 / Senior</t>
        </is>
      </c>
      <c r="G77" s="8" t="inlineStr">
        <is>
          <t>Staff</t>
        </is>
      </c>
      <c r="H77" s="8" t="n"/>
      <c r="I77" s="8" t="n"/>
      <c r="J77" s="8" t="n"/>
      <c r="K77" s="8" t="n"/>
      <c r="L77" s="8" t="n"/>
      <c r="M77" s="8" t="n"/>
      <c r="N77" s="8" t="n"/>
      <c r="O77" s="8" t="n"/>
    </row>
    <row r="78" ht="28" customHeight="1">
      <c r="A78" s="14" t="inlineStr">
        <is>
          <t>Google Tech Lead Manager</t>
        </is>
      </c>
      <c r="B78" s="8" t="n"/>
      <c r="C78" s="8" t="n"/>
      <c r="D78" s="8" t="n"/>
      <c r="E78" s="8" t="n"/>
      <c r="F78" s="8" t="n"/>
      <c r="G78" s="8" t="n"/>
      <c r="H78" s="8" t="inlineStr">
        <is>
          <t>Tech Lead Manager · TLM</t>
        </is>
      </c>
      <c r="I78" s="8" t="n"/>
      <c r="J78" s="8" t="n"/>
      <c r="K78" s="8" t="inlineStr">
        <is>
          <t>Senior TLM / Director</t>
        </is>
      </c>
      <c r="L78" s="8" t="n"/>
      <c r="M78" s="8" t="n"/>
      <c r="N78" s="8" t="n"/>
      <c r="O78" s="8" t="n"/>
    </row>
    <row r="79" ht="54" customHeight="1">
      <c r="A79" s="14" t="inlineStr">
        <is>
          <t>IRIS Vs Competitor Benchmark — engineering managers · informed by Freshworks, GitLab; C12, C20</t>
        </is>
      </c>
      <c r="B79" s="8" t="n"/>
      <c r="C79" s="8" t="n"/>
      <c r="D79" s="8" t="n"/>
      <c r="E79" s="8" t="n"/>
      <c r="F79" s="8" t="inlineStr">
        <is>
          <t>Engineering Manager</t>
        </is>
      </c>
      <c r="G79" s="8" t="inlineStr">
        <is>
          <t>Senior EM</t>
        </is>
      </c>
      <c r="H79" s="8" t="n"/>
      <c r="I79" s="8" t="inlineStr">
        <is>
          <t>Senior EM / Director</t>
        </is>
      </c>
      <c r="J79" s="8" t="inlineStr">
        <is>
          <t>Director Engineering</t>
        </is>
      </c>
      <c r="K79" s="8" t="n"/>
      <c r="L79" s="8" t="inlineStr">
        <is>
          <t>Senior Director</t>
        </is>
      </c>
      <c r="M79" s="8" t="inlineStr">
        <is>
          <t>VP Engineering</t>
        </is>
      </c>
      <c r="N79" s="8" t="inlineStr">
        <is>
          <t>CTO</t>
        </is>
      </c>
      <c r="O79" s="8" t="n"/>
    </row>
    <row r="80" ht="15" customHeight="1"/>
    <row r="81" ht="15" customHeight="1">
      <c r="A81" s="61" t="inlineStr">
        <is>
          <t>IRIS Business Analysis Vs · Standard: IIBA BABOK v3; certifications ECBA · entry → CCBA → CBAP · senior · 29 here</t>
        </is>
      </c>
      <c r="B81" s="64" t="n"/>
      <c r="C81" s="64" t="n"/>
      <c r="D81" s="64" t="n"/>
      <c r="E81" s="64" t="n"/>
      <c r="F81" s="64" t="n"/>
      <c r="G81" s="64" t="n"/>
      <c r="H81" s="64" t="n"/>
      <c r="I81" s="64" t="n"/>
      <c r="J81" s="64" t="n"/>
      <c r="K81" s="64" t="n"/>
      <c r="L81" s="64" t="n"/>
      <c r="M81" s="64" t="n"/>
      <c r="N81" s="64" t="n"/>
      <c r="O81" s="63" t="n"/>
    </row>
    <row r="82" ht="15" customHeight="1">
      <c r="A82" s="76" t="inlineStr">
        <is>
          <t>Ladder / company</t>
        </is>
      </c>
      <c r="B82" s="76" t="inlineStr">
        <is>
          <t>A1</t>
        </is>
      </c>
      <c r="C82" s="76" t="inlineStr">
        <is>
          <t>A2</t>
        </is>
      </c>
      <c r="D82" s="76" t="inlineStr">
        <is>
          <t>A3</t>
        </is>
      </c>
      <c r="E82" s="76" t="inlineStr">
        <is>
          <t>B1</t>
        </is>
      </c>
      <c r="F82" s="76" t="inlineStr">
        <is>
          <t>B2</t>
        </is>
      </c>
      <c r="G82" s="76" t="inlineStr">
        <is>
          <t>B3</t>
        </is>
      </c>
      <c r="H82" s="76" t="inlineStr">
        <is>
          <t>B+</t>
        </is>
      </c>
      <c r="I82" s="76" t="inlineStr">
        <is>
          <t>C1</t>
        </is>
      </c>
      <c r="J82" s="76" t="inlineStr">
        <is>
          <t>C2</t>
        </is>
      </c>
      <c r="K82" s="76" t="inlineStr">
        <is>
          <t>C+</t>
        </is>
      </c>
      <c r="L82" s="76" t="inlineStr">
        <is>
          <t>D1</t>
        </is>
      </c>
      <c r="M82" s="76" t="inlineStr">
        <is>
          <t>D2</t>
        </is>
      </c>
      <c r="N82" s="76" t="inlineStr">
        <is>
          <t>E1</t>
        </is>
      </c>
      <c r="O82" s="76" t="inlineStr">
        <is>
          <t>E2</t>
        </is>
      </c>
    </row>
    <row r="83" ht="54" customHeight="1">
      <c r="A83" s="74" t="inlineStr">
        <is>
          <t>IRIS — IC title</t>
        </is>
      </c>
      <c r="B83" s="42" t="inlineStr">
        <is>
          <t>Intern / Trainee</t>
        </is>
      </c>
      <c r="C83" s="42" t="inlineStr">
        <is>
          <t>Associate</t>
        </is>
      </c>
      <c r="D83" s="42" t="inlineStr">
        <is>
          <t>Senior Associate</t>
        </is>
      </c>
      <c r="E83" s="43" t="inlineStr">
        <is>
          <t>Specialist</t>
        </is>
      </c>
      <c r="F83" s="43" t="inlineStr">
        <is>
          <t>Senior Specialist</t>
        </is>
      </c>
      <c r="G83" s="43" t="inlineStr">
        <is>
          <t>Lead Specialist</t>
        </is>
      </c>
      <c r="H83" s="44" t="inlineStr">
        <is>
          <t>Practice Lead · Player-Coach</t>
        </is>
      </c>
      <c r="I83" s="45" t="inlineStr">
        <is>
          <t>Principal</t>
        </is>
      </c>
      <c r="J83" s="45" t="inlineStr">
        <is>
          <t>Senior Principal / Architect</t>
        </is>
      </c>
      <c r="K83" s="46" t="inlineStr">
        <is>
          <t>Group Head · Player-Coach</t>
        </is>
      </c>
      <c r="L83" s="47" t="inlineStr">
        <is>
          <t>Chief Specialist / Distinguished Principal</t>
        </is>
      </c>
      <c r="M83" s="47" t="inlineStr">
        <is>
          <t>—</t>
        </is>
      </c>
      <c r="N83" s="48" t="inlineStr">
        <is>
          <t>—</t>
        </is>
      </c>
      <c r="O83" s="48" t="inlineStr">
        <is>
          <t>—</t>
        </is>
      </c>
    </row>
    <row r="84" ht="54" customHeight="1">
      <c r="A84" s="74" t="inlineStr">
        <is>
          <t>IRIS — Manager title</t>
        </is>
      </c>
      <c r="B84" s="42" t="n"/>
      <c r="C84" s="42" t="n"/>
      <c r="D84" s="42" t="n"/>
      <c r="E84" s="43" t="inlineStr">
        <is>
          <t>Team Lead</t>
        </is>
      </c>
      <c r="F84" s="43" t="inlineStr">
        <is>
          <t>Manager</t>
        </is>
      </c>
      <c r="G84" s="43" t="inlineStr">
        <is>
          <t>Senior Manager</t>
        </is>
      </c>
      <c r="H84" s="44" t="inlineStr">
        <is>
          <t>Practice Lead · Player-Coach</t>
        </is>
      </c>
      <c r="I84" s="45" t="inlineStr">
        <is>
          <t>Associate Head</t>
        </is>
      </c>
      <c r="J84" s="45" t="inlineStr">
        <is>
          <t>Head of Function</t>
        </is>
      </c>
      <c r="K84" s="46" t="inlineStr">
        <is>
          <t>Group Head · Player-Coach</t>
        </is>
      </c>
      <c r="L84" s="47" t="inlineStr">
        <is>
          <t>Associate Vice President / Business Head</t>
        </is>
      </c>
      <c r="M84" s="47" t="inlineStr">
        <is>
          <t>Vice President</t>
        </is>
      </c>
      <c r="N84" s="48" t="inlineStr">
        <is>
          <t>CXO / President</t>
        </is>
      </c>
      <c r="O84" s="48" t="inlineStr">
        <is>
          <t>Chief Executive Officer</t>
        </is>
      </c>
    </row>
    <row r="85" ht="15" customHeight="1">
      <c r="A85" s="74" t="inlineStr">
        <is>
          <t>IRIS — people at level</t>
        </is>
      </c>
      <c r="B85" s="42" t="n">
        <v>1</v>
      </c>
      <c r="C85" s="42" t="n">
        <v>2</v>
      </c>
      <c r="D85" s="42" t="n">
        <v>16</v>
      </c>
      <c r="E85" s="43" t="n">
        <v>9</v>
      </c>
      <c r="F85" s="43" t="n">
        <v>1</v>
      </c>
      <c r="G85" s="43" t="n"/>
      <c r="H85" s="44" t="n"/>
      <c r="I85" s="45" t="n"/>
      <c r="J85" s="45" t="n"/>
      <c r="K85" s="46" t="n"/>
      <c r="L85" s="47" t="n"/>
      <c r="M85" s="47" t="n"/>
      <c r="N85" s="48" t="n"/>
      <c r="O85" s="48" t="n"/>
    </row>
    <row r="86" ht="28" customHeight="1">
      <c r="A86" s="14" t="inlineStr">
        <is>
          <t>Regnology — regulatory reporting</t>
        </is>
      </c>
      <c r="B86" s="8" t="n"/>
      <c r="C86" s="8" t="n"/>
      <c r="D86" s="8" t="inlineStr">
        <is>
          <t>Junior BA · Reg Reporting</t>
        </is>
      </c>
      <c r="E86" s="8" t="inlineStr">
        <is>
          <t>BA · Reg Reporting</t>
        </is>
      </c>
      <c r="F86" s="8" t="inlineStr">
        <is>
          <t>Senior BA · Reg Reporting</t>
        </is>
      </c>
      <c r="G86" s="8" t="n"/>
      <c r="H86" s="8" t="n"/>
      <c r="I86" s="8" t="n"/>
      <c r="J86" s="8" t="n"/>
      <c r="K86" s="8" t="n"/>
      <c r="L86" s="8" t="n"/>
      <c r="M86" s="8" t="n"/>
      <c r="N86" s="8" t="n"/>
      <c r="O86" s="8" t="n"/>
    </row>
    <row r="87" ht="28" customHeight="1">
      <c r="A87" s="14" t="inlineStr">
        <is>
          <t>Big Four consulting</t>
        </is>
      </c>
      <c r="B87" s="8" t="n"/>
      <c r="C87" s="8" t="inlineStr">
        <is>
          <t>Analyst</t>
        </is>
      </c>
      <c r="D87" s="8" t="inlineStr">
        <is>
          <t>Consultant</t>
        </is>
      </c>
      <c r="E87" s="8" t="inlineStr">
        <is>
          <t>Senior Consultant</t>
        </is>
      </c>
      <c r="F87" s="8" t="inlineStr">
        <is>
          <t>Manager</t>
        </is>
      </c>
      <c r="G87" s="8" t="inlineStr">
        <is>
          <t>Senior Manager</t>
        </is>
      </c>
      <c r="H87" s="8" t="n"/>
      <c r="I87" s="8" t="inlineStr">
        <is>
          <t>Associate Director</t>
        </is>
      </c>
      <c r="J87" s="8" t="inlineStr">
        <is>
          <t>Director</t>
        </is>
      </c>
      <c r="K87" s="8" t="n"/>
      <c r="L87" s="8" t="n"/>
      <c r="M87" s="8" t="n"/>
      <c r="N87" s="8" t="n"/>
      <c r="O87" s="8" t="n"/>
    </row>
    <row r="88" ht="54" customHeight="1">
      <c r="A88" s="14" t="inlineStr">
        <is>
          <t>IRIS Vs Market Benchmark — IIBA certification pathway · IIBA sets the certificates, not the level match</t>
        </is>
      </c>
      <c r="B88" s="8" t="n"/>
      <c r="C88" s="8" t="inlineStr">
        <is>
          <t>ECBA</t>
        </is>
      </c>
      <c r="D88" s="8" t="inlineStr">
        <is>
          <t>ECBA</t>
        </is>
      </c>
      <c r="E88" s="8" t="inlineStr">
        <is>
          <t>CCBA</t>
        </is>
      </c>
      <c r="F88" s="8" t="inlineStr">
        <is>
          <t>CBAP</t>
        </is>
      </c>
      <c r="G88" s="8" t="inlineStr">
        <is>
          <t>CBAP</t>
        </is>
      </c>
      <c r="H88" s="8" t="n"/>
      <c r="I88" s="8" t="inlineStr">
        <is>
          <t>CBAP</t>
        </is>
      </c>
      <c r="J88" s="8" t="n"/>
      <c r="K88" s="8" t="n"/>
      <c r="L88" s="8" t="n"/>
      <c r="M88" s="8" t="n"/>
      <c r="N88" s="8" t="n"/>
      <c r="O88" s="8" t="n"/>
    </row>
    <row r="89" ht="41" customHeight="1">
      <c r="A89" s="14" t="inlineStr">
        <is>
          <t>Infosys / Accenture</t>
        </is>
      </c>
      <c r="B89" s="8" t="n"/>
      <c r="C89" s="8" t="inlineStr">
        <is>
          <t>JL3B · L11 Analyst</t>
        </is>
      </c>
      <c r="D89" s="8" t="inlineStr">
        <is>
          <t>JL3A · L10 Senior Analyst</t>
        </is>
      </c>
      <c r="E89" s="8" t="inlineStr">
        <is>
          <t>JL4 · L9 Consultant</t>
        </is>
      </c>
      <c r="F89" s="8" t="inlineStr">
        <is>
          <t>JL5 · L8 Associate Manager</t>
        </is>
      </c>
      <c r="G89" s="8" t="inlineStr">
        <is>
          <t>JL6B · L7 Manager</t>
        </is>
      </c>
      <c r="H89" s="8" t="n"/>
      <c r="I89" s="8" t="n"/>
      <c r="J89" s="8" t="n"/>
      <c r="K89" s="8" t="n"/>
      <c r="L89" s="8" t="n"/>
      <c r="M89" s="8" t="n"/>
      <c r="N89" s="8" t="n"/>
      <c r="O89" s="8" t="n"/>
    </row>
    <row r="90" ht="15" customHeight="1"/>
    <row r="91" ht="15" customHeight="1">
      <c r="A91" s="61" t="inlineStr">
        <is>
          <t>IRIS Project &amp; Program Management Vs · Standard: PMI PMBOK and Talent Triangle; CAPM · entry → PMP → PgMP; Scrum / SAFe · 17 here</t>
        </is>
      </c>
      <c r="B91" s="64" t="n"/>
      <c r="C91" s="64" t="n"/>
      <c r="D91" s="64" t="n"/>
      <c r="E91" s="64" t="n"/>
      <c r="F91" s="64" t="n"/>
      <c r="G91" s="64" t="n"/>
      <c r="H91" s="64" t="n"/>
      <c r="I91" s="64" t="n"/>
      <c r="J91" s="64" t="n"/>
      <c r="K91" s="64" t="n"/>
      <c r="L91" s="64" t="n"/>
      <c r="M91" s="64" t="n"/>
      <c r="N91" s="64" t="n"/>
      <c r="O91" s="63" t="n"/>
    </row>
    <row r="92" ht="15" customHeight="1">
      <c r="A92" s="76" t="inlineStr">
        <is>
          <t>Ladder / company</t>
        </is>
      </c>
      <c r="B92" s="76" t="inlineStr">
        <is>
          <t>A1</t>
        </is>
      </c>
      <c r="C92" s="76" t="inlineStr">
        <is>
          <t>A2</t>
        </is>
      </c>
      <c r="D92" s="76" t="inlineStr">
        <is>
          <t>A3</t>
        </is>
      </c>
      <c r="E92" s="76" t="inlineStr">
        <is>
          <t>B1</t>
        </is>
      </c>
      <c r="F92" s="76" t="inlineStr">
        <is>
          <t>B2</t>
        </is>
      </c>
      <c r="G92" s="76" t="inlineStr">
        <is>
          <t>B3</t>
        </is>
      </c>
      <c r="H92" s="76" t="inlineStr">
        <is>
          <t>B+</t>
        </is>
      </c>
      <c r="I92" s="76" t="inlineStr">
        <is>
          <t>C1</t>
        </is>
      </c>
      <c r="J92" s="76" t="inlineStr">
        <is>
          <t>C2</t>
        </is>
      </c>
      <c r="K92" s="76" t="inlineStr">
        <is>
          <t>C+</t>
        </is>
      </c>
      <c r="L92" s="76" t="inlineStr">
        <is>
          <t>D1</t>
        </is>
      </c>
      <c r="M92" s="76" t="inlineStr">
        <is>
          <t>D2</t>
        </is>
      </c>
      <c r="N92" s="76" t="inlineStr">
        <is>
          <t>E1</t>
        </is>
      </c>
      <c r="O92" s="76" t="inlineStr">
        <is>
          <t>E2</t>
        </is>
      </c>
    </row>
    <row r="93" ht="54" customHeight="1">
      <c r="A93" s="74" t="inlineStr">
        <is>
          <t>IRIS — IC title</t>
        </is>
      </c>
      <c r="B93" s="42" t="inlineStr">
        <is>
          <t>Intern / Trainee</t>
        </is>
      </c>
      <c r="C93" s="42" t="inlineStr">
        <is>
          <t>Associate</t>
        </is>
      </c>
      <c r="D93" s="42" t="inlineStr">
        <is>
          <t>Senior Associate</t>
        </is>
      </c>
      <c r="E93" s="43" t="inlineStr">
        <is>
          <t>Specialist</t>
        </is>
      </c>
      <c r="F93" s="43" t="inlineStr">
        <is>
          <t>Senior Specialist</t>
        </is>
      </c>
      <c r="G93" s="43" t="inlineStr">
        <is>
          <t>Lead Specialist</t>
        </is>
      </c>
      <c r="H93" s="44" t="inlineStr">
        <is>
          <t>Practice Lead · Player-Coach</t>
        </is>
      </c>
      <c r="I93" s="45" t="inlineStr">
        <is>
          <t>Principal</t>
        </is>
      </c>
      <c r="J93" s="45" t="inlineStr">
        <is>
          <t>Senior Principal / Architect</t>
        </is>
      </c>
      <c r="K93" s="46" t="inlineStr">
        <is>
          <t>Group Head · Player-Coach</t>
        </is>
      </c>
      <c r="L93" s="47" t="inlineStr">
        <is>
          <t>Chief Specialist / Distinguished Principal</t>
        </is>
      </c>
      <c r="M93" s="47" t="inlineStr">
        <is>
          <t>—</t>
        </is>
      </c>
      <c r="N93" s="48" t="inlineStr">
        <is>
          <t>—</t>
        </is>
      </c>
      <c r="O93" s="48" t="inlineStr">
        <is>
          <t>—</t>
        </is>
      </c>
    </row>
    <row r="94" ht="54" customHeight="1">
      <c r="A94" s="74" t="inlineStr">
        <is>
          <t>IRIS — Manager title</t>
        </is>
      </c>
      <c r="B94" s="42" t="n"/>
      <c r="C94" s="42" t="n"/>
      <c r="D94" s="42" t="n"/>
      <c r="E94" s="43" t="inlineStr">
        <is>
          <t>Team Lead</t>
        </is>
      </c>
      <c r="F94" s="43" t="inlineStr">
        <is>
          <t>Manager</t>
        </is>
      </c>
      <c r="G94" s="43" t="inlineStr">
        <is>
          <t>Senior Manager</t>
        </is>
      </c>
      <c r="H94" s="44" t="inlineStr">
        <is>
          <t>Practice Lead · Player-Coach</t>
        </is>
      </c>
      <c r="I94" s="45" t="inlineStr">
        <is>
          <t>Associate Head</t>
        </is>
      </c>
      <c r="J94" s="45" t="inlineStr">
        <is>
          <t>Head of Function</t>
        </is>
      </c>
      <c r="K94" s="46" t="inlineStr">
        <is>
          <t>Group Head · Player-Coach</t>
        </is>
      </c>
      <c r="L94" s="47" t="inlineStr">
        <is>
          <t>Associate Vice President / Business Head</t>
        </is>
      </c>
      <c r="M94" s="47" t="inlineStr">
        <is>
          <t>Vice President</t>
        </is>
      </c>
      <c r="N94" s="48" t="inlineStr">
        <is>
          <t>CXO / President</t>
        </is>
      </c>
      <c r="O94" s="48" t="inlineStr">
        <is>
          <t>Chief Executive Officer</t>
        </is>
      </c>
    </row>
    <row r="95" ht="15" customHeight="1">
      <c r="A95" s="74" t="inlineStr">
        <is>
          <t>IRIS — people at level</t>
        </is>
      </c>
      <c r="B95" s="42" t="n"/>
      <c r="C95" s="42" t="n"/>
      <c r="D95" s="42" t="n"/>
      <c r="E95" s="43" t="n">
        <v>4</v>
      </c>
      <c r="F95" s="43" t="n">
        <v>9</v>
      </c>
      <c r="G95" s="43" t="n">
        <v>2</v>
      </c>
      <c r="H95" s="44" t="n">
        <v>1</v>
      </c>
      <c r="I95" s="45" t="n"/>
      <c r="J95" s="45" t="n">
        <v>1</v>
      </c>
      <c r="K95" s="46" t="n"/>
      <c r="L95" s="47" t="n"/>
      <c r="M95" s="47" t="n"/>
      <c r="N95" s="48" t="n"/>
      <c r="O95" s="48" t="n"/>
    </row>
    <row r="96" ht="41" customHeight="1">
      <c r="A96" s="14" t="inlineStr">
        <is>
          <t>IRIS Vs Competitor Benchmark — PMI pathway + SaaS delivery ladder</t>
        </is>
      </c>
      <c r="B96" s="8" t="n"/>
      <c r="C96" s="8" t="inlineStr">
        <is>
          <t>Project Coordinator · CAPM</t>
        </is>
      </c>
      <c r="D96" s="8" t="inlineStr">
        <is>
          <t>Associate PM</t>
        </is>
      </c>
      <c r="E96" s="8" t="inlineStr">
        <is>
          <t>Project Manager · PMP</t>
        </is>
      </c>
      <c r="F96" s="8" t="inlineStr">
        <is>
          <t>Senior PM</t>
        </is>
      </c>
      <c r="G96" s="8" t="inlineStr">
        <is>
          <t>Program Manager · PgMP</t>
        </is>
      </c>
      <c r="H96" s="8" t="n"/>
      <c r="I96" s="8" t="inlineStr">
        <is>
          <t>Senior Program Manager</t>
        </is>
      </c>
      <c r="J96" s="8" t="inlineStr">
        <is>
          <t>Director PMO / Delivery</t>
        </is>
      </c>
      <c r="K96" s="8" t="n"/>
      <c r="L96" s="8" t="n"/>
      <c r="M96" s="8" t="n"/>
      <c r="N96" s="8" t="n"/>
      <c r="O96" s="8" t="n"/>
    </row>
    <row r="97" ht="54" customHeight="1">
      <c r="A97" s="14" t="inlineStr">
        <is>
          <t>Infosys / Accenture</t>
        </is>
      </c>
      <c r="B97" s="8" t="n"/>
      <c r="C97" s="8" t="n"/>
      <c r="D97" s="8" t="n"/>
      <c r="E97" s="8" t="n"/>
      <c r="F97" s="8" t="n"/>
      <c r="G97" s="8" t="inlineStr">
        <is>
          <t>JL6B Project Manager · L7 Manager</t>
        </is>
      </c>
      <c r="H97" s="8" t="n"/>
      <c r="I97" s="8" t="inlineStr">
        <is>
          <t>JL7 Delivery Manager · L6 Senior Manager</t>
        </is>
      </c>
      <c r="J97" s="8" t="n"/>
      <c r="K97" s="8" t="n"/>
      <c r="L97" s="8" t="n"/>
      <c r="M97" s="8" t="n"/>
      <c r="N97" s="8" t="n"/>
      <c r="O97" s="8" t="n"/>
    </row>
    <row r="98" ht="15" customHeight="1"/>
    <row r="99" ht="15" customHeight="1">
      <c r="A99" s="61" t="inlineStr">
        <is>
          <t>IRIS Engineering &amp; Architecture Vs · Standard: SFIA 9 · solution architecture; TOGAF; AWS / Azure architect certifications · 10 here</t>
        </is>
      </c>
      <c r="B99" s="64" t="n"/>
      <c r="C99" s="64" t="n"/>
      <c r="D99" s="64" t="n"/>
      <c r="E99" s="64" t="n"/>
      <c r="F99" s="64" t="n"/>
      <c r="G99" s="64" t="n"/>
      <c r="H99" s="64" t="n"/>
      <c r="I99" s="64" t="n"/>
      <c r="J99" s="64" t="n"/>
      <c r="K99" s="64" t="n"/>
      <c r="L99" s="64" t="n"/>
      <c r="M99" s="64" t="n"/>
      <c r="N99" s="64" t="n"/>
      <c r="O99" s="63" t="n"/>
    </row>
    <row r="100" ht="15" customHeight="1">
      <c r="A100" s="76" t="inlineStr">
        <is>
          <t>Ladder / company</t>
        </is>
      </c>
      <c r="B100" s="76" t="inlineStr">
        <is>
          <t>A1</t>
        </is>
      </c>
      <c r="C100" s="76" t="inlineStr">
        <is>
          <t>A2</t>
        </is>
      </c>
      <c r="D100" s="76" t="inlineStr">
        <is>
          <t>A3</t>
        </is>
      </c>
      <c r="E100" s="76" t="inlineStr">
        <is>
          <t>B1</t>
        </is>
      </c>
      <c r="F100" s="76" t="inlineStr">
        <is>
          <t>B2</t>
        </is>
      </c>
      <c r="G100" s="76" t="inlineStr">
        <is>
          <t>B3</t>
        </is>
      </c>
      <c r="H100" s="76" t="inlineStr">
        <is>
          <t>B+</t>
        </is>
      </c>
      <c r="I100" s="76" t="inlineStr">
        <is>
          <t>C1</t>
        </is>
      </c>
      <c r="J100" s="76" t="inlineStr">
        <is>
          <t>C2</t>
        </is>
      </c>
      <c r="K100" s="76" t="inlineStr">
        <is>
          <t>C+</t>
        </is>
      </c>
      <c r="L100" s="76" t="inlineStr">
        <is>
          <t>D1</t>
        </is>
      </c>
      <c r="M100" s="76" t="inlineStr">
        <is>
          <t>D2</t>
        </is>
      </c>
      <c r="N100" s="76" t="inlineStr">
        <is>
          <t>E1</t>
        </is>
      </c>
      <c r="O100" s="76" t="inlineStr">
        <is>
          <t>E2</t>
        </is>
      </c>
    </row>
    <row r="101" ht="54" customHeight="1">
      <c r="A101" s="74" t="inlineStr">
        <is>
          <t>IRIS — IC title</t>
        </is>
      </c>
      <c r="B101" s="42" t="inlineStr">
        <is>
          <t>Intern / Trainee</t>
        </is>
      </c>
      <c r="C101" s="42" t="inlineStr">
        <is>
          <t>Associate</t>
        </is>
      </c>
      <c r="D101" s="42" t="inlineStr">
        <is>
          <t>Senior Associate</t>
        </is>
      </c>
      <c r="E101" s="43" t="inlineStr">
        <is>
          <t>Specialist</t>
        </is>
      </c>
      <c r="F101" s="43" t="inlineStr">
        <is>
          <t>Senior Specialist</t>
        </is>
      </c>
      <c r="G101" s="43" t="inlineStr">
        <is>
          <t>Lead Specialist</t>
        </is>
      </c>
      <c r="H101" s="44" t="inlineStr">
        <is>
          <t>Practice Lead · Player-Coach</t>
        </is>
      </c>
      <c r="I101" s="45" t="inlineStr">
        <is>
          <t>Principal</t>
        </is>
      </c>
      <c r="J101" s="45" t="inlineStr">
        <is>
          <t>Senior Principal / Architect</t>
        </is>
      </c>
      <c r="K101" s="46" t="inlineStr">
        <is>
          <t>Group Head · Player-Coach</t>
        </is>
      </c>
      <c r="L101" s="47" t="inlineStr">
        <is>
          <t>Chief Specialist / Distinguished Principal</t>
        </is>
      </c>
      <c r="M101" s="47" t="inlineStr">
        <is>
          <t>—</t>
        </is>
      </c>
      <c r="N101" s="48" t="inlineStr">
        <is>
          <t>—</t>
        </is>
      </c>
      <c r="O101" s="48" t="inlineStr">
        <is>
          <t>—</t>
        </is>
      </c>
    </row>
    <row r="102" ht="54" customHeight="1">
      <c r="A102" s="74" t="inlineStr">
        <is>
          <t>IRIS — Manager title</t>
        </is>
      </c>
      <c r="B102" s="42" t="n"/>
      <c r="C102" s="42" t="n"/>
      <c r="D102" s="42" t="n"/>
      <c r="E102" s="43" t="inlineStr">
        <is>
          <t>Team Lead</t>
        </is>
      </c>
      <c r="F102" s="43" t="inlineStr">
        <is>
          <t>Manager</t>
        </is>
      </c>
      <c r="G102" s="43" t="inlineStr">
        <is>
          <t>Senior Manager</t>
        </is>
      </c>
      <c r="H102" s="44" t="inlineStr">
        <is>
          <t>Practice Lead · Player-Coach</t>
        </is>
      </c>
      <c r="I102" s="45" t="inlineStr">
        <is>
          <t>Associate Head</t>
        </is>
      </c>
      <c r="J102" s="45" t="inlineStr">
        <is>
          <t>Head of Function</t>
        </is>
      </c>
      <c r="K102" s="46" t="inlineStr">
        <is>
          <t>Group Head · Player-Coach</t>
        </is>
      </c>
      <c r="L102" s="47" t="inlineStr">
        <is>
          <t>Associate Vice President / Business Head</t>
        </is>
      </c>
      <c r="M102" s="47" t="inlineStr">
        <is>
          <t>Vice President</t>
        </is>
      </c>
      <c r="N102" s="48" t="inlineStr">
        <is>
          <t>CXO / President</t>
        </is>
      </c>
      <c r="O102" s="48" t="inlineStr">
        <is>
          <t>Chief Executive Officer</t>
        </is>
      </c>
    </row>
    <row r="103" ht="15" customHeight="1">
      <c r="A103" s="74" t="inlineStr">
        <is>
          <t>IRIS — people at level</t>
        </is>
      </c>
      <c r="B103" s="42" t="n"/>
      <c r="C103" s="42" t="n"/>
      <c r="D103" s="42" t="n"/>
      <c r="E103" s="43" t="n"/>
      <c r="F103" s="43" t="n"/>
      <c r="G103" s="43" t="n">
        <v>3</v>
      </c>
      <c r="H103" s="44" t="n">
        <v>5</v>
      </c>
      <c r="I103" s="45" t="n">
        <v>2</v>
      </c>
      <c r="J103" s="45" t="n"/>
      <c r="K103" s="46" t="n"/>
      <c r="L103" s="47" t="n"/>
      <c r="M103" s="47" t="n"/>
      <c r="N103" s="48" t="n"/>
      <c r="O103" s="48" t="n"/>
    </row>
    <row r="104" ht="28" customHeight="1">
      <c r="A104" s="14" t="inlineStr">
        <is>
          <t>Workiva</t>
        </is>
      </c>
      <c r="B104" s="8" t="n"/>
      <c r="C104" s="8" t="inlineStr">
        <is>
          <t>Associate SE</t>
        </is>
      </c>
      <c r="D104" s="8" t="inlineStr">
        <is>
          <t>SE</t>
        </is>
      </c>
      <c r="E104" s="8" t="inlineStr">
        <is>
          <t>SE / Senior SE</t>
        </is>
      </c>
      <c r="F104" s="8" t="inlineStr">
        <is>
          <t>Senior SE</t>
        </is>
      </c>
      <c r="G104" s="8" t="inlineStr">
        <is>
          <t>Staff SE</t>
        </is>
      </c>
      <c r="H104" s="8" t="n"/>
      <c r="I104" s="8" t="n"/>
      <c r="J104" s="8" t="n"/>
      <c r="K104" s="8" t="n"/>
      <c r="L104" s="8" t="n"/>
      <c r="M104" s="8" t="n"/>
      <c r="N104" s="8" t="n"/>
      <c r="O104" s="8" t="n"/>
    </row>
    <row r="105" ht="28" customHeight="1">
      <c r="A105" s="14" t="inlineStr">
        <is>
          <t>Broadridge India</t>
        </is>
      </c>
      <c r="B105" s="8" t="n"/>
      <c r="C105" s="8" t="inlineStr">
        <is>
          <t>SE</t>
        </is>
      </c>
      <c r="D105" s="8" t="inlineStr">
        <is>
          <t>SE</t>
        </is>
      </c>
      <c r="E105" s="8" t="inlineStr">
        <is>
          <t>Senior SE</t>
        </is>
      </c>
      <c r="F105" s="8" t="inlineStr">
        <is>
          <t>Lead SE</t>
        </is>
      </c>
      <c r="G105" s="8" t="inlineStr">
        <is>
          <t>Senior Lead SE</t>
        </is>
      </c>
      <c r="H105" s="8" t="n"/>
      <c r="I105" s="8" t="n"/>
      <c r="J105" s="8" t="n"/>
      <c r="K105" s="8" t="n"/>
      <c r="L105" s="8" t="n"/>
      <c r="M105" s="8" t="n"/>
      <c r="N105" s="8" t="n"/>
      <c r="O105" s="8" t="n"/>
    </row>
    <row r="106" ht="15" customHeight="1">
      <c r="A106" s="14" t="inlineStr">
        <is>
          <t>Nasdaq / AxiomSL</t>
        </is>
      </c>
      <c r="B106" s="8" t="n"/>
      <c r="C106" s="8" t="inlineStr">
        <is>
          <t>SE</t>
        </is>
      </c>
      <c r="D106" s="8" t="inlineStr">
        <is>
          <t>SE</t>
        </is>
      </c>
      <c r="E106" s="8" t="inlineStr">
        <is>
          <t>Senior SE</t>
        </is>
      </c>
      <c r="F106" s="8" t="inlineStr">
        <is>
          <t>Senior SE</t>
        </is>
      </c>
      <c r="G106" s="8" t="inlineStr">
        <is>
          <t>Lead SE</t>
        </is>
      </c>
      <c r="H106" s="8" t="n"/>
      <c r="I106" s="8" t="inlineStr">
        <is>
          <t>Principal SE</t>
        </is>
      </c>
      <c r="J106" s="8" t="n"/>
      <c r="K106" s="8" t="n"/>
      <c r="L106" s="8" t="n"/>
      <c r="M106" s="8" t="n"/>
      <c r="N106" s="8" t="n"/>
      <c r="O106" s="8" t="n"/>
    </row>
    <row r="107" ht="41" customHeight="1">
      <c r="A107" s="14" t="inlineStr">
        <is>
          <t>Salesforce</t>
        </is>
      </c>
      <c r="B107" s="8" t="n"/>
      <c r="C107" s="8" t="inlineStr">
        <is>
          <t>AMTS</t>
        </is>
      </c>
      <c r="D107" s="8" t="inlineStr">
        <is>
          <t>MTS</t>
        </is>
      </c>
      <c r="E107" s="8" t="inlineStr">
        <is>
          <t>MTS</t>
        </is>
      </c>
      <c r="F107" s="8" t="inlineStr">
        <is>
          <t>SMTS</t>
        </is>
      </c>
      <c r="G107" s="8" t="inlineStr">
        <is>
          <t>LMTS</t>
        </is>
      </c>
      <c r="H107" s="8" t="n"/>
      <c r="I107" s="8" t="inlineStr">
        <is>
          <t>PMTS</t>
        </is>
      </c>
      <c r="J107" s="8" t="inlineStr">
        <is>
          <t>Architect / Principal Architect</t>
        </is>
      </c>
      <c r="K107" s="8" t="n"/>
      <c r="L107" s="8" t="inlineStr">
        <is>
          <t>Distinguished Engineer</t>
        </is>
      </c>
      <c r="M107" s="8" t="n"/>
      <c r="N107" s="8" t="n"/>
      <c r="O107" s="8" t="n"/>
    </row>
    <row r="108" ht="28" customHeight="1">
      <c r="A108" s="14" t="inlineStr">
        <is>
          <t>Atlassian</t>
        </is>
      </c>
      <c r="B108" s="8" t="n"/>
      <c r="C108" s="8" t="inlineStr">
        <is>
          <t>P30 Junior · 0–2 yrs</t>
        </is>
      </c>
      <c r="D108" s="8" t="inlineStr">
        <is>
          <t>P40 · 3–7 yrs</t>
        </is>
      </c>
      <c r="E108" s="8" t="inlineStr">
        <is>
          <t>P40</t>
        </is>
      </c>
      <c r="F108" s="8" t="inlineStr">
        <is>
          <t>P50 Senior · 6–12 yrs</t>
        </is>
      </c>
      <c r="G108" s="8" t="inlineStr">
        <is>
          <t>P50 Senior</t>
        </is>
      </c>
      <c r="H108" s="8" t="n"/>
      <c r="I108" s="8" t="inlineStr">
        <is>
          <t>P60 Principal · 10+ yrs</t>
        </is>
      </c>
      <c r="J108" s="8" t="inlineStr">
        <is>
          <t>P70</t>
        </is>
      </c>
      <c r="K108" s="8" t="n"/>
      <c r="L108" s="8" t="n"/>
      <c r="M108" s="8" t="n"/>
      <c r="N108" s="8" t="n"/>
      <c r="O108" s="8" t="n"/>
    </row>
    <row r="109" ht="28" customHeight="1">
      <c r="A109" s="14" t="inlineStr">
        <is>
          <t>Freshworks</t>
        </is>
      </c>
      <c r="B109" s="8" t="n"/>
      <c r="C109" s="8" t="inlineStr">
        <is>
          <t>SE</t>
        </is>
      </c>
      <c r="D109" s="8" t="inlineStr">
        <is>
          <t>Senior SE</t>
        </is>
      </c>
      <c r="E109" s="8" t="inlineStr">
        <is>
          <t>Senior SE</t>
        </is>
      </c>
      <c r="F109" s="8" t="inlineStr">
        <is>
          <t>Lead SE</t>
        </is>
      </c>
      <c r="G109" s="8" t="inlineStr">
        <is>
          <t>Staff SE</t>
        </is>
      </c>
      <c r="H109" s="8" t="n"/>
      <c r="I109" s="8" t="inlineStr">
        <is>
          <t>Senior Staff SE</t>
        </is>
      </c>
      <c r="J109" s="8" t="inlineStr">
        <is>
          <t>Principal Engineer</t>
        </is>
      </c>
      <c r="K109" s="8" t="n"/>
      <c r="L109" s="8" t="n"/>
      <c r="M109" s="8" t="n"/>
      <c r="N109" s="8" t="n"/>
      <c r="O109" s="8" t="n"/>
    </row>
    <row r="110" ht="28" customHeight="1">
      <c r="A110" s="14" t="inlineStr">
        <is>
          <t>Clear · C14; unverified</t>
        </is>
      </c>
      <c r="B110" s="8" t="n"/>
      <c r="C110" s="8" t="inlineStr">
        <is>
          <t>SDE1</t>
        </is>
      </c>
      <c r="D110" s="8" t="inlineStr">
        <is>
          <t>SDE2</t>
        </is>
      </c>
      <c r="E110" s="8" t="inlineStr">
        <is>
          <t>SDE2</t>
        </is>
      </c>
      <c r="F110" s="8" t="inlineStr">
        <is>
          <t>SDE3 / Senior</t>
        </is>
      </c>
      <c r="G110" s="8" t="inlineStr">
        <is>
          <t>Staff</t>
        </is>
      </c>
      <c r="H110" s="8" t="n"/>
      <c r="I110" s="8" t="n"/>
      <c r="J110" s="8" t="n"/>
      <c r="K110" s="8" t="n"/>
      <c r="L110" s="8" t="n"/>
      <c r="M110" s="8" t="n"/>
      <c r="N110" s="8" t="n"/>
      <c r="O110" s="8" t="n"/>
    </row>
    <row r="111" ht="28" customHeight="1">
      <c r="A111" s="14" t="inlineStr">
        <is>
          <t>Google Tech Lead Manager</t>
        </is>
      </c>
      <c r="B111" s="8" t="n"/>
      <c r="C111" s="8" t="n"/>
      <c r="D111" s="8" t="n"/>
      <c r="E111" s="8" t="n"/>
      <c r="F111" s="8" t="n"/>
      <c r="G111" s="8" t="n"/>
      <c r="H111" s="8" t="inlineStr">
        <is>
          <t>Tech Lead Manager · TLM</t>
        </is>
      </c>
      <c r="I111" s="8" t="n"/>
      <c r="J111" s="8" t="n"/>
      <c r="K111" s="8" t="inlineStr">
        <is>
          <t>Senior TLM / Director</t>
        </is>
      </c>
      <c r="L111" s="8" t="n"/>
      <c r="M111" s="8" t="n"/>
      <c r="N111" s="8" t="n"/>
      <c r="O111" s="8" t="n"/>
    </row>
    <row r="112" ht="54" customHeight="1">
      <c r="A112" s="14" t="inlineStr">
        <is>
          <t>IRIS Vs Competitor Benchmark — engineering managers · informed by Freshworks, GitLab; C12, C20</t>
        </is>
      </c>
      <c r="B112" s="8" t="n"/>
      <c r="C112" s="8" t="n"/>
      <c r="D112" s="8" t="n"/>
      <c r="E112" s="8" t="n"/>
      <c r="F112" s="8" t="inlineStr">
        <is>
          <t>Engineering Manager</t>
        </is>
      </c>
      <c r="G112" s="8" t="inlineStr">
        <is>
          <t>Senior EM</t>
        </is>
      </c>
      <c r="H112" s="8" t="n"/>
      <c r="I112" s="8" t="inlineStr">
        <is>
          <t>Senior EM / Director</t>
        </is>
      </c>
      <c r="J112" s="8" t="inlineStr">
        <is>
          <t>Director Engineering</t>
        </is>
      </c>
      <c r="K112" s="8" t="n"/>
      <c r="L112" s="8" t="inlineStr">
        <is>
          <t>Senior Director</t>
        </is>
      </c>
      <c r="M112" s="8" t="inlineStr">
        <is>
          <t>VP Engineering</t>
        </is>
      </c>
      <c r="N112" s="8" t="inlineStr">
        <is>
          <t>CTO</t>
        </is>
      </c>
      <c r="O112" s="8" t="n"/>
    </row>
    <row r="113" ht="15" customHeight="1"/>
    <row r="114" ht="15" customHeight="1">
      <c r="A114" s="61" t="inlineStr">
        <is>
          <t>IRIS Customer Success &amp; Support Vs · Standard: TSIA frameworks and benchmarks; ITIL 4 service desk; Gainsight customer-success practice · 3 here</t>
        </is>
      </c>
      <c r="B114" s="64" t="n"/>
      <c r="C114" s="64" t="n"/>
      <c r="D114" s="64" t="n"/>
      <c r="E114" s="64" t="n"/>
      <c r="F114" s="64" t="n"/>
      <c r="G114" s="64" t="n"/>
      <c r="H114" s="64" t="n"/>
      <c r="I114" s="64" t="n"/>
      <c r="J114" s="64" t="n"/>
      <c r="K114" s="64" t="n"/>
      <c r="L114" s="64" t="n"/>
      <c r="M114" s="64" t="n"/>
      <c r="N114" s="64" t="n"/>
      <c r="O114" s="63" t="n"/>
    </row>
    <row r="115" ht="15" customHeight="1">
      <c r="A115" s="76" t="inlineStr">
        <is>
          <t>Ladder / company</t>
        </is>
      </c>
      <c r="B115" s="76" t="inlineStr">
        <is>
          <t>A1</t>
        </is>
      </c>
      <c r="C115" s="76" t="inlineStr">
        <is>
          <t>A2</t>
        </is>
      </c>
      <c r="D115" s="76" t="inlineStr">
        <is>
          <t>A3</t>
        </is>
      </c>
      <c r="E115" s="76" t="inlineStr">
        <is>
          <t>B1</t>
        </is>
      </c>
      <c r="F115" s="76" t="inlineStr">
        <is>
          <t>B2</t>
        </is>
      </c>
      <c r="G115" s="76" t="inlineStr">
        <is>
          <t>B3</t>
        </is>
      </c>
      <c r="H115" s="76" t="inlineStr">
        <is>
          <t>B+</t>
        </is>
      </c>
      <c r="I115" s="76" t="inlineStr">
        <is>
          <t>C1</t>
        </is>
      </c>
      <c r="J115" s="76" t="inlineStr">
        <is>
          <t>C2</t>
        </is>
      </c>
      <c r="K115" s="76" t="inlineStr">
        <is>
          <t>C+</t>
        </is>
      </c>
      <c r="L115" s="76" t="inlineStr">
        <is>
          <t>D1</t>
        </is>
      </c>
      <c r="M115" s="76" t="inlineStr">
        <is>
          <t>D2</t>
        </is>
      </c>
      <c r="N115" s="76" t="inlineStr">
        <is>
          <t>E1</t>
        </is>
      </c>
      <c r="O115" s="76" t="inlineStr">
        <is>
          <t>E2</t>
        </is>
      </c>
    </row>
    <row r="116" ht="54" customHeight="1">
      <c r="A116" s="74" t="inlineStr">
        <is>
          <t>IRIS — IC title</t>
        </is>
      </c>
      <c r="B116" s="42" t="inlineStr">
        <is>
          <t>Intern / Trainee</t>
        </is>
      </c>
      <c r="C116" s="42" t="inlineStr">
        <is>
          <t>Associate</t>
        </is>
      </c>
      <c r="D116" s="42" t="inlineStr">
        <is>
          <t>Senior Associate</t>
        </is>
      </c>
      <c r="E116" s="43" t="inlineStr">
        <is>
          <t>Specialist</t>
        </is>
      </c>
      <c r="F116" s="43" t="inlineStr">
        <is>
          <t>Senior Specialist</t>
        </is>
      </c>
      <c r="G116" s="43" t="inlineStr">
        <is>
          <t>Lead Specialist</t>
        </is>
      </c>
      <c r="H116" s="44" t="inlineStr">
        <is>
          <t>Practice Lead · Player-Coach</t>
        </is>
      </c>
      <c r="I116" s="45" t="inlineStr">
        <is>
          <t>Principal</t>
        </is>
      </c>
      <c r="J116" s="45" t="inlineStr">
        <is>
          <t>Senior Principal / Architect</t>
        </is>
      </c>
      <c r="K116" s="46" t="inlineStr">
        <is>
          <t>Group Head · Player-Coach</t>
        </is>
      </c>
      <c r="L116" s="47" t="inlineStr">
        <is>
          <t>Chief Specialist / Distinguished Principal</t>
        </is>
      </c>
      <c r="M116" s="47" t="inlineStr">
        <is>
          <t>—</t>
        </is>
      </c>
      <c r="N116" s="48" t="inlineStr">
        <is>
          <t>—</t>
        </is>
      </c>
      <c r="O116" s="48" t="inlineStr">
        <is>
          <t>—</t>
        </is>
      </c>
    </row>
    <row r="117" ht="54" customHeight="1">
      <c r="A117" s="74" t="inlineStr">
        <is>
          <t>IRIS — Manager title</t>
        </is>
      </c>
      <c r="B117" s="42" t="n"/>
      <c r="C117" s="42" t="n"/>
      <c r="D117" s="42" t="n"/>
      <c r="E117" s="43" t="inlineStr">
        <is>
          <t>Team Lead</t>
        </is>
      </c>
      <c r="F117" s="43" t="inlineStr">
        <is>
          <t>Manager</t>
        </is>
      </c>
      <c r="G117" s="43" t="inlineStr">
        <is>
          <t>Senior Manager</t>
        </is>
      </c>
      <c r="H117" s="44" t="inlineStr">
        <is>
          <t>Practice Lead · Player-Coach</t>
        </is>
      </c>
      <c r="I117" s="45" t="inlineStr">
        <is>
          <t>Associate Head</t>
        </is>
      </c>
      <c r="J117" s="45" t="inlineStr">
        <is>
          <t>Head of Function</t>
        </is>
      </c>
      <c r="K117" s="46" t="inlineStr">
        <is>
          <t>Group Head · Player-Coach</t>
        </is>
      </c>
      <c r="L117" s="47" t="inlineStr">
        <is>
          <t>Associate Vice President / Business Head</t>
        </is>
      </c>
      <c r="M117" s="47" t="inlineStr">
        <is>
          <t>Vice President</t>
        </is>
      </c>
      <c r="N117" s="48" t="inlineStr">
        <is>
          <t>CXO / President</t>
        </is>
      </c>
      <c r="O117" s="48" t="inlineStr">
        <is>
          <t>Chief Executive Officer</t>
        </is>
      </c>
    </row>
    <row r="118" ht="15" customHeight="1">
      <c r="A118" s="74" t="inlineStr">
        <is>
          <t>IRIS — people at level</t>
        </is>
      </c>
      <c r="B118" s="42" t="n"/>
      <c r="C118" s="42" t="n">
        <v>1</v>
      </c>
      <c r="D118" s="42" t="n">
        <v>2</v>
      </c>
      <c r="E118" s="43" t="n"/>
      <c r="F118" s="43" t="n"/>
      <c r="G118" s="43" t="n"/>
      <c r="H118" s="44" t="n"/>
      <c r="I118" s="45" t="n"/>
      <c r="J118" s="45" t="n"/>
      <c r="K118" s="46" t="n"/>
      <c r="L118" s="47" t="n"/>
      <c r="M118" s="47" t="n"/>
      <c r="N118" s="48" t="n"/>
      <c r="O118" s="48" t="n"/>
    </row>
    <row r="119" ht="41" customHeight="1">
      <c r="A119" s="14" t="inlineStr">
        <is>
          <t>Workiva</t>
        </is>
      </c>
      <c r="B119" s="8" t="inlineStr">
        <is>
          <t>Customer Success intern</t>
        </is>
      </c>
      <c r="C119" s="8" t="n"/>
      <c r="D119" s="8" t="n"/>
      <c r="E119" s="8" t="inlineStr">
        <is>
          <t>Customer Success Manager</t>
        </is>
      </c>
      <c r="F119" s="8" t="inlineStr">
        <is>
          <t>Product Success Manager</t>
        </is>
      </c>
      <c r="G119" s="8" t="inlineStr">
        <is>
          <t>Customer Success Architect</t>
        </is>
      </c>
      <c r="H119" s="8" t="n"/>
      <c r="I119" s="8" t="n"/>
      <c r="J119" s="8" t="n"/>
      <c r="K119" s="8" t="n"/>
      <c r="L119" s="8" t="n"/>
      <c r="M119" s="8" t="n"/>
      <c r="N119" s="8" t="n"/>
      <c r="O119" s="8" t="n"/>
    </row>
    <row r="120" ht="54" customHeight="1">
      <c r="A120" s="14" t="inlineStr">
        <is>
          <t>IRIS Vs Competitor Benchmark — SaaS customer-success ladder · informed by Gainsight postings, C15</t>
        </is>
      </c>
      <c r="B120" s="8" t="n"/>
      <c r="C120" s="8" t="inlineStr">
        <is>
          <t>Support Associate</t>
        </is>
      </c>
      <c r="D120" s="8" t="inlineStr">
        <is>
          <t>Associate CSM</t>
        </is>
      </c>
      <c r="E120" s="8" t="inlineStr">
        <is>
          <t>CSM</t>
        </is>
      </c>
      <c r="F120" s="8" t="inlineStr">
        <is>
          <t>Senior CSM</t>
        </is>
      </c>
      <c r="G120" s="8" t="inlineStr">
        <is>
          <t>Strategic CSM</t>
        </is>
      </c>
      <c r="H120" s="8" t="n"/>
      <c r="I120" s="8" t="inlineStr">
        <is>
          <t>Senior Manager CS</t>
        </is>
      </c>
      <c r="J120" s="8" t="inlineStr">
        <is>
          <t>Director Customer Success</t>
        </is>
      </c>
      <c r="K120" s="8" t="n"/>
      <c r="L120" s="8" t="n"/>
      <c r="M120" s="8" t="inlineStr">
        <is>
          <t>VP Customer Success</t>
        </is>
      </c>
      <c r="N120" s="8" t="inlineStr">
        <is>
          <t>Chief Customer Officer</t>
        </is>
      </c>
      <c r="O120" s="8" t="n"/>
    </row>
    <row r="121" ht="54" customHeight="1">
      <c r="A121" s="14" t="inlineStr">
        <is>
          <t>Regnology</t>
        </is>
      </c>
      <c r="B121" s="8" t="n"/>
      <c r="C121" s="8" t="n"/>
      <c r="D121" s="8" t="inlineStr">
        <is>
          <t>Product Support Specialist · Reg Reporting</t>
        </is>
      </c>
      <c r="E121" s="8" t="n"/>
      <c r="F121" s="8" t="n"/>
      <c r="G121" s="8" t="n"/>
      <c r="H121" s="8" t="n"/>
      <c r="I121" s="8" t="n"/>
      <c r="J121" s="8" t="n"/>
      <c r="K121" s="8" t="n"/>
      <c r="L121" s="8" t="n"/>
      <c r="M121" s="8" t="n"/>
      <c r="N121" s="8" t="n"/>
      <c r="O121" s="8" t="n"/>
    </row>
    <row r="122" ht="54" customHeight="1">
      <c r="A122" s="14" t="inlineStr">
        <is>
          <t>IRIS Vs Competitor Benchmark — support tiers · informed by ITIL 4, which defines practices, not titles</t>
        </is>
      </c>
      <c r="B122" s="8" t="n"/>
      <c r="C122" s="8" t="inlineStr">
        <is>
          <t>L1 Service Desk</t>
        </is>
      </c>
      <c r="D122" s="8" t="inlineStr">
        <is>
          <t>L2 Application Support</t>
        </is>
      </c>
      <c r="E122" s="8" t="inlineStr">
        <is>
          <t>L3 / Problem Analyst</t>
        </is>
      </c>
      <c r="F122" s="8" t="inlineStr">
        <is>
          <t>Support Team Manager</t>
        </is>
      </c>
      <c r="G122" s="8" t="inlineStr">
        <is>
          <t>Service Delivery Manager</t>
        </is>
      </c>
      <c r="H122" s="8" t="n"/>
      <c r="I122" s="8" t="n"/>
      <c r="J122" s="8" t="n"/>
      <c r="K122" s="8" t="n"/>
      <c r="L122" s="8" t="n"/>
      <c r="M122" s="8" t="n"/>
      <c r="N122" s="8" t="n"/>
      <c r="O122" s="8" t="n"/>
    </row>
    <row r="123" ht="15" customHeight="1"/>
    <row r="124" ht="15" customHeight="1">
      <c r="A124" s="61" t="inlineStr">
        <is>
          <t>IRIS Design &amp; Creative Vs · Standard: UX career ladder Junior → Designer → Senior → Lead → Principal; WCAG accessibility · 2 here</t>
        </is>
      </c>
      <c r="B124" s="64" t="n"/>
      <c r="C124" s="64" t="n"/>
      <c r="D124" s="64" t="n"/>
      <c r="E124" s="64" t="n"/>
      <c r="F124" s="64" t="n"/>
      <c r="G124" s="64" t="n"/>
      <c r="H124" s="64" t="n"/>
      <c r="I124" s="64" t="n"/>
      <c r="J124" s="64" t="n"/>
      <c r="K124" s="64" t="n"/>
      <c r="L124" s="64" t="n"/>
      <c r="M124" s="64" t="n"/>
      <c r="N124" s="64" t="n"/>
      <c r="O124" s="63" t="n"/>
    </row>
    <row r="125" ht="15" customHeight="1">
      <c r="A125" s="76" t="inlineStr">
        <is>
          <t>Ladder / company</t>
        </is>
      </c>
      <c r="B125" s="76" t="inlineStr">
        <is>
          <t>A1</t>
        </is>
      </c>
      <c r="C125" s="76" t="inlineStr">
        <is>
          <t>A2</t>
        </is>
      </c>
      <c r="D125" s="76" t="inlineStr">
        <is>
          <t>A3</t>
        </is>
      </c>
      <c r="E125" s="76" t="inlineStr">
        <is>
          <t>B1</t>
        </is>
      </c>
      <c r="F125" s="76" t="inlineStr">
        <is>
          <t>B2</t>
        </is>
      </c>
      <c r="G125" s="76" t="inlineStr">
        <is>
          <t>B3</t>
        </is>
      </c>
      <c r="H125" s="76" t="inlineStr">
        <is>
          <t>B+</t>
        </is>
      </c>
      <c r="I125" s="76" t="inlineStr">
        <is>
          <t>C1</t>
        </is>
      </c>
      <c r="J125" s="76" t="inlineStr">
        <is>
          <t>C2</t>
        </is>
      </c>
      <c r="K125" s="76" t="inlineStr">
        <is>
          <t>C+</t>
        </is>
      </c>
      <c r="L125" s="76" t="inlineStr">
        <is>
          <t>D1</t>
        </is>
      </c>
      <c r="M125" s="76" t="inlineStr">
        <is>
          <t>D2</t>
        </is>
      </c>
      <c r="N125" s="76" t="inlineStr">
        <is>
          <t>E1</t>
        </is>
      </c>
      <c r="O125" s="76" t="inlineStr">
        <is>
          <t>E2</t>
        </is>
      </c>
    </row>
    <row r="126" ht="54" customHeight="1">
      <c r="A126" s="74" t="inlineStr">
        <is>
          <t>IRIS — IC title</t>
        </is>
      </c>
      <c r="B126" s="42" t="inlineStr">
        <is>
          <t>Intern / Trainee</t>
        </is>
      </c>
      <c r="C126" s="42" t="inlineStr">
        <is>
          <t>Associate</t>
        </is>
      </c>
      <c r="D126" s="42" t="inlineStr">
        <is>
          <t>Senior Associate</t>
        </is>
      </c>
      <c r="E126" s="43" t="inlineStr">
        <is>
          <t>Specialist</t>
        </is>
      </c>
      <c r="F126" s="43" t="inlineStr">
        <is>
          <t>Senior Specialist</t>
        </is>
      </c>
      <c r="G126" s="43" t="inlineStr">
        <is>
          <t>Lead Specialist</t>
        </is>
      </c>
      <c r="H126" s="44" t="inlineStr">
        <is>
          <t>Practice Lead · Player-Coach</t>
        </is>
      </c>
      <c r="I126" s="45" t="inlineStr">
        <is>
          <t>Principal</t>
        </is>
      </c>
      <c r="J126" s="45" t="inlineStr">
        <is>
          <t>Senior Principal / Architect</t>
        </is>
      </c>
      <c r="K126" s="46" t="inlineStr">
        <is>
          <t>Group Head · Player-Coach</t>
        </is>
      </c>
      <c r="L126" s="47" t="inlineStr">
        <is>
          <t>Chief Specialist / Distinguished Principal</t>
        </is>
      </c>
      <c r="M126" s="47" t="inlineStr">
        <is>
          <t>—</t>
        </is>
      </c>
      <c r="N126" s="48" t="inlineStr">
        <is>
          <t>—</t>
        </is>
      </c>
      <c r="O126" s="48" t="inlineStr">
        <is>
          <t>—</t>
        </is>
      </c>
    </row>
    <row r="127" ht="54" customHeight="1">
      <c r="A127" s="74" t="inlineStr">
        <is>
          <t>IRIS — Manager title</t>
        </is>
      </c>
      <c r="B127" s="42" t="n"/>
      <c r="C127" s="42" t="n"/>
      <c r="D127" s="42" t="n"/>
      <c r="E127" s="43" t="inlineStr">
        <is>
          <t>Team Lead</t>
        </is>
      </c>
      <c r="F127" s="43" t="inlineStr">
        <is>
          <t>Manager</t>
        </is>
      </c>
      <c r="G127" s="43" t="inlineStr">
        <is>
          <t>Senior Manager</t>
        </is>
      </c>
      <c r="H127" s="44" t="inlineStr">
        <is>
          <t>Practice Lead · Player-Coach</t>
        </is>
      </c>
      <c r="I127" s="45" t="inlineStr">
        <is>
          <t>Associate Head</t>
        </is>
      </c>
      <c r="J127" s="45" t="inlineStr">
        <is>
          <t>Head of Function</t>
        </is>
      </c>
      <c r="K127" s="46" t="inlineStr">
        <is>
          <t>Group Head · Player-Coach</t>
        </is>
      </c>
      <c r="L127" s="47" t="inlineStr">
        <is>
          <t>Associate Vice President / Business Head</t>
        </is>
      </c>
      <c r="M127" s="47" t="inlineStr">
        <is>
          <t>Vice President</t>
        </is>
      </c>
      <c r="N127" s="48" t="inlineStr">
        <is>
          <t>CXO / President</t>
        </is>
      </c>
      <c r="O127" s="48" t="inlineStr">
        <is>
          <t>Chief Executive Officer</t>
        </is>
      </c>
    </row>
    <row r="128" ht="15" customHeight="1">
      <c r="A128" s="74" t="inlineStr">
        <is>
          <t>IRIS — people at level</t>
        </is>
      </c>
      <c r="B128" s="42" t="n"/>
      <c r="C128" s="42" t="n"/>
      <c r="D128" s="42" t="n">
        <v>2</v>
      </c>
      <c r="E128" s="43" t="n"/>
      <c r="F128" s="43" t="n"/>
      <c r="G128" s="43" t="n"/>
      <c r="H128" s="44" t="n"/>
      <c r="I128" s="45" t="n"/>
      <c r="J128" s="45" t="n"/>
      <c r="K128" s="46" t="n"/>
      <c r="L128" s="47" t="n"/>
      <c r="M128" s="47" t="n"/>
      <c r="N128" s="48" t="n"/>
      <c r="O128" s="48" t="n"/>
    </row>
    <row r="129" ht="41" customHeight="1">
      <c r="A129" s="14" t="inlineStr">
        <is>
          <t>IRIS Vs Competitor Benchmark — UX / design ladder · informed by a UX career-ladder guide</t>
        </is>
      </c>
      <c r="B129" s="8" t="n"/>
      <c r="C129" s="8" t="inlineStr">
        <is>
          <t>Junior Designer</t>
        </is>
      </c>
      <c r="D129" s="8" t="inlineStr">
        <is>
          <t>Designer</t>
        </is>
      </c>
      <c r="E129" s="8" t="inlineStr">
        <is>
          <t>UX Designer</t>
        </is>
      </c>
      <c r="F129" s="8" t="inlineStr">
        <is>
          <t>Senior Designer</t>
        </is>
      </c>
      <c r="G129" s="8" t="inlineStr">
        <is>
          <t>Lead Designer</t>
        </is>
      </c>
      <c r="H129" s="8" t="n"/>
      <c r="I129" s="8" t="inlineStr">
        <is>
          <t>Principal Designer</t>
        </is>
      </c>
      <c r="J129" s="8" t="inlineStr">
        <is>
          <t>Design Director</t>
        </is>
      </c>
      <c r="K129" s="8" t="n"/>
      <c r="L129" s="8" t="n"/>
      <c r="M129" s="8" t="n"/>
      <c r="N129" s="8" t="n"/>
      <c r="O129" s="8" t="n"/>
    </row>
    <row r="130" ht="15" customHeight="1"/>
    <row r="131" ht="15" customHeight="1">
      <c r="A131" s="61" t="inlineStr">
        <is>
          <t>IRIS Product Management Vs · Standard: Pragmatic Institute Framework · 37 activities, 7 categories; AIPMM · 1 here</t>
        </is>
      </c>
      <c r="B131" s="64" t="n"/>
      <c r="C131" s="64" t="n"/>
      <c r="D131" s="64" t="n"/>
      <c r="E131" s="64" t="n"/>
      <c r="F131" s="64" t="n"/>
      <c r="G131" s="64" t="n"/>
      <c r="H131" s="64" t="n"/>
      <c r="I131" s="64" t="n"/>
      <c r="J131" s="64" t="n"/>
      <c r="K131" s="64" t="n"/>
      <c r="L131" s="64" t="n"/>
      <c r="M131" s="64" t="n"/>
      <c r="N131" s="64" t="n"/>
      <c r="O131" s="63" t="n"/>
    </row>
    <row r="132" ht="15" customHeight="1">
      <c r="A132" s="76" t="inlineStr">
        <is>
          <t>Ladder / company</t>
        </is>
      </c>
      <c r="B132" s="76" t="inlineStr">
        <is>
          <t>A1</t>
        </is>
      </c>
      <c r="C132" s="76" t="inlineStr">
        <is>
          <t>A2</t>
        </is>
      </c>
      <c r="D132" s="76" t="inlineStr">
        <is>
          <t>A3</t>
        </is>
      </c>
      <c r="E132" s="76" t="inlineStr">
        <is>
          <t>B1</t>
        </is>
      </c>
      <c r="F132" s="76" t="inlineStr">
        <is>
          <t>B2</t>
        </is>
      </c>
      <c r="G132" s="76" t="inlineStr">
        <is>
          <t>B3</t>
        </is>
      </c>
      <c r="H132" s="76" t="inlineStr">
        <is>
          <t>B+</t>
        </is>
      </c>
      <c r="I132" s="76" t="inlineStr">
        <is>
          <t>C1</t>
        </is>
      </c>
      <c r="J132" s="76" t="inlineStr">
        <is>
          <t>C2</t>
        </is>
      </c>
      <c r="K132" s="76" t="inlineStr">
        <is>
          <t>C+</t>
        </is>
      </c>
      <c r="L132" s="76" t="inlineStr">
        <is>
          <t>D1</t>
        </is>
      </c>
      <c r="M132" s="76" t="inlineStr">
        <is>
          <t>D2</t>
        </is>
      </c>
      <c r="N132" s="76" t="inlineStr">
        <is>
          <t>E1</t>
        </is>
      </c>
      <c r="O132" s="76" t="inlineStr">
        <is>
          <t>E2</t>
        </is>
      </c>
    </row>
    <row r="133" ht="54" customHeight="1">
      <c r="A133" s="74" t="inlineStr">
        <is>
          <t>IRIS — IC title</t>
        </is>
      </c>
      <c r="B133" s="42" t="inlineStr">
        <is>
          <t>Intern / Trainee</t>
        </is>
      </c>
      <c r="C133" s="42" t="inlineStr">
        <is>
          <t>Associate</t>
        </is>
      </c>
      <c r="D133" s="42" t="inlineStr">
        <is>
          <t>Senior Associate</t>
        </is>
      </c>
      <c r="E133" s="43" t="inlineStr">
        <is>
          <t>Specialist</t>
        </is>
      </c>
      <c r="F133" s="43" t="inlineStr">
        <is>
          <t>Senior Specialist</t>
        </is>
      </c>
      <c r="G133" s="43" t="inlineStr">
        <is>
          <t>Lead Specialist</t>
        </is>
      </c>
      <c r="H133" s="44" t="inlineStr">
        <is>
          <t>Practice Lead · Player-Coach</t>
        </is>
      </c>
      <c r="I133" s="45" t="inlineStr">
        <is>
          <t>Principal</t>
        </is>
      </c>
      <c r="J133" s="45" t="inlineStr">
        <is>
          <t>Senior Principal / Architect</t>
        </is>
      </c>
      <c r="K133" s="46" t="inlineStr">
        <is>
          <t>Group Head · Player-Coach</t>
        </is>
      </c>
      <c r="L133" s="47" t="inlineStr">
        <is>
          <t>Chief Specialist / Distinguished Principal</t>
        </is>
      </c>
      <c r="M133" s="47" t="inlineStr">
        <is>
          <t>—</t>
        </is>
      </c>
      <c r="N133" s="48" t="inlineStr">
        <is>
          <t>—</t>
        </is>
      </c>
      <c r="O133" s="48" t="inlineStr">
        <is>
          <t>—</t>
        </is>
      </c>
    </row>
    <row r="134" ht="54" customHeight="1">
      <c r="A134" s="74" t="inlineStr">
        <is>
          <t>IRIS — Manager title</t>
        </is>
      </c>
      <c r="B134" s="42" t="n"/>
      <c r="C134" s="42" t="n"/>
      <c r="D134" s="42" t="n"/>
      <c r="E134" s="43" t="inlineStr">
        <is>
          <t>Team Lead</t>
        </is>
      </c>
      <c r="F134" s="43" t="inlineStr">
        <is>
          <t>Manager</t>
        </is>
      </c>
      <c r="G134" s="43" t="inlineStr">
        <is>
          <t>Senior Manager</t>
        </is>
      </c>
      <c r="H134" s="44" t="inlineStr">
        <is>
          <t>Practice Lead · Player-Coach</t>
        </is>
      </c>
      <c r="I134" s="45" t="inlineStr">
        <is>
          <t>Associate Head</t>
        </is>
      </c>
      <c r="J134" s="45" t="inlineStr">
        <is>
          <t>Head of Function</t>
        </is>
      </c>
      <c r="K134" s="46" t="inlineStr">
        <is>
          <t>Group Head · Player-Coach</t>
        </is>
      </c>
      <c r="L134" s="47" t="inlineStr">
        <is>
          <t>Associate Vice President / Business Head</t>
        </is>
      </c>
      <c r="M134" s="47" t="inlineStr">
        <is>
          <t>Vice President</t>
        </is>
      </c>
      <c r="N134" s="48" t="inlineStr">
        <is>
          <t>CXO / President</t>
        </is>
      </c>
      <c r="O134" s="48" t="inlineStr">
        <is>
          <t>Chief Executive Officer</t>
        </is>
      </c>
    </row>
    <row r="135" ht="15" customHeight="1">
      <c r="A135" s="74" t="inlineStr">
        <is>
          <t>IRIS — people at level</t>
        </is>
      </c>
      <c r="B135" s="42" t="n">
        <v>1</v>
      </c>
      <c r="C135" s="42" t="n"/>
      <c r="D135" s="42" t="n"/>
      <c r="E135" s="43" t="n"/>
      <c r="F135" s="43" t="n"/>
      <c r="G135" s="43" t="n"/>
      <c r="H135" s="44" t="n"/>
      <c r="I135" s="45" t="n"/>
      <c r="J135" s="45" t="n"/>
      <c r="K135" s="46" t="n"/>
      <c r="L135" s="47" t="n"/>
      <c r="M135" s="47" t="n"/>
      <c r="N135" s="48" t="n"/>
      <c r="O135" s="48" t="n"/>
    </row>
    <row r="136" ht="41" customHeight="1">
      <c r="A136" s="14" t="inlineStr">
        <is>
          <t>IRIS Vs Competitor Benchmark — SaaS product ladder · informed by Atlassian, Pragmatic</t>
        </is>
      </c>
      <c r="B136" s="8" t="n"/>
      <c r="C136" s="8" t="n"/>
      <c r="D136" s="8" t="inlineStr">
        <is>
          <t>Associate PM</t>
        </is>
      </c>
      <c r="E136" s="8" t="inlineStr">
        <is>
          <t>Product Manager</t>
        </is>
      </c>
      <c r="F136" s="8" t="inlineStr">
        <is>
          <t>Senior PM</t>
        </is>
      </c>
      <c r="G136" s="8" t="inlineStr">
        <is>
          <t>Principal / Group PM</t>
        </is>
      </c>
      <c r="H136" s="8" t="n"/>
      <c r="I136" s="8" t="inlineStr">
        <is>
          <t>Group PM / Head of Product</t>
        </is>
      </c>
      <c r="J136" s="8" t="inlineStr">
        <is>
          <t>Director of Product</t>
        </is>
      </c>
      <c r="K136" s="8" t="n"/>
      <c r="L136" s="8" t="inlineStr">
        <is>
          <t>VP Product</t>
        </is>
      </c>
      <c r="M136" s="8" t="n"/>
      <c r="N136" s="8" t="inlineStr">
        <is>
          <t>Chief Product Officer</t>
        </is>
      </c>
      <c r="O136" s="8" t="n"/>
    </row>
    <row r="137" ht="15" customHeight="1"/>
    <row r="138" ht="15" customHeight="1">
      <c r="A138" s="61" t="inlineStr">
        <is>
          <t>IRIS Executive Leadership Vs · Standard: Aon Radford executive levels E1–E6; Mercer ET1–ET3; Korn Ferry Leadership Architect · 1 here</t>
        </is>
      </c>
      <c r="B138" s="64" t="n"/>
      <c r="C138" s="64" t="n"/>
      <c r="D138" s="64" t="n"/>
      <c r="E138" s="64" t="n"/>
      <c r="F138" s="64" t="n"/>
      <c r="G138" s="64" t="n"/>
      <c r="H138" s="64" t="n"/>
      <c r="I138" s="64" t="n"/>
      <c r="J138" s="64" t="n"/>
      <c r="K138" s="64" t="n"/>
      <c r="L138" s="64" t="n"/>
      <c r="M138" s="64" t="n"/>
      <c r="N138" s="64" t="n"/>
      <c r="O138" s="63" t="n"/>
    </row>
    <row r="139" ht="15" customHeight="1">
      <c r="A139" s="76" t="inlineStr">
        <is>
          <t>Ladder / company</t>
        </is>
      </c>
      <c r="B139" s="76" t="inlineStr">
        <is>
          <t>A1</t>
        </is>
      </c>
      <c r="C139" s="76" t="inlineStr">
        <is>
          <t>A2</t>
        </is>
      </c>
      <c r="D139" s="76" t="inlineStr">
        <is>
          <t>A3</t>
        </is>
      </c>
      <c r="E139" s="76" t="inlineStr">
        <is>
          <t>B1</t>
        </is>
      </c>
      <c r="F139" s="76" t="inlineStr">
        <is>
          <t>B2</t>
        </is>
      </c>
      <c r="G139" s="76" t="inlineStr">
        <is>
          <t>B3</t>
        </is>
      </c>
      <c r="H139" s="76" t="inlineStr">
        <is>
          <t>B+</t>
        </is>
      </c>
      <c r="I139" s="76" t="inlineStr">
        <is>
          <t>C1</t>
        </is>
      </c>
      <c r="J139" s="76" t="inlineStr">
        <is>
          <t>C2</t>
        </is>
      </c>
      <c r="K139" s="76" t="inlineStr">
        <is>
          <t>C+</t>
        </is>
      </c>
      <c r="L139" s="76" t="inlineStr">
        <is>
          <t>D1</t>
        </is>
      </c>
      <c r="M139" s="76" t="inlineStr">
        <is>
          <t>D2</t>
        </is>
      </c>
      <c r="N139" s="76" t="inlineStr">
        <is>
          <t>E1</t>
        </is>
      </c>
      <c r="O139" s="76" t="inlineStr">
        <is>
          <t>E2</t>
        </is>
      </c>
    </row>
    <row r="140" ht="41" customHeight="1">
      <c r="A140" s="74" t="inlineStr">
        <is>
          <t>IRIS — IC title</t>
        </is>
      </c>
      <c r="B140" s="42" t="inlineStr">
        <is>
          <t>Intern / Trainee</t>
        </is>
      </c>
      <c r="C140" s="42" t="inlineStr">
        <is>
          <t>Associate</t>
        </is>
      </c>
      <c r="D140" s="42" t="inlineStr">
        <is>
          <t>Senior Associate</t>
        </is>
      </c>
      <c r="E140" s="43" t="inlineStr">
        <is>
          <t>Specialist</t>
        </is>
      </c>
      <c r="F140" s="43" t="inlineStr">
        <is>
          <t>Senior Specialist</t>
        </is>
      </c>
      <c r="G140" s="43" t="inlineStr">
        <is>
          <t>Lead Specialist</t>
        </is>
      </c>
      <c r="H140" s="44" t="inlineStr">
        <is>
          <t>Practice Lead · Player-Coach</t>
        </is>
      </c>
      <c r="I140" s="45" t="inlineStr">
        <is>
          <t>Principal</t>
        </is>
      </c>
      <c r="J140" s="45" t="inlineStr">
        <is>
          <t>Senior Principal / Architect</t>
        </is>
      </c>
      <c r="K140" s="46" t="inlineStr">
        <is>
          <t>Group Head · Player-Coach</t>
        </is>
      </c>
      <c r="L140" s="47" t="inlineStr">
        <is>
          <t>—</t>
        </is>
      </c>
      <c r="M140" s="47" t="inlineStr">
        <is>
          <t>—</t>
        </is>
      </c>
      <c r="N140" s="48" t="inlineStr">
        <is>
          <t>—</t>
        </is>
      </c>
      <c r="O140" s="48" t="inlineStr">
        <is>
          <t>—</t>
        </is>
      </c>
    </row>
    <row r="141" ht="41" customHeight="1">
      <c r="A141" s="74" t="inlineStr">
        <is>
          <t>IRIS — Manager title</t>
        </is>
      </c>
      <c r="B141" s="42" t="n"/>
      <c r="C141" s="42" t="n"/>
      <c r="D141" s="42" t="n"/>
      <c r="E141" s="43" t="inlineStr">
        <is>
          <t>Team Lead</t>
        </is>
      </c>
      <c r="F141" s="43" t="inlineStr">
        <is>
          <t>Manager</t>
        </is>
      </c>
      <c r="G141" s="43" t="inlineStr">
        <is>
          <t>Senior Manager</t>
        </is>
      </c>
      <c r="H141" s="44" t="inlineStr">
        <is>
          <t>Practice Lead · Player-Coach</t>
        </is>
      </c>
      <c r="I141" s="45" t="inlineStr">
        <is>
          <t>Associate Head</t>
        </is>
      </c>
      <c r="J141" s="45" t="inlineStr">
        <is>
          <t>Head of Function</t>
        </is>
      </c>
      <c r="K141" s="46" t="inlineStr">
        <is>
          <t>Group Head · Player-Coach</t>
        </is>
      </c>
      <c r="L141" s="47" t="inlineStr">
        <is>
          <t>Business Head</t>
        </is>
      </c>
      <c r="M141" s="47" t="inlineStr">
        <is>
          <t>Vice President</t>
        </is>
      </c>
      <c r="N141" s="48" t="inlineStr">
        <is>
          <t>CXO / President</t>
        </is>
      </c>
      <c r="O141" s="48" t="inlineStr">
        <is>
          <t>Chief Executive Officer</t>
        </is>
      </c>
    </row>
    <row r="142" ht="15" customHeight="1">
      <c r="A142" s="74" t="inlineStr">
        <is>
          <t>IRIS — people at level</t>
        </is>
      </c>
      <c r="B142" s="42" t="n"/>
      <c r="C142" s="42" t="n"/>
      <c r="D142" s="42" t="n"/>
      <c r="E142" s="43" t="n"/>
      <c r="F142" s="43" t="n"/>
      <c r="G142" s="43" t="n"/>
      <c r="H142" s="44" t="n"/>
      <c r="I142" s="45" t="n"/>
      <c r="J142" s="45" t="n"/>
      <c r="K142" s="46" t="n"/>
      <c r="L142" s="47" t="n"/>
      <c r="M142" s="47" t="n"/>
      <c r="N142" s="48" t="n">
        <v>1</v>
      </c>
      <c r="O142" s="48" t="n"/>
    </row>
    <row r="143" ht="41" customHeight="1">
      <c r="A143" s="14" t="inlineStr">
        <is>
          <t>IRIS Vs Market Benchmark — Aon Radford / Mercer executive codes</t>
        </is>
      </c>
      <c r="B143" s="8" t="n"/>
      <c r="C143" s="8" t="n"/>
      <c r="D143" s="8" t="n"/>
      <c r="E143" s="8" t="n"/>
      <c r="F143" s="8" t="n"/>
      <c r="G143" s="8" t="n"/>
      <c r="H143" s="8" t="n"/>
      <c r="I143" s="8" t="n"/>
      <c r="J143" s="8" t="n"/>
      <c r="K143" s="8" t="n"/>
      <c r="L143" s="8" t="inlineStr">
        <is>
          <t>E1–E2 VP / Business Head</t>
        </is>
      </c>
      <c r="M143" s="8" t="inlineStr">
        <is>
          <t>E3–E4 SVP</t>
        </is>
      </c>
      <c r="N143" s="8" t="inlineStr">
        <is>
          <t>E5 C-level · functional</t>
        </is>
      </c>
      <c r="O143" s="8" t="inlineStr">
        <is>
          <t>E6 CEO</t>
        </is>
      </c>
    </row>
    <row r="144" ht="41" customHeight="1">
      <c r="A144" s="14" t="inlineStr">
        <is>
          <t>IRIS Vs Competitor Benchmark — regtech / SaaS executive titles</t>
        </is>
      </c>
      <c r="B144" s="8" t="n"/>
      <c r="C144" s="8" t="n"/>
      <c r="D144" s="8" t="n"/>
      <c r="E144" s="8" t="n"/>
      <c r="F144" s="8" t="n"/>
      <c r="G144" s="8" t="n"/>
      <c r="H144" s="8" t="n"/>
      <c r="I144" s="8" t="n"/>
      <c r="J144" s="8" t="n"/>
      <c r="K144" s="8" t="n"/>
      <c r="L144" s="8" t="inlineStr">
        <is>
          <t>General Manager / VP</t>
        </is>
      </c>
      <c r="M144" s="8" t="inlineStr">
        <is>
          <t>SVP</t>
        </is>
      </c>
      <c r="N144" s="8" t="inlineStr">
        <is>
          <t>CTO · CFO · CRO · CCO · COO</t>
        </is>
      </c>
      <c r="O144" s="8" t="inlineStr">
        <is>
          <t>CEO</t>
        </is>
      </c>
    </row>
    <row r="145" ht="15" customHeight="1"/>
    <row r="146" ht="20" customHeight="1">
      <c r="A146" s="79" t="inlineStr">
        <is>
          <t>Services — 60 people</t>
        </is>
      </c>
    </row>
    <row r="147" ht="15" customHeight="1">
      <c r="A147" s="61" t="inlineStr">
        <is>
          <t>IRIS Consulting &amp; Professional Services Vs · Standard: XBRL US GAAP Certificate · AICPA &amp; XBRL US; XBRL International specifications; IFRS / US GAAP / Ind AS · 57 here</t>
        </is>
      </c>
      <c r="B147" s="64" t="n"/>
      <c r="C147" s="64" t="n"/>
      <c r="D147" s="64" t="n"/>
      <c r="E147" s="64" t="n"/>
      <c r="F147" s="64" t="n"/>
      <c r="G147" s="64" t="n"/>
      <c r="H147" s="64" t="n"/>
      <c r="I147" s="64" t="n"/>
      <c r="J147" s="64" t="n"/>
      <c r="K147" s="64" t="n"/>
      <c r="L147" s="64" t="n"/>
      <c r="M147" s="64" t="n"/>
      <c r="N147" s="64" t="n"/>
      <c r="O147" s="63" t="n"/>
    </row>
    <row r="148" ht="15" customHeight="1">
      <c r="A148" s="76" t="inlineStr">
        <is>
          <t>Ladder / company</t>
        </is>
      </c>
      <c r="B148" s="76" t="inlineStr">
        <is>
          <t>A1</t>
        </is>
      </c>
      <c r="C148" s="76" t="inlineStr">
        <is>
          <t>A2</t>
        </is>
      </c>
      <c r="D148" s="76" t="inlineStr">
        <is>
          <t>A3</t>
        </is>
      </c>
      <c r="E148" s="76" t="inlineStr">
        <is>
          <t>B1</t>
        </is>
      </c>
      <c r="F148" s="76" t="inlineStr">
        <is>
          <t>B2</t>
        </is>
      </c>
      <c r="G148" s="76" t="inlineStr">
        <is>
          <t>B3</t>
        </is>
      </c>
      <c r="H148" s="76" t="inlineStr">
        <is>
          <t>B+</t>
        </is>
      </c>
      <c r="I148" s="76" t="inlineStr">
        <is>
          <t>C1</t>
        </is>
      </c>
      <c r="J148" s="76" t="inlineStr">
        <is>
          <t>C2</t>
        </is>
      </c>
      <c r="K148" s="76" t="inlineStr">
        <is>
          <t>C+</t>
        </is>
      </c>
      <c r="L148" s="76" t="inlineStr">
        <is>
          <t>D1</t>
        </is>
      </c>
      <c r="M148" s="76" t="inlineStr">
        <is>
          <t>D2</t>
        </is>
      </c>
      <c r="N148" s="76" t="inlineStr">
        <is>
          <t>E1</t>
        </is>
      </c>
      <c r="O148" s="76" t="inlineStr">
        <is>
          <t>E2</t>
        </is>
      </c>
    </row>
    <row r="149" ht="54" customHeight="1">
      <c r="A149" s="74" t="inlineStr">
        <is>
          <t>IRIS — IC title</t>
        </is>
      </c>
      <c r="B149" s="42" t="inlineStr">
        <is>
          <t>Intern / Trainee</t>
        </is>
      </c>
      <c r="C149" s="42" t="inlineStr">
        <is>
          <t>Associate</t>
        </is>
      </c>
      <c r="D149" s="42" t="inlineStr">
        <is>
          <t>Senior Associate</t>
        </is>
      </c>
      <c r="E149" s="43" t="inlineStr">
        <is>
          <t>Specialist</t>
        </is>
      </c>
      <c r="F149" s="43" t="inlineStr">
        <is>
          <t>Senior Specialist</t>
        </is>
      </c>
      <c r="G149" s="43" t="inlineStr">
        <is>
          <t>Lead Specialist</t>
        </is>
      </c>
      <c r="H149" s="44" t="inlineStr">
        <is>
          <t>Practice Lead · Player-Coach</t>
        </is>
      </c>
      <c r="I149" s="45" t="inlineStr">
        <is>
          <t>Principal</t>
        </is>
      </c>
      <c r="J149" s="45" t="inlineStr">
        <is>
          <t>Senior Principal / Architect</t>
        </is>
      </c>
      <c r="K149" s="46" t="inlineStr">
        <is>
          <t>Group Head · Player-Coach</t>
        </is>
      </c>
      <c r="L149" s="47" t="inlineStr">
        <is>
          <t>Chief Specialist / Distinguished Principal</t>
        </is>
      </c>
      <c r="M149" s="47" t="inlineStr">
        <is>
          <t>—</t>
        </is>
      </c>
      <c r="N149" s="48" t="inlineStr">
        <is>
          <t>—</t>
        </is>
      </c>
      <c r="O149" s="48" t="inlineStr">
        <is>
          <t>—</t>
        </is>
      </c>
    </row>
    <row r="150" ht="54" customHeight="1">
      <c r="A150" s="74" t="inlineStr">
        <is>
          <t>IRIS — Manager title</t>
        </is>
      </c>
      <c r="B150" s="42" t="n"/>
      <c r="C150" s="42" t="n"/>
      <c r="D150" s="42" t="n"/>
      <c r="E150" s="43" t="inlineStr">
        <is>
          <t>Team Lead</t>
        </is>
      </c>
      <c r="F150" s="43" t="inlineStr">
        <is>
          <t>Manager</t>
        </is>
      </c>
      <c r="G150" s="43" t="inlineStr">
        <is>
          <t>Senior Manager</t>
        </is>
      </c>
      <c r="H150" s="44" t="inlineStr">
        <is>
          <t>Practice Lead · Player-Coach</t>
        </is>
      </c>
      <c r="I150" s="45" t="inlineStr">
        <is>
          <t>Associate Head</t>
        </is>
      </c>
      <c r="J150" s="45" t="inlineStr">
        <is>
          <t>Head of Function</t>
        </is>
      </c>
      <c r="K150" s="46" t="inlineStr">
        <is>
          <t>Group Head · Player-Coach</t>
        </is>
      </c>
      <c r="L150" s="47" t="inlineStr">
        <is>
          <t>Associate Vice President / Business Head</t>
        </is>
      </c>
      <c r="M150" s="47" t="inlineStr">
        <is>
          <t>Vice President</t>
        </is>
      </c>
      <c r="N150" s="48" t="inlineStr">
        <is>
          <t>CXO / President</t>
        </is>
      </c>
      <c r="O150" s="48" t="inlineStr">
        <is>
          <t>Chief Executive Officer</t>
        </is>
      </c>
    </row>
    <row r="151" ht="15" customHeight="1">
      <c r="A151" s="74" t="inlineStr">
        <is>
          <t>IRIS — people at level</t>
        </is>
      </c>
      <c r="B151" s="42" t="n"/>
      <c r="C151" s="42" t="n">
        <v>1</v>
      </c>
      <c r="D151" s="42" t="n">
        <v>36</v>
      </c>
      <c r="E151" s="43" t="n">
        <v>13</v>
      </c>
      <c r="F151" s="43" t="n">
        <v>5</v>
      </c>
      <c r="G151" s="43" t="n"/>
      <c r="H151" s="44" t="n"/>
      <c r="I151" s="45" t="n">
        <v>2</v>
      </c>
      <c r="J151" s="45" t="n"/>
      <c r="K151" s="46" t="n"/>
      <c r="L151" s="47" t="n"/>
      <c r="M151" s="47" t="n"/>
      <c r="N151" s="48" t="n"/>
      <c r="O151" s="48" t="n"/>
    </row>
    <row r="152" ht="41" customHeight="1">
      <c r="A152" s="14" t="inlineStr">
        <is>
          <t>Toppan Merrill</t>
        </is>
      </c>
      <c r="B152" s="8" t="n"/>
      <c r="C152" s="8" t="inlineStr">
        <is>
          <t>XBRL Financial Analyst, Associate</t>
        </is>
      </c>
      <c r="D152" s="8" t="n"/>
      <c r="E152" s="8" t="n"/>
      <c r="F152" s="8" t="n"/>
      <c r="G152" s="8" t="n"/>
      <c r="H152" s="8" t="n"/>
      <c r="I152" s="8" t="n"/>
      <c r="J152" s="8" t="n"/>
      <c r="K152" s="8" t="n"/>
      <c r="L152" s="8" t="n"/>
      <c r="M152" s="8" t="n"/>
      <c r="N152" s="8" t="n"/>
      <c r="O152" s="8" t="n"/>
    </row>
    <row r="153" ht="67" customHeight="1">
      <c r="A153" s="14" t="inlineStr">
        <is>
          <t>Workiva professional services</t>
        </is>
      </c>
      <c r="B153" s="8" t="n"/>
      <c r="C153" s="8" t="n"/>
      <c r="D153" s="8" t="n"/>
      <c r="E153" s="8" t="n"/>
      <c r="F153" s="8" t="n"/>
      <c r="G153" s="8" t="inlineStr">
        <is>
          <t>Professional Services Manager · XBRL data modelling</t>
        </is>
      </c>
      <c r="H153" s="8" t="n"/>
      <c r="I153" s="8" t="n"/>
      <c r="J153" s="8" t="n"/>
      <c r="K153" s="8" t="n"/>
      <c r="L153" s="8" t="n"/>
      <c r="M153" s="8" t="n"/>
      <c r="N153" s="8" t="n"/>
      <c r="O153" s="8" t="n"/>
    </row>
    <row r="154" ht="41" customHeight="1">
      <c r="A154" s="14" t="inlineStr">
        <is>
          <t>DataTracks</t>
        </is>
      </c>
      <c r="B154" s="8" t="n"/>
      <c r="C154" s="8" t="inlineStr">
        <is>
          <t>Associate</t>
        </is>
      </c>
      <c r="D154" s="8" t="inlineStr">
        <is>
          <t>Senior Associate · 2–5 yrs</t>
        </is>
      </c>
      <c r="E154" s="8" t="n"/>
      <c r="F154" s="8" t="n"/>
      <c r="G154" s="8" t="n"/>
      <c r="H154" s="8" t="n"/>
      <c r="I154" s="8" t="n"/>
      <c r="J154" s="8" t="n"/>
      <c r="K154" s="8" t="n"/>
      <c r="L154" s="8" t="n"/>
      <c r="M154" s="8" t="n"/>
      <c r="N154" s="8" t="n"/>
      <c r="O154" s="8" t="n"/>
    </row>
    <row r="155" ht="28" customHeight="1">
      <c r="A155" s="14" t="inlineStr">
        <is>
          <t>Big Four</t>
        </is>
      </c>
      <c r="B155" s="8" t="n"/>
      <c r="C155" s="8" t="inlineStr">
        <is>
          <t>Analyst</t>
        </is>
      </c>
      <c r="D155" s="8" t="inlineStr">
        <is>
          <t>Consultant</t>
        </is>
      </c>
      <c r="E155" s="8" t="inlineStr">
        <is>
          <t>Senior Consultant</t>
        </is>
      </c>
      <c r="F155" s="8" t="inlineStr">
        <is>
          <t>Manager</t>
        </is>
      </c>
      <c r="G155" s="8" t="inlineStr">
        <is>
          <t>Senior Manager</t>
        </is>
      </c>
      <c r="H155" s="8" t="n"/>
      <c r="I155" s="8" t="inlineStr">
        <is>
          <t>Associate Director</t>
        </is>
      </c>
      <c r="J155" s="8" t="inlineStr">
        <is>
          <t>Director</t>
        </is>
      </c>
      <c r="K155" s="8" t="n"/>
      <c r="L155" s="8" t="inlineStr">
        <is>
          <t>Partner</t>
        </is>
      </c>
      <c r="M155" s="8" t="n"/>
      <c r="N155" s="8" t="n"/>
      <c r="O155" s="8" t="n"/>
    </row>
    <row r="156" ht="41" customHeight="1">
      <c r="A156" s="14" t="inlineStr">
        <is>
          <t>IRIS Vs Market Benchmark — XBRL US credential pathway</t>
        </is>
      </c>
      <c r="B156" s="8" t="n"/>
      <c r="C156" s="8" t="n"/>
      <c r="D156" s="8" t="inlineStr">
        <is>
          <t>XBRL US GAAP Certificate</t>
        </is>
      </c>
      <c r="E156" s="8" t="inlineStr">
        <is>
          <t>Certificate + specialist taxonomy</t>
        </is>
      </c>
      <c r="F156" s="8" t="inlineStr">
        <is>
          <t>Certificate + review authority</t>
        </is>
      </c>
      <c r="G156" s="8" t="n"/>
      <c r="H156" s="8" t="n"/>
      <c r="I156" s="8" t="n"/>
      <c r="J156" s="8" t="n"/>
      <c r="K156" s="8" t="n"/>
      <c r="L156" s="8" t="n"/>
      <c r="M156" s="8" t="n"/>
      <c r="N156" s="8" t="n"/>
      <c r="O156" s="8" t="n"/>
    </row>
    <row r="157" ht="15" customHeight="1"/>
    <row r="158" ht="15" customHeight="1">
      <c r="A158" s="61" t="inlineStr">
        <is>
          <t>IRIS Quality Assurance Vs · Standard: ISTQB Foundation → Advanced → Expert; SFIA testing · 2 here</t>
        </is>
      </c>
      <c r="B158" s="64" t="n"/>
      <c r="C158" s="64" t="n"/>
      <c r="D158" s="64" t="n"/>
      <c r="E158" s="64" t="n"/>
      <c r="F158" s="64" t="n"/>
      <c r="G158" s="64" t="n"/>
      <c r="H158" s="64" t="n"/>
      <c r="I158" s="64" t="n"/>
      <c r="J158" s="64" t="n"/>
      <c r="K158" s="64" t="n"/>
      <c r="L158" s="64" t="n"/>
      <c r="M158" s="64" t="n"/>
      <c r="N158" s="64" t="n"/>
      <c r="O158" s="63" t="n"/>
    </row>
    <row r="159" ht="15" customHeight="1">
      <c r="A159" s="76" t="inlineStr">
        <is>
          <t>Ladder / company</t>
        </is>
      </c>
      <c r="B159" s="76" t="inlineStr">
        <is>
          <t>A1</t>
        </is>
      </c>
      <c r="C159" s="76" t="inlineStr">
        <is>
          <t>A2</t>
        </is>
      </c>
      <c r="D159" s="76" t="inlineStr">
        <is>
          <t>A3</t>
        </is>
      </c>
      <c r="E159" s="76" t="inlineStr">
        <is>
          <t>B1</t>
        </is>
      </c>
      <c r="F159" s="76" t="inlineStr">
        <is>
          <t>B2</t>
        </is>
      </c>
      <c r="G159" s="76" t="inlineStr">
        <is>
          <t>B3</t>
        </is>
      </c>
      <c r="H159" s="76" t="inlineStr">
        <is>
          <t>B+</t>
        </is>
      </c>
      <c r="I159" s="76" t="inlineStr">
        <is>
          <t>C1</t>
        </is>
      </c>
      <c r="J159" s="76" t="inlineStr">
        <is>
          <t>C2</t>
        </is>
      </c>
      <c r="K159" s="76" t="inlineStr">
        <is>
          <t>C+</t>
        </is>
      </c>
      <c r="L159" s="76" t="inlineStr">
        <is>
          <t>D1</t>
        </is>
      </c>
      <c r="M159" s="76" t="inlineStr">
        <is>
          <t>D2</t>
        </is>
      </c>
      <c r="N159" s="76" t="inlineStr">
        <is>
          <t>E1</t>
        </is>
      </c>
      <c r="O159" s="76" t="inlineStr">
        <is>
          <t>E2</t>
        </is>
      </c>
    </row>
    <row r="160" ht="54" customHeight="1">
      <c r="A160" s="74" t="inlineStr">
        <is>
          <t>IRIS — IC title</t>
        </is>
      </c>
      <c r="B160" s="42" t="inlineStr">
        <is>
          <t>Intern / Trainee</t>
        </is>
      </c>
      <c r="C160" s="42" t="inlineStr">
        <is>
          <t>Associate</t>
        </is>
      </c>
      <c r="D160" s="42" t="inlineStr">
        <is>
          <t>Senior Associate</t>
        </is>
      </c>
      <c r="E160" s="43" t="inlineStr">
        <is>
          <t>Specialist</t>
        </is>
      </c>
      <c r="F160" s="43" t="inlineStr">
        <is>
          <t>Senior Specialist</t>
        </is>
      </c>
      <c r="G160" s="43" t="inlineStr">
        <is>
          <t>Lead Specialist</t>
        </is>
      </c>
      <c r="H160" s="44" t="inlineStr">
        <is>
          <t>Practice Lead · Player-Coach</t>
        </is>
      </c>
      <c r="I160" s="45" t="inlineStr">
        <is>
          <t>Principal</t>
        </is>
      </c>
      <c r="J160" s="45" t="inlineStr">
        <is>
          <t>Senior Principal / Architect</t>
        </is>
      </c>
      <c r="K160" s="46" t="inlineStr">
        <is>
          <t>Group Head · Player-Coach</t>
        </is>
      </c>
      <c r="L160" s="47" t="inlineStr">
        <is>
          <t>Chief Specialist / Distinguished Principal</t>
        </is>
      </c>
      <c r="M160" s="47" t="inlineStr">
        <is>
          <t>—</t>
        </is>
      </c>
      <c r="N160" s="48" t="inlineStr">
        <is>
          <t>—</t>
        </is>
      </c>
      <c r="O160" s="48" t="inlineStr">
        <is>
          <t>—</t>
        </is>
      </c>
    </row>
    <row r="161" ht="54" customHeight="1">
      <c r="A161" s="74" t="inlineStr">
        <is>
          <t>IRIS — Manager title</t>
        </is>
      </c>
      <c r="B161" s="42" t="n"/>
      <c r="C161" s="42" t="n"/>
      <c r="D161" s="42" t="n"/>
      <c r="E161" s="43" t="inlineStr">
        <is>
          <t>Team Lead</t>
        </is>
      </c>
      <c r="F161" s="43" t="inlineStr">
        <is>
          <t>Manager</t>
        </is>
      </c>
      <c r="G161" s="43" t="inlineStr">
        <is>
          <t>Senior Manager</t>
        </is>
      </c>
      <c r="H161" s="44" t="inlineStr">
        <is>
          <t>Practice Lead · Player-Coach</t>
        </is>
      </c>
      <c r="I161" s="45" t="inlineStr">
        <is>
          <t>Associate Head</t>
        </is>
      </c>
      <c r="J161" s="45" t="inlineStr">
        <is>
          <t>Head of Function</t>
        </is>
      </c>
      <c r="K161" s="46" t="inlineStr">
        <is>
          <t>Group Head · Player-Coach</t>
        </is>
      </c>
      <c r="L161" s="47" t="inlineStr">
        <is>
          <t>Associate Vice President / Business Head</t>
        </is>
      </c>
      <c r="M161" s="47" t="inlineStr">
        <is>
          <t>Vice President</t>
        </is>
      </c>
      <c r="N161" s="48" t="inlineStr">
        <is>
          <t>CXO / President</t>
        </is>
      </c>
      <c r="O161" s="48" t="inlineStr">
        <is>
          <t>Chief Executive Officer</t>
        </is>
      </c>
    </row>
    <row r="162" ht="15" customHeight="1">
      <c r="A162" s="74" t="inlineStr">
        <is>
          <t>IRIS — people at level</t>
        </is>
      </c>
      <c r="B162" s="42" t="n"/>
      <c r="C162" s="42" t="n"/>
      <c r="D162" s="42" t="n">
        <v>1</v>
      </c>
      <c r="E162" s="43" t="n"/>
      <c r="F162" s="43" t="n">
        <v>1</v>
      </c>
      <c r="G162" s="43" t="n"/>
      <c r="H162" s="44" t="n"/>
      <c r="I162" s="45" t="n"/>
      <c r="J162" s="45" t="n"/>
      <c r="K162" s="46" t="n"/>
      <c r="L162" s="47" t="n"/>
      <c r="M162" s="47" t="n"/>
      <c r="N162" s="48" t="n"/>
      <c r="O162" s="48" t="n"/>
    </row>
    <row r="163" ht="28" customHeight="1">
      <c r="A163" s="14" t="inlineStr">
        <is>
          <t>Workiva — QA follows the engineering ladder</t>
        </is>
      </c>
      <c r="B163" s="8" t="n"/>
      <c r="C163" s="8" t="inlineStr">
        <is>
          <t>Associate SE</t>
        </is>
      </c>
      <c r="D163" s="8" t="inlineStr">
        <is>
          <t>SE</t>
        </is>
      </c>
      <c r="E163" s="8" t="inlineStr">
        <is>
          <t>SE / Senior SE</t>
        </is>
      </c>
      <c r="F163" s="8" t="inlineStr">
        <is>
          <t>Senior SE</t>
        </is>
      </c>
      <c r="G163" s="8" t="inlineStr">
        <is>
          <t>Staff SE</t>
        </is>
      </c>
      <c r="H163" s="8" t="n"/>
      <c r="I163" s="8" t="n"/>
      <c r="J163" s="8" t="n"/>
      <c r="K163" s="8" t="n"/>
      <c r="L163" s="8" t="n"/>
      <c r="M163" s="8" t="n"/>
      <c r="N163" s="8" t="n"/>
      <c r="O163" s="8" t="n"/>
    </row>
    <row r="164" ht="28" customHeight="1">
      <c r="A164" s="14" t="inlineStr">
        <is>
          <t>Broadridge India — QA follows the engineering ladder</t>
        </is>
      </c>
      <c r="B164" s="8" t="n"/>
      <c r="C164" s="8" t="inlineStr">
        <is>
          <t>SE</t>
        </is>
      </c>
      <c r="D164" s="8" t="inlineStr">
        <is>
          <t>SE</t>
        </is>
      </c>
      <c r="E164" s="8" t="inlineStr">
        <is>
          <t>Senior SE</t>
        </is>
      </c>
      <c r="F164" s="8" t="inlineStr">
        <is>
          <t>Lead SE</t>
        </is>
      </c>
      <c r="G164" s="8" t="inlineStr">
        <is>
          <t>Senior Lead SE</t>
        </is>
      </c>
      <c r="H164" s="8" t="n"/>
      <c r="I164" s="8" t="n"/>
      <c r="J164" s="8" t="n"/>
      <c r="K164" s="8" t="n"/>
      <c r="L164" s="8" t="n"/>
      <c r="M164" s="8" t="n"/>
      <c r="N164" s="8" t="n"/>
      <c r="O164" s="8" t="n"/>
    </row>
    <row r="165" ht="28" customHeight="1">
      <c r="A165" s="14" t="inlineStr">
        <is>
          <t>Nasdaq / AxiomSL — QA follows the engineering ladder</t>
        </is>
      </c>
      <c r="B165" s="8" t="n"/>
      <c r="C165" s="8" t="inlineStr">
        <is>
          <t>SE</t>
        </is>
      </c>
      <c r="D165" s="8" t="inlineStr">
        <is>
          <t>SE</t>
        </is>
      </c>
      <c r="E165" s="8" t="inlineStr">
        <is>
          <t>Senior SE</t>
        </is>
      </c>
      <c r="F165" s="8" t="inlineStr">
        <is>
          <t>Senior SE</t>
        </is>
      </c>
      <c r="G165" s="8" t="inlineStr">
        <is>
          <t>Lead SE</t>
        </is>
      </c>
      <c r="H165" s="8" t="n"/>
      <c r="I165" s="8" t="inlineStr">
        <is>
          <t>Principal SE</t>
        </is>
      </c>
      <c r="J165" s="8" t="n"/>
      <c r="K165" s="8" t="n"/>
      <c r="L165" s="8" t="n"/>
      <c r="M165" s="8" t="n"/>
      <c r="N165" s="8" t="n"/>
      <c r="O165" s="8" t="n"/>
    </row>
    <row r="166" ht="54" customHeight="1">
      <c r="A166" s="14" t="inlineStr">
        <is>
          <t>IRIS Vs Market Benchmark — ISTQB certification pathway · ISTQB sets the certificates, not the level match</t>
        </is>
      </c>
      <c r="B166" s="8" t="n"/>
      <c r="C166" s="8" t="inlineStr">
        <is>
          <t>Foundation</t>
        </is>
      </c>
      <c r="D166" s="8" t="inlineStr">
        <is>
          <t>Foundation</t>
        </is>
      </c>
      <c r="E166" s="8" t="inlineStr">
        <is>
          <t>Advanced · Test Analyst</t>
        </is>
      </c>
      <c r="F166" s="8" t="inlineStr">
        <is>
          <t>Advanced · Test Manager / TAE</t>
        </is>
      </c>
      <c r="G166" s="8" t="inlineStr">
        <is>
          <t>Expert</t>
        </is>
      </c>
      <c r="H166" s="8" t="n"/>
      <c r="I166" s="8" t="inlineStr">
        <is>
          <t>Expert</t>
        </is>
      </c>
      <c r="J166" s="8" t="n"/>
      <c r="K166" s="8" t="n"/>
      <c r="L166" s="8" t="n"/>
      <c r="M166" s="8" t="n"/>
      <c r="N166" s="8" t="n"/>
      <c r="O166" s="8" t="n"/>
    </row>
    <row r="167" ht="54" customHeight="1">
      <c r="A167" s="14" t="inlineStr">
        <is>
          <t>IRIS Vs Competitor Benchmark — testing managers · informed by Radford codes and SaaS postings</t>
        </is>
      </c>
      <c r="B167" s="8" t="n"/>
      <c r="C167" s="8" t="n"/>
      <c r="D167" s="8" t="n"/>
      <c r="E167" s="8" t="n"/>
      <c r="F167" s="8" t="inlineStr">
        <is>
          <t>QA Manager</t>
        </is>
      </c>
      <c r="G167" s="8" t="inlineStr">
        <is>
          <t>Senior QA Manager</t>
        </is>
      </c>
      <c r="H167" s="8" t="n"/>
      <c r="I167" s="8" t="inlineStr">
        <is>
          <t>Head of Quality</t>
        </is>
      </c>
      <c r="J167" s="8" t="inlineStr">
        <is>
          <t>Director Quality Engineering</t>
        </is>
      </c>
      <c r="K167" s="8" t="n"/>
      <c r="L167" s="8" t="n"/>
      <c r="M167" s="8" t="n"/>
      <c r="N167" s="8" t="n"/>
      <c r="O167" s="8" t="n"/>
    </row>
    <row r="168" ht="15" customHeight="1"/>
    <row r="169" ht="15" customHeight="1">
      <c r="A169" s="61" t="inlineStr">
        <is>
          <t>IRIS Project &amp; Program Management Vs · Standard: PMI PMBOK and Talent Triangle; CAPM · entry → PMP → PgMP; Scrum / SAFe · 1 here</t>
        </is>
      </c>
      <c r="B169" s="64" t="n"/>
      <c r="C169" s="64" t="n"/>
      <c r="D169" s="64" t="n"/>
      <c r="E169" s="64" t="n"/>
      <c r="F169" s="64" t="n"/>
      <c r="G169" s="64" t="n"/>
      <c r="H169" s="64" t="n"/>
      <c r="I169" s="64" t="n"/>
      <c r="J169" s="64" t="n"/>
      <c r="K169" s="64" t="n"/>
      <c r="L169" s="64" t="n"/>
      <c r="M169" s="64" t="n"/>
      <c r="N169" s="64" t="n"/>
      <c r="O169" s="63" t="n"/>
    </row>
    <row r="170" ht="15" customHeight="1">
      <c r="A170" s="76" t="inlineStr">
        <is>
          <t>Ladder / company</t>
        </is>
      </c>
      <c r="B170" s="76" t="inlineStr">
        <is>
          <t>A1</t>
        </is>
      </c>
      <c r="C170" s="76" t="inlineStr">
        <is>
          <t>A2</t>
        </is>
      </c>
      <c r="D170" s="76" t="inlineStr">
        <is>
          <t>A3</t>
        </is>
      </c>
      <c r="E170" s="76" t="inlineStr">
        <is>
          <t>B1</t>
        </is>
      </c>
      <c r="F170" s="76" t="inlineStr">
        <is>
          <t>B2</t>
        </is>
      </c>
      <c r="G170" s="76" t="inlineStr">
        <is>
          <t>B3</t>
        </is>
      </c>
      <c r="H170" s="76" t="inlineStr">
        <is>
          <t>B+</t>
        </is>
      </c>
      <c r="I170" s="76" t="inlineStr">
        <is>
          <t>C1</t>
        </is>
      </c>
      <c r="J170" s="76" t="inlineStr">
        <is>
          <t>C2</t>
        </is>
      </c>
      <c r="K170" s="76" t="inlineStr">
        <is>
          <t>C+</t>
        </is>
      </c>
      <c r="L170" s="76" t="inlineStr">
        <is>
          <t>D1</t>
        </is>
      </c>
      <c r="M170" s="76" t="inlineStr">
        <is>
          <t>D2</t>
        </is>
      </c>
      <c r="N170" s="76" t="inlineStr">
        <is>
          <t>E1</t>
        </is>
      </c>
      <c r="O170" s="76" t="inlineStr">
        <is>
          <t>E2</t>
        </is>
      </c>
    </row>
    <row r="171" ht="54" customHeight="1">
      <c r="A171" s="74" t="inlineStr">
        <is>
          <t>IRIS — IC title</t>
        </is>
      </c>
      <c r="B171" s="42" t="inlineStr">
        <is>
          <t>Intern / Trainee</t>
        </is>
      </c>
      <c r="C171" s="42" t="inlineStr">
        <is>
          <t>Associate</t>
        </is>
      </c>
      <c r="D171" s="42" t="inlineStr">
        <is>
          <t>Senior Associate</t>
        </is>
      </c>
      <c r="E171" s="43" t="inlineStr">
        <is>
          <t>Specialist</t>
        </is>
      </c>
      <c r="F171" s="43" t="inlineStr">
        <is>
          <t>Senior Specialist</t>
        </is>
      </c>
      <c r="G171" s="43" t="inlineStr">
        <is>
          <t>Lead Specialist</t>
        </is>
      </c>
      <c r="H171" s="44" t="inlineStr">
        <is>
          <t>Practice Lead · Player-Coach</t>
        </is>
      </c>
      <c r="I171" s="45" t="inlineStr">
        <is>
          <t>Principal</t>
        </is>
      </c>
      <c r="J171" s="45" t="inlineStr">
        <is>
          <t>Senior Principal / Architect</t>
        </is>
      </c>
      <c r="K171" s="46" t="inlineStr">
        <is>
          <t>Group Head · Player-Coach</t>
        </is>
      </c>
      <c r="L171" s="47" t="inlineStr">
        <is>
          <t>Chief Specialist / Distinguished Principal</t>
        </is>
      </c>
      <c r="M171" s="47" t="inlineStr">
        <is>
          <t>—</t>
        </is>
      </c>
      <c r="N171" s="48" t="inlineStr">
        <is>
          <t>—</t>
        </is>
      </c>
      <c r="O171" s="48" t="inlineStr">
        <is>
          <t>—</t>
        </is>
      </c>
    </row>
    <row r="172" ht="54" customHeight="1">
      <c r="A172" s="74" t="inlineStr">
        <is>
          <t>IRIS — Manager title</t>
        </is>
      </c>
      <c r="B172" s="42" t="n"/>
      <c r="C172" s="42" t="n"/>
      <c r="D172" s="42" t="n"/>
      <c r="E172" s="43" t="inlineStr">
        <is>
          <t>Team Lead</t>
        </is>
      </c>
      <c r="F172" s="43" t="inlineStr">
        <is>
          <t>Manager</t>
        </is>
      </c>
      <c r="G172" s="43" t="inlineStr">
        <is>
          <t>Senior Manager</t>
        </is>
      </c>
      <c r="H172" s="44" t="inlineStr">
        <is>
          <t>Practice Lead · Player-Coach</t>
        </is>
      </c>
      <c r="I172" s="45" t="inlineStr">
        <is>
          <t>Associate Head</t>
        </is>
      </c>
      <c r="J172" s="45" t="inlineStr">
        <is>
          <t>Head of Function</t>
        </is>
      </c>
      <c r="K172" s="46" t="inlineStr">
        <is>
          <t>Group Head · Player-Coach</t>
        </is>
      </c>
      <c r="L172" s="47" t="inlineStr">
        <is>
          <t>Associate Vice President / Business Head</t>
        </is>
      </c>
      <c r="M172" s="47" t="inlineStr">
        <is>
          <t>Vice President</t>
        </is>
      </c>
      <c r="N172" s="48" t="inlineStr">
        <is>
          <t>CXO / President</t>
        </is>
      </c>
      <c r="O172" s="48" t="inlineStr">
        <is>
          <t>Chief Executive Officer</t>
        </is>
      </c>
    </row>
    <row r="173" ht="15" customHeight="1">
      <c r="A173" s="74" t="inlineStr">
        <is>
          <t>IRIS — people at level</t>
        </is>
      </c>
      <c r="B173" s="42" t="n"/>
      <c r="C173" s="42" t="n"/>
      <c r="D173" s="42" t="n"/>
      <c r="E173" s="43" t="n"/>
      <c r="F173" s="43" t="n">
        <v>1</v>
      </c>
      <c r="G173" s="43" t="n"/>
      <c r="H173" s="44" t="n"/>
      <c r="I173" s="45" t="n"/>
      <c r="J173" s="45" t="n"/>
      <c r="K173" s="46" t="n"/>
      <c r="L173" s="47" t="n"/>
      <c r="M173" s="47" t="n"/>
      <c r="N173" s="48" t="n"/>
      <c r="O173" s="48" t="n"/>
    </row>
    <row r="174" ht="41" customHeight="1">
      <c r="A174" s="14" t="inlineStr">
        <is>
          <t>IRIS Vs Competitor Benchmark — PMI pathway + SaaS delivery ladder</t>
        </is>
      </c>
      <c r="B174" s="8" t="n"/>
      <c r="C174" s="8" t="inlineStr">
        <is>
          <t>Project Coordinator · CAPM</t>
        </is>
      </c>
      <c r="D174" s="8" t="inlineStr">
        <is>
          <t>Associate PM</t>
        </is>
      </c>
      <c r="E174" s="8" t="inlineStr">
        <is>
          <t>Project Manager · PMP</t>
        </is>
      </c>
      <c r="F174" s="8" t="inlineStr">
        <is>
          <t>Senior PM</t>
        </is>
      </c>
      <c r="G174" s="8" t="inlineStr">
        <is>
          <t>Program Manager · PgMP</t>
        </is>
      </c>
      <c r="H174" s="8" t="n"/>
      <c r="I174" s="8" t="inlineStr">
        <is>
          <t>Senior Program Manager</t>
        </is>
      </c>
      <c r="J174" s="8" t="inlineStr">
        <is>
          <t>Director PMO / Delivery</t>
        </is>
      </c>
      <c r="K174" s="8" t="n"/>
      <c r="L174" s="8" t="n"/>
      <c r="M174" s="8" t="n"/>
      <c r="N174" s="8" t="n"/>
      <c r="O174" s="8" t="n"/>
    </row>
    <row r="175" ht="54" customHeight="1">
      <c r="A175" s="14" t="inlineStr">
        <is>
          <t>Infosys / Accenture</t>
        </is>
      </c>
      <c r="B175" s="8" t="n"/>
      <c r="C175" s="8" t="n"/>
      <c r="D175" s="8" t="n"/>
      <c r="E175" s="8" t="n"/>
      <c r="F175" s="8" t="n"/>
      <c r="G175" s="8" t="inlineStr">
        <is>
          <t>JL6B Project Manager · L7 Manager</t>
        </is>
      </c>
      <c r="H175" s="8" t="n"/>
      <c r="I175" s="8" t="inlineStr">
        <is>
          <t>JL7 Delivery Manager · L6 Senior Manager</t>
        </is>
      </c>
      <c r="J175" s="8" t="n"/>
      <c r="K175" s="8" t="n"/>
      <c r="L175" s="8" t="n"/>
      <c r="M175" s="8" t="n"/>
      <c r="N175" s="8" t="n"/>
      <c r="O175" s="8" t="n"/>
    </row>
    <row r="176" ht="15" customHeight="1"/>
    <row r="177" ht="20" customHeight="1">
      <c r="A177" s="79" t="inlineStr">
        <is>
          <t>Marketing — 42 people</t>
        </is>
      </c>
    </row>
    <row r="178" ht="15" customHeight="1">
      <c r="A178" s="61" t="inlineStr">
        <is>
          <t>IRIS Marketing &amp; Communications Vs · Standard: CIM Global Professional Marketing Framework — proficiency Aware → Active learner → Able → Accomplished → Authoritative · 23 here</t>
        </is>
      </c>
      <c r="B178" s="64" t="n"/>
      <c r="C178" s="64" t="n"/>
      <c r="D178" s="64" t="n"/>
      <c r="E178" s="64" t="n"/>
      <c r="F178" s="64" t="n"/>
      <c r="G178" s="64" t="n"/>
      <c r="H178" s="64" t="n"/>
      <c r="I178" s="64" t="n"/>
      <c r="J178" s="64" t="n"/>
      <c r="K178" s="64" t="n"/>
      <c r="L178" s="64" t="n"/>
      <c r="M178" s="64" t="n"/>
      <c r="N178" s="64" t="n"/>
      <c r="O178" s="63" t="n"/>
    </row>
    <row r="179" ht="15" customHeight="1">
      <c r="A179" s="76" t="inlineStr">
        <is>
          <t>Ladder / company</t>
        </is>
      </c>
      <c r="B179" s="76" t="inlineStr">
        <is>
          <t>A1</t>
        </is>
      </c>
      <c r="C179" s="76" t="inlineStr">
        <is>
          <t>A2</t>
        </is>
      </c>
      <c r="D179" s="76" t="inlineStr">
        <is>
          <t>A3</t>
        </is>
      </c>
      <c r="E179" s="76" t="inlineStr">
        <is>
          <t>B1</t>
        </is>
      </c>
      <c r="F179" s="76" t="inlineStr">
        <is>
          <t>B2</t>
        </is>
      </c>
      <c r="G179" s="76" t="inlineStr">
        <is>
          <t>B3</t>
        </is>
      </c>
      <c r="H179" s="76" t="inlineStr">
        <is>
          <t>B+</t>
        </is>
      </c>
      <c r="I179" s="76" t="inlineStr">
        <is>
          <t>C1</t>
        </is>
      </c>
      <c r="J179" s="76" t="inlineStr">
        <is>
          <t>C2</t>
        </is>
      </c>
      <c r="K179" s="76" t="inlineStr">
        <is>
          <t>C+</t>
        </is>
      </c>
      <c r="L179" s="76" t="inlineStr">
        <is>
          <t>D1</t>
        </is>
      </c>
      <c r="M179" s="76" t="inlineStr">
        <is>
          <t>D2</t>
        </is>
      </c>
      <c r="N179" s="76" t="inlineStr">
        <is>
          <t>E1</t>
        </is>
      </c>
      <c r="O179" s="76" t="inlineStr">
        <is>
          <t>E2</t>
        </is>
      </c>
    </row>
    <row r="180" ht="54" customHeight="1">
      <c r="A180" s="74" t="inlineStr">
        <is>
          <t>IRIS — IC title</t>
        </is>
      </c>
      <c r="B180" s="42" t="inlineStr">
        <is>
          <t>Intern / Trainee</t>
        </is>
      </c>
      <c r="C180" s="42" t="inlineStr">
        <is>
          <t>Associate</t>
        </is>
      </c>
      <c r="D180" s="42" t="inlineStr">
        <is>
          <t>Senior Associate</t>
        </is>
      </c>
      <c r="E180" s="43" t="inlineStr">
        <is>
          <t>Specialist</t>
        </is>
      </c>
      <c r="F180" s="43" t="inlineStr">
        <is>
          <t>Senior Specialist</t>
        </is>
      </c>
      <c r="G180" s="43" t="inlineStr">
        <is>
          <t>Lead Specialist</t>
        </is>
      </c>
      <c r="H180" s="44" t="inlineStr">
        <is>
          <t>Practice Lead · Player-Coach</t>
        </is>
      </c>
      <c r="I180" s="45" t="inlineStr">
        <is>
          <t>Principal</t>
        </is>
      </c>
      <c r="J180" s="45" t="inlineStr">
        <is>
          <t>Senior Principal / Architect</t>
        </is>
      </c>
      <c r="K180" s="46" t="inlineStr">
        <is>
          <t>Group Head · Player-Coach</t>
        </is>
      </c>
      <c r="L180" s="47" t="inlineStr">
        <is>
          <t>Chief Specialist / Distinguished Principal</t>
        </is>
      </c>
      <c r="M180" s="47" t="inlineStr">
        <is>
          <t>—</t>
        </is>
      </c>
      <c r="N180" s="48" t="inlineStr">
        <is>
          <t>—</t>
        </is>
      </c>
      <c r="O180" s="48" t="inlineStr">
        <is>
          <t>—</t>
        </is>
      </c>
    </row>
    <row r="181" ht="54" customHeight="1">
      <c r="A181" s="74" t="inlineStr">
        <is>
          <t>IRIS — Manager title</t>
        </is>
      </c>
      <c r="B181" s="42" t="n"/>
      <c r="C181" s="42" t="n"/>
      <c r="D181" s="42" t="n"/>
      <c r="E181" s="43" t="inlineStr">
        <is>
          <t>Team Lead</t>
        </is>
      </c>
      <c r="F181" s="43" t="inlineStr">
        <is>
          <t>Manager</t>
        </is>
      </c>
      <c r="G181" s="43" t="inlineStr">
        <is>
          <t>Senior Manager</t>
        </is>
      </c>
      <c r="H181" s="44" t="inlineStr">
        <is>
          <t>Practice Lead · Player-Coach</t>
        </is>
      </c>
      <c r="I181" s="45" t="inlineStr">
        <is>
          <t>Associate Head</t>
        </is>
      </c>
      <c r="J181" s="45" t="inlineStr">
        <is>
          <t>Head of Function</t>
        </is>
      </c>
      <c r="K181" s="46" t="inlineStr">
        <is>
          <t>Group Head · Player-Coach</t>
        </is>
      </c>
      <c r="L181" s="47" t="inlineStr">
        <is>
          <t>Associate Vice President / Business Head</t>
        </is>
      </c>
      <c r="M181" s="47" t="inlineStr">
        <is>
          <t>Vice President</t>
        </is>
      </c>
      <c r="N181" s="48" t="inlineStr">
        <is>
          <t>CXO / President</t>
        </is>
      </c>
      <c r="O181" s="48" t="inlineStr">
        <is>
          <t>Chief Executive Officer</t>
        </is>
      </c>
    </row>
    <row r="182" ht="15" customHeight="1">
      <c r="A182" s="74" t="inlineStr">
        <is>
          <t>IRIS — people at level</t>
        </is>
      </c>
      <c r="B182" s="42" t="n"/>
      <c r="C182" s="42" t="n">
        <v>9</v>
      </c>
      <c r="D182" s="42" t="n">
        <v>7</v>
      </c>
      <c r="E182" s="43" t="n">
        <v>1</v>
      </c>
      <c r="F182" s="43" t="n">
        <v>4</v>
      </c>
      <c r="G182" s="43" t="n">
        <v>1</v>
      </c>
      <c r="H182" s="44" t="n"/>
      <c r="I182" s="45" t="n"/>
      <c r="J182" s="45" t="n"/>
      <c r="K182" s="46" t="n"/>
      <c r="L182" s="47" t="n"/>
      <c r="M182" s="47" t="n"/>
      <c r="N182" s="48" t="n"/>
      <c r="O182" s="48" t="n"/>
    </row>
    <row r="183" ht="54" customHeight="1">
      <c r="A183" s="14" t="inlineStr">
        <is>
          <t>IRIS Vs Market Benchmark — CIM proficiency scale · CIM sets the scale, not the level match</t>
        </is>
      </c>
      <c r="B183" s="8" t="inlineStr">
        <is>
          <t>1 Aware</t>
        </is>
      </c>
      <c r="C183" s="8" t="inlineStr">
        <is>
          <t>2 Active learner</t>
        </is>
      </c>
      <c r="D183" s="8" t="inlineStr">
        <is>
          <t>2–3</t>
        </is>
      </c>
      <c r="E183" s="8" t="inlineStr">
        <is>
          <t>3 Able</t>
        </is>
      </c>
      <c r="F183" s="8" t="inlineStr">
        <is>
          <t>3–4</t>
        </is>
      </c>
      <c r="G183" s="8" t="inlineStr">
        <is>
          <t>4 Accomplished</t>
        </is>
      </c>
      <c r="H183" s="8" t="n"/>
      <c r="I183" s="8" t="inlineStr">
        <is>
          <t>4</t>
        </is>
      </c>
      <c r="J183" s="8" t="inlineStr">
        <is>
          <t>5 Authoritative</t>
        </is>
      </c>
      <c r="K183" s="8" t="n"/>
      <c r="L183" s="8" t="n"/>
      <c r="M183" s="8" t="n"/>
      <c r="N183" s="8" t="n"/>
      <c r="O183" s="8" t="n"/>
    </row>
    <row r="184" ht="41" customHeight="1">
      <c r="A184" s="14" t="inlineStr">
        <is>
          <t>IRIS Vs Competitor Benchmark — SaaS marketing ladder · informed by Radford codes</t>
        </is>
      </c>
      <c r="B184" s="8" t="n"/>
      <c r="C184" s="8" t="inlineStr">
        <is>
          <t>Marketing Associate</t>
        </is>
      </c>
      <c r="D184" s="8" t="inlineStr">
        <is>
          <t>Marketing Specialist</t>
        </is>
      </c>
      <c r="E184" s="8" t="inlineStr">
        <is>
          <t>Senior Marketing Specialist</t>
        </is>
      </c>
      <c r="F184" s="8" t="inlineStr">
        <is>
          <t>Marketing Manager</t>
        </is>
      </c>
      <c r="G184" s="8" t="inlineStr">
        <is>
          <t>Senior Marketing Manager</t>
        </is>
      </c>
      <c r="H184" s="8" t="n"/>
      <c r="I184" s="8" t="inlineStr">
        <is>
          <t>Head of Marketing · function</t>
        </is>
      </c>
      <c r="J184" s="8" t="inlineStr">
        <is>
          <t>Director of Marketing</t>
        </is>
      </c>
      <c r="K184" s="8" t="n"/>
      <c r="L184" s="8" t="inlineStr">
        <is>
          <t>VP Marketing</t>
        </is>
      </c>
      <c r="M184" s="8" t="n"/>
      <c r="N184" s="8" t="inlineStr">
        <is>
          <t>CMO</t>
        </is>
      </c>
      <c r="O184" s="8" t="n"/>
    </row>
    <row r="185" ht="15" customHeight="1"/>
    <row r="186" ht="15" customHeight="1">
      <c r="A186" s="61" t="inlineStr">
        <is>
          <t>IRIS Sales &amp; Business Development Vs · Standard: SaaS sales ladder · SDR → AE → Enterprise AE → VP / CRO; MEDDICC-style qualification · 15 here</t>
        </is>
      </c>
      <c r="B186" s="64" t="n"/>
      <c r="C186" s="64" t="n"/>
      <c r="D186" s="64" t="n"/>
      <c r="E186" s="64" t="n"/>
      <c r="F186" s="64" t="n"/>
      <c r="G186" s="64" t="n"/>
      <c r="H186" s="64" t="n"/>
      <c r="I186" s="64" t="n"/>
      <c r="J186" s="64" t="n"/>
      <c r="K186" s="64" t="n"/>
      <c r="L186" s="64" t="n"/>
      <c r="M186" s="64" t="n"/>
      <c r="N186" s="64" t="n"/>
      <c r="O186" s="63" t="n"/>
    </row>
    <row r="187" ht="15" customHeight="1">
      <c r="A187" s="76" t="inlineStr">
        <is>
          <t>Ladder / company</t>
        </is>
      </c>
      <c r="B187" s="76" t="inlineStr">
        <is>
          <t>A1</t>
        </is>
      </c>
      <c r="C187" s="76" t="inlineStr">
        <is>
          <t>A2</t>
        </is>
      </c>
      <c r="D187" s="76" t="inlineStr">
        <is>
          <t>A3</t>
        </is>
      </c>
      <c r="E187" s="76" t="inlineStr">
        <is>
          <t>B1</t>
        </is>
      </c>
      <c r="F187" s="76" t="inlineStr">
        <is>
          <t>B2</t>
        </is>
      </c>
      <c r="G187" s="76" t="inlineStr">
        <is>
          <t>B3</t>
        </is>
      </c>
      <c r="H187" s="76" t="inlineStr">
        <is>
          <t>B+</t>
        </is>
      </c>
      <c r="I187" s="76" t="inlineStr">
        <is>
          <t>C1</t>
        </is>
      </c>
      <c r="J187" s="76" t="inlineStr">
        <is>
          <t>C2</t>
        </is>
      </c>
      <c r="K187" s="76" t="inlineStr">
        <is>
          <t>C+</t>
        </is>
      </c>
      <c r="L187" s="76" t="inlineStr">
        <is>
          <t>D1</t>
        </is>
      </c>
      <c r="M187" s="76" t="inlineStr">
        <is>
          <t>D2</t>
        </is>
      </c>
      <c r="N187" s="76" t="inlineStr">
        <is>
          <t>E1</t>
        </is>
      </c>
      <c r="O187" s="76" t="inlineStr">
        <is>
          <t>E2</t>
        </is>
      </c>
    </row>
    <row r="188" ht="54" customHeight="1">
      <c r="A188" s="74" t="inlineStr">
        <is>
          <t>IRIS — IC title</t>
        </is>
      </c>
      <c r="B188" s="42" t="inlineStr">
        <is>
          <t>Intern / Trainee</t>
        </is>
      </c>
      <c r="C188" s="42" t="inlineStr">
        <is>
          <t>Associate</t>
        </is>
      </c>
      <c r="D188" s="42" t="inlineStr">
        <is>
          <t>Senior Associate</t>
        </is>
      </c>
      <c r="E188" s="43" t="inlineStr">
        <is>
          <t>Specialist</t>
        </is>
      </c>
      <c r="F188" s="43" t="inlineStr">
        <is>
          <t>Senior Specialist</t>
        </is>
      </c>
      <c r="G188" s="43" t="inlineStr">
        <is>
          <t>Lead Specialist</t>
        </is>
      </c>
      <c r="H188" s="44" t="inlineStr">
        <is>
          <t>Practice Lead · Player-Coach</t>
        </is>
      </c>
      <c r="I188" s="45" t="inlineStr">
        <is>
          <t>Principal</t>
        </is>
      </c>
      <c r="J188" s="45" t="inlineStr">
        <is>
          <t>Senior Principal / Architect</t>
        </is>
      </c>
      <c r="K188" s="46" t="inlineStr">
        <is>
          <t>Group Head · Player-Coach</t>
        </is>
      </c>
      <c r="L188" s="47" t="inlineStr">
        <is>
          <t>Chief Specialist / Distinguished Principal</t>
        </is>
      </c>
      <c r="M188" s="47" t="inlineStr">
        <is>
          <t>—</t>
        </is>
      </c>
      <c r="N188" s="48" t="inlineStr">
        <is>
          <t>—</t>
        </is>
      </c>
      <c r="O188" s="48" t="inlineStr">
        <is>
          <t>—</t>
        </is>
      </c>
    </row>
    <row r="189" ht="54" customHeight="1">
      <c r="A189" s="74" t="inlineStr">
        <is>
          <t>IRIS — Manager title</t>
        </is>
      </c>
      <c r="B189" s="42" t="n"/>
      <c r="C189" s="42" t="n"/>
      <c r="D189" s="42" t="n"/>
      <c r="E189" s="43" t="inlineStr">
        <is>
          <t>Team Lead</t>
        </is>
      </c>
      <c r="F189" s="43" t="inlineStr">
        <is>
          <t>Manager</t>
        </is>
      </c>
      <c r="G189" s="43" t="inlineStr">
        <is>
          <t>Senior Manager</t>
        </is>
      </c>
      <c r="H189" s="44" t="inlineStr">
        <is>
          <t>Practice Lead · Player-Coach</t>
        </is>
      </c>
      <c r="I189" s="45" t="inlineStr">
        <is>
          <t>Associate Head</t>
        </is>
      </c>
      <c r="J189" s="45" t="inlineStr">
        <is>
          <t>Head of Function</t>
        </is>
      </c>
      <c r="K189" s="46" t="inlineStr">
        <is>
          <t>Group Head · Player-Coach</t>
        </is>
      </c>
      <c r="L189" s="47" t="inlineStr">
        <is>
          <t>Associate Vice President / Business Head</t>
        </is>
      </c>
      <c r="M189" s="47" t="inlineStr">
        <is>
          <t>Vice President</t>
        </is>
      </c>
      <c r="N189" s="48" t="inlineStr">
        <is>
          <t>CXO / President</t>
        </is>
      </c>
      <c r="O189" s="48" t="inlineStr">
        <is>
          <t>Chief Executive Officer</t>
        </is>
      </c>
    </row>
    <row r="190" ht="15" customHeight="1">
      <c r="A190" s="74" t="inlineStr">
        <is>
          <t>IRIS — people at level</t>
        </is>
      </c>
      <c r="B190" s="42" t="n">
        <v>3</v>
      </c>
      <c r="C190" s="42" t="n">
        <v>5</v>
      </c>
      <c r="D190" s="42" t="n">
        <v>3</v>
      </c>
      <c r="E190" s="43" t="n">
        <v>3</v>
      </c>
      <c r="F190" s="43" t="n">
        <v>1</v>
      </c>
      <c r="G190" s="43" t="n"/>
      <c r="H190" s="44" t="n"/>
      <c r="I190" s="45" t="n"/>
      <c r="J190" s="45" t="n"/>
      <c r="K190" s="46" t="n"/>
      <c r="L190" s="47" t="n"/>
      <c r="M190" s="47" t="n"/>
      <c r="N190" s="48" t="n"/>
      <c r="O190" s="48" t="n"/>
    </row>
    <row r="191" ht="54" customHeight="1">
      <c r="A191" s="14" t="inlineStr">
        <is>
          <t>IRIS Vs Competitor Benchmark — SaaS sales ladder — IC · informed by SaaStr and title guides, C16</t>
        </is>
      </c>
      <c r="B191" s="8" t="n"/>
      <c r="C191" s="8" t="inlineStr">
        <is>
          <t>SDR / BDR</t>
        </is>
      </c>
      <c r="D191" s="8" t="inlineStr">
        <is>
          <t>Senior SDR</t>
        </is>
      </c>
      <c r="E191" s="8" t="inlineStr">
        <is>
          <t>Account Executive · SMB</t>
        </is>
      </c>
      <c r="F191" s="8" t="inlineStr">
        <is>
          <t>Mid-Market AE</t>
        </is>
      </c>
      <c r="G191" s="8" t="inlineStr">
        <is>
          <t>Enterprise AE</t>
        </is>
      </c>
      <c r="H191" s="8" t="n"/>
      <c r="I191" s="8" t="inlineStr">
        <is>
          <t>Strategic / Principal AE</t>
        </is>
      </c>
      <c r="J191" s="8" t="n"/>
      <c r="K191" s="8" t="n"/>
      <c r="L191" s="8" t="n"/>
      <c r="M191" s="8" t="n"/>
      <c r="N191" s="8" t="n"/>
      <c r="O191" s="8" t="n"/>
    </row>
    <row r="192" ht="54" customHeight="1">
      <c r="A192" s="14" t="inlineStr">
        <is>
          <t>Job postings: player-coach sales leaders</t>
        </is>
      </c>
      <c r="B192" s="8" t="n"/>
      <c r="C192" s="8" t="n"/>
      <c r="D192" s="8" t="n"/>
      <c r="E192" s="8" t="n"/>
      <c r="F192" s="8" t="n"/>
      <c r="G192" s="8" t="n"/>
      <c r="H192" s="8" t="inlineStr">
        <is>
          <t>Sales Lead — Player/Coach · carries quota</t>
        </is>
      </c>
      <c r="I192" s="8" t="n"/>
      <c r="J192" s="8" t="n"/>
      <c r="K192" s="8" t="inlineStr">
        <is>
          <t>Head of Revenue — Player/Coach</t>
        </is>
      </c>
      <c r="L192" s="8" t="n"/>
      <c r="M192" s="8" t="n"/>
      <c r="N192" s="8" t="n"/>
      <c r="O192" s="8" t="n"/>
    </row>
    <row r="193" ht="54" customHeight="1">
      <c r="A193" s="14" t="inlineStr">
        <is>
          <t>IRIS Vs Competitor Benchmark — SaaS sales ladder — management · informed by title guides, C16</t>
        </is>
      </c>
      <c r="B193" s="8" t="n"/>
      <c r="C193" s="8" t="n"/>
      <c r="D193" s="8" t="n"/>
      <c r="E193" s="8" t="inlineStr">
        <is>
          <t>SDR Team Lead</t>
        </is>
      </c>
      <c r="F193" s="8" t="inlineStr">
        <is>
          <t>Sales Manager</t>
        </is>
      </c>
      <c r="G193" s="8" t="inlineStr">
        <is>
          <t>Senior Sales Manager</t>
        </is>
      </c>
      <c r="H193" s="8" t="n"/>
      <c r="I193" s="8" t="inlineStr">
        <is>
          <t>Regional Sales Head</t>
        </is>
      </c>
      <c r="J193" s="8" t="inlineStr">
        <is>
          <t>Director of Sales</t>
        </is>
      </c>
      <c r="K193" s="8" t="n"/>
      <c r="L193" s="8" t="inlineStr">
        <is>
          <t>VP Sales</t>
        </is>
      </c>
      <c r="M193" s="8" t="inlineStr">
        <is>
          <t>SVP Sales</t>
        </is>
      </c>
      <c r="N193" s="8" t="inlineStr">
        <is>
          <t>Chief Revenue Officer</t>
        </is>
      </c>
      <c r="O193" s="8" t="n"/>
    </row>
    <row r="194" ht="15" customHeight="1"/>
    <row r="195" ht="15" customHeight="1">
      <c r="A195" s="61" t="inlineStr">
        <is>
          <t>IRIS Design &amp; Creative Vs · Standard: UX career ladder Junior → Designer → Senior → Lead → Principal; WCAG accessibility · 4 here</t>
        </is>
      </c>
      <c r="B195" s="64" t="n"/>
      <c r="C195" s="64" t="n"/>
      <c r="D195" s="64" t="n"/>
      <c r="E195" s="64" t="n"/>
      <c r="F195" s="64" t="n"/>
      <c r="G195" s="64" t="n"/>
      <c r="H195" s="64" t="n"/>
      <c r="I195" s="64" t="n"/>
      <c r="J195" s="64" t="n"/>
      <c r="K195" s="64" t="n"/>
      <c r="L195" s="64" t="n"/>
      <c r="M195" s="64" t="n"/>
      <c r="N195" s="64" t="n"/>
      <c r="O195" s="63" t="n"/>
    </row>
    <row r="196" ht="15" customHeight="1">
      <c r="A196" s="76" t="inlineStr">
        <is>
          <t>Ladder / company</t>
        </is>
      </c>
      <c r="B196" s="76" t="inlineStr">
        <is>
          <t>A1</t>
        </is>
      </c>
      <c r="C196" s="76" t="inlineStr">
        <is>
          <t>A2</t>
        </is>
      </c>
      <c r="D196" s="76" t="inlineStr">
        <is>
          <t>A3</t>
        </is>
      </c>
      <c r="E196" s="76" t="inlineStr">
        <is>
          <t>B1</t>
        </is>
      </c>
      <c r="F196" s="76" t="inlineStr">
        <is>
          <t>B2</t>
        </is>
      </c>
      <c r="G196" s="76" t="inlineStr">
        <is>
          <t>B3</t>
        </is>
      </c>
      <c r="H196" s="76" t="inlineStr">
        <is>
          <t>B+</t>
        </is>
      </c>
      <c r="I196" s="76" t="inlineStr">
        <is>
          <t>C1</t>
        </is>
      </c>
      <c r="J196" s="76" t="inlineStr">
        <is>
          <t>C2</t>
        </is>
      </c>
      <c r="K196" s="76" t="inlineStr">
        <is>
          <t>C+</t>
        </is>
      </c>
      <c r="L196" s="76" t="inlineStr">
        <is>
          <t>D1</t>
        </is>
      </c>
      <c r="M196" s="76" t="inlineStr">
        <is>
          <t>D2</t>
        </is>
      </c>
      <c r="N196" s="76" t="inlineStr">
        <is>
          <t>E1</t>
        </is>
      </c>
      <c r="O196" s="76" t="inlineStr">
        <is>
          <t>E2</t>
        </is>
      </c>
    </row>
    <row r="197" ht="54" customHeight="1">
      <c r="A197" s="74" t="inlineStr">
        <is>
          <t>IRIS — IC title</t>
        </is>
      </c>
      <c r="B197" s="42" t="inlineStr">
        <is>
          <t>Intern / Trainee</t>
        </is>
      </c>
      <c r="C197" s="42" t="inlineStr">
        <is>
          <t>Associate</t>
        </is>
      </c>
      <c r="D197" s="42" t="inlineStr">
        <is>
          <t>Senior Associate</t>
        </is>
      </c>
      <c r="E197" s="43" t="inlineStr">
        <is>
          <t>Specialist</t>
        </is>
      </c>
      <c r="F197" s="43" t="inlineStr">
        <is>
          <t>Senior Specialist</t>
        </is>
      </c>
      <c r="G197" s="43" t="inlineStr">
        <is>
          <t>Lead Specialist</t>
        </is>
      </c>
      <c r="H197" s="44" t="inlineStr">
        <is>
          <t>Practice Lead · Player-Coach</t>
        </is>
      </c>
      <c r="I197" s="45" t="inlineStr">
        <is>
          <t>Principal</t>
        </is>
      </c>
      <c r="J197" s="45" t="inlineStr">
        <is>
          <t>Senior Principal / Architect</t>
        </is>
      </c>
      <c r="K197" s="46" t="inlineStr">
        <is>
          <t>Group Head · Player-Coach</t>
        </is>
      </c>
      <c r="L197" s="47" t="inlineStr">
        <is>
          <t>Chief Specialist / Distinguished Principal</t>
        </is>
      </c>
      <c r="M197" s="47" t="inlineStr">
        <is>
          <t>—</t>
        </is>
      </c>
      <c r="N197" s="48" t="inlineStr">
        <is>
          <t>—</t>
        </is>
      </c>
      <c r="O197" s="48" t="inlineStr">
        <is>
          <t>—</t>
        </is>
      </c>
    </row>
    <row r="198" ht="54" customHeight="1">
      <c r="A198" s="74" t="inlineStr">
        <is>
          <t>IRIS — Manager title</t>
        </is>
      </c>
      <c r="B198" s="42" t="n"/>
      <c r="C198" s="42" t="n"/>
      <c r="D198" s="42" t="n"/>
      <c r="E198" s="43" t="inlineStr">
        <is>
          <t>Team Lead</t>
        </is>
      </c>
      <c r="F198" s="43" t="inlineStr">
        <is>
          <t>Manager</t>
        </is>
      </c>
      <c r="G198" s="43" t="inlineStr">
        <is>
          <t>Senior Manager</t>
        </is>
      </c>
      <c r="H198" s="44" t="inlineStr">
        <is>
          <t>Practice Lead · Player-Coach</t>
        </is>
      </c>
      <c r="I198" s="45" t="inlineStr">
        <is>
          <t>Associate Head</t>
        </is>
      </c>
      <c r="J198" s="45" t="inlineStr">
        <is>
          <t>Head of Function</t>
        </is>
      </c>
      <c r="K198" s="46" t="inlineStr">
        <is>
          <t>Group Head · Player-Coach</t>
        </is>
      </c>
      <c r="L198" s="47" t="inlineStr">
        <is>
          <t>Associate Vice President / Business Head</t>
        </is>
      </c>
      <c r="M198" s="47" t="inlineStr">
        <is>
          <t>Vice President</t>
        </is>
      </c>
      <c r="N198" s="48" t="inlineStr">
        <is>
          <t>CXO / President</t>
        </is>
      </c>
      <c r="O198" s="48" t="inlineStr">
        <is>
          <t>Chief Executive Officer</t>
        </is>
      </c>
    </row>
    <row r="199" ht="15" customHeight="1">
      <c r="A199" s="74" t="inlineStr">
        <is>
          <t>IRIS — people at level</t>
        </is>
      </c>
      <c r="B199" s="42" t="n"/>
      <c r="C199" s="42" t="n">
        <v>1</v>
      </c>
      <c r="D199" s="42" t="n">
        <v>2</v>
      </c>
      <c r="E199" s="43" t="n">
        <v>1</v>
      </c>
      <c r="F199" s="43" t="n"/>
      <c r="G199" s="43" t="n"/>
      <c r="H199" s="44" t="n"/>
      <c r="I199" s="45" t="n"/>
      <c r="J199" s="45" t="n"/>
      <c r="K199" s="46" t="n"/>
      <c r="L199" s="47" t="n"/>
      <c r="M199" s="47" t="n"/>
      <c r="N199" s="48" t="n"/>
      <c r="O199" s="48" t="n"/>
    </row>
    <row r="200" ht="41" customHeight="1">
      <c r="A200" s="14" t="inlineStr">
        <is>
          <t>IRIS Vs Competitor Benchmark — UX / design ladder · informed by a UX career-ladder guide</t>
        </is>
      </c>
      <c r="B200" s="8" t="n"/>
      <c r="C200" s="8" t="inlineStr">
        <is>
          <t>Junior Designer</t>
        </is>
      </c>
      <c r="D200" s="8" t="inlineStr">
        <is>
          <t>Designer</t>
        </is>
      </c>
      <c r="E200" s="8" t="inlineStr">
        <is>
          <t>UX Designer</t>
        </is>
      </c>
      <c r="F200" s="8" t="inlineStr">
        <is>
          <t>Senior Designer</t>
        </is>
      </c>
      <c r="G200" s="8" t="inlineStr">
        <is>
          <t>Lead Designer</t>
        </is>
      </c>
      <c r="H200" s="8" t="n"/>
      <c r="I200" s="8" t="inlineStr">
        <is>
          <t>Principal Designer</t>
        </is>
      </c>
      <c r="J200" s="8" t="inlineStr">
        <is>
          <t>Design Director</t>
        </is>
      </c>
      <c r="K200" s="8" t="n"/>
      <c r="L200" s="8" t="n"/>
      <c r="M200" s="8" t="n"/>
      <c r="N200" s="8" t="n"/>
      <c r="O200" s="8" t="n"/>
    </row>
    <row r="201" ht="15" customHeight="1"/>
    <row r="202" ht="20" customHeight="1">
      <c r="A202" s="79" t="inlineStr">
        <is>
          <t>Quality Assurance — 36 people</t>
        </is>
      </c>
    </row>
    <row r="203" ht="15" customHeight="1">
      <c r="A203" s="61" t="inlineStr">
        <is>
          <t>IRIS Quality Assurance Vs · Standard: ISTQB Foundation → Advanced → Expert; SFIA testing · 36 here</t>
        </is>
      </c>
      <c r="B203" s="64" t="n"/>
      <c r="C203" s="64" t="n"/>
      <c r="D203" s="64" t="n"/>
      <c r="E203" s="64" t="n"/>
      <c r="F203" s="64" t="n"/>
      <c r="G203" s="64" t="n"/>
      <c r="H203" s="64" t="n"/>
      <c r="I203" s="64" t="n"/>
      <c r="J203" s="64" t="n"/>
      <c r="K203" s="64" t="n"/>
      <c r="L203" s="64" t="n"/>
      <c r="M203" s="64" t="n"/>
      <c r="N203" s="64" t="n"/>
      <c r="O203" s="63" t="n"/>
    </row>
    <row r="204" ht="15" customHeight="1">
      <c r="A204" s="76" t="inlineStr">
        <is>
          <t>Ladder / company</t>
        </is>
      </c>
      <c r="B204" s="76" t="inlineStr">
        <is>
          <t>A1</t>
        </is>
      </c>
      <c r="C204" s="76" t="inlineStr">
        <is>
          <t>A2</t>
        </is>
      </c>
      <c r="D204" s="76" t="inlineStr">
        <is>
          <t>A3</t>
        </is>
      </c>
      <c r="E204" s="76" t="inlineStr">
        <is>
          <t>B1</t>
        </is>
      </c>
      <c r="F204" s="76" t="inlineStr">
        <is>
          <t>B2</t>
        </is>
      </c>
      <c r="G204" s="76" t="inlineStr">
        <is>
          <t>B3</t>
        </is>
      </c>
      <c r="H204" s="76" t="inlineStr">
        <is>
          <t>B+</t>
        </is>
      </c>
      <c r="I204" s="76" t="inlineStr">
        <is>
          <t>C1</t>
        </is>
      </c>
      <c r="J204" s="76" t="inlineStr">
        <is>
          <t>C2</t>
        </is>
      </c>
      <c r="K204" s="76" t="inlineStr">
        <is>
          <t>C+</t>
        </is>
      </c>
      <c r="L204" s="76" t="inlineStr">
        <is>
          <t>D1</t>
        </is>
      </c>
      <c r="M204" s="76" t="inlineStr">
        <is>
          <t>D2</t>
        </is>
      </c>
      <c r="N204" s="76" t="inlineStr">
        <is>
          <t>E1</t>
        </is>
      </c>
      <c r="O204" s="76" t="inlineStr">
        <is>
          <t>E2</t>
        </is>
      </c>
    </row>
    <row r="205" ht="54" customHeight="1">
      <c r="A205" s="74" t="inlineStr">
        <is>
          <t>IRIS — IC title</t>
        </is>
      </c>
      <c r="B205" s="42" t="inlineStr">
        <is>
          <t>Intern / Trainee</t>
        </is>
      </c>
      <c r="C205" s="42" t="inlineStr">
        <is>
          <t>Associate</t>
        </is>
      </c>
      <c r="D205" s="42" t="inlineStr">
        <is>
          <t>Senior Associate</t>
        </is>
      </c>
      <c r="E205" s="43" t="inlineStr">
        <is>
          <t>Specialist</t>
        </is>
      </c>
      <c r="F205" s="43" t="inlineStr">
        <is>
          <t>Senior Specialist</t>
        </is>
      </c>
      <c r="G205" s="43" t="inlineStr">
        <is>
          <t>Lead Specialist</t>
        </is>
      </c>
      <c r="H205" s="44" t="inlineStr">
        <is>
          <t>Practice Lead · Player-Coach</t>
        </is>
      </c>
      <c r="I205" s="45" t="inlineStr">
        <is>
          <t>Principal</t>
        </is>
      </c>
      <c r="J205" s="45" t="inlineStr">
        <is>
          <t>Senior Principal / Architect</t>
        </is>
      </c>
      <c r="K205" s="46" t="inlineStr">
        <is>
          <t>Group Head · Player-Coach</t>
        </is>
      </c>
      <c r="L205" s="47" t="inlineStr">
        <is>
          <t>Chief Specialist / Distinguished Principal</t>
        </is>
      </c>
      <c r="M205" s="47" t="inlineStr">
        <is>
          <t>—</t>
        </is>
      </c>
      <c r="N205" s="48" t="inlineStr">
        <is>
          <t>—</t>
        </is>
      </c>
      <c r="O205" s="48" t="inlineStr">
        <is>
          <t>—</t>
        </is>
      </c>
    </row>
    <row r="206" ht="54" customHeight="1">
      <c r="A206" s="74" t="inlineStr">
        <is>
          <t>IRIS — Manager title</t>
        </is>
      </c>
      <c r="B206" s="42" t="n"/>
      <c r="C206" s="42" t="n"/>
      <c r="D206" s="42" t="n"/>
      <c r="E206" s="43" t="inlineStr">
        <is>
          <t>Team Lead</t>
        </is>
      </c>
      <c r="F206" s="43" t="inlineStr">
        <is>
          <t>Manager</t>
        </is>
      </c>
      <c r="G206" s="43" t="inlineStr">
        <is>
          <t>Senior Manager</t>
        </is>
      </c>
      <c r="H206" s="44" t="inlineStr">
        <is>
          <t>Practice Lead · Player-Coach</t>
        </is>
      </c>
      <c r="I206" s="45" t="inlineStr">
        <is>
          <t>Associate Head</t>
        </is>
      </c>
      <c r="J206" s="45" t="inlineStr">
        <is>
          <t>Head of Function</t>
        </is>
      </c>
      <c r="K206" s="46" t="inlineStr">
        <is>
          <t>Group Head · Player-Coach</t>
        </is>
      </c>
      <c r="L206" s="47" t="inlineStr">
        <is>
          <t>Associate Vice President / Business Head</t>
        </is>
      </c>
      <c r="M206" s="47" t="inlineStr">
        <is>
          <t>Vice President</t>
        </is>
      </c>
      <c r="N206" s="48" t="inlineStr">
        <is>
          <t>CXO / President</t>
        </is>
      </c>
      <c r="O206" s="48" t="inlineStr">
        <is>
          <t>Chief Executive Officer</t>
        </is>
      </c>
    </row>
    <row r="207" ht="15" customHeight="1">
      <c r="A207" s="74" t="inlineStr">
        <is>
          <t>IRIS — people at level</t>
        </is>
      </c>
      <c r="B207" s="42" t="n">
        <v>3</v>
      </c>
      <c r="C207" s="42" t="n">
        <v>1</v>
      </c>
      <c r="D207" s="42" t="n">
        <v>25</v>
      </c>
      <c r="E207" s="43" t="n">
        <v>4</v>
      </c>
      <c r="F207" s="43" t="n">
        <v>3</v>
      </c>
      <c r="G207" s="43" t="n"/>
      <c r="H207" s="44" t="n"/>
      <c r="I207" s="45" t="n"/>
      <c r="J207" s="45" t="n"/>
      <c r="K207" s="46" t="n"/>
      <c r="L207" s="47" t="n"/>
      <c r="M207" s="47" t="n"/>
      <c r="N207" s="48" t="n"/>
      <c r="O207" s="48" t="n"/>
    </row>
    <row r="208" ht="28" customHeight="1">
      <c r="A208" s="14" t="inlineStr">
        <is>
          <t>Workiva — QA follows the engineering ladder</t>
        </is>
      </c>
      <c r="B208" s="8" t="n"/>
      <c r="C208" s="8" t="inlineStr">
        <is>
          <t>Associate SE</t>
        </is>
      </c>
      <c r="D208" s="8" t="inlineStr">
        <is>
          <t>SE</t>
        </is>
      </c>
      <c r="E208" s="8" t="inlineStr">
        <is>
          <t>SE / Senior SE</t>
        </is>
      </c>
      <c r="F208" s="8" t="inlineStr">
        <is>
          <t>Senior SE</t>
        </is>
      </c>
      <c r="G208" s="8" t="inlineStr">
        <is>
          <t>Staff SE</t>
        </is>
      </c>
      <c r="H208" s="8" t="n"/>
      <c r="I208" s="8" t="n"/>
      <c r="J208" s="8" t="n"/>
      <c r="K208" s="8" t="n"/>
      <c r="L208" s="8" t="n"/>
      <c r="M208" s="8" t="n"/>
      <c r="N208" s="8" t="n"/>
      <c r="O208" s="8" t="n"/>
    </row>
    <row r="209" ht="28" customHeight="1">
      <c r="A209" s="14" t="inlineStr">
        <is>
          <t>Broadridge India — QA follows the engineering ladder</t>
        </is>
      </c>
      <c r="B209" s="8" t="n"/>
      <c r="C209" s="8" t="inlineStr">
        <is>
          <t>SE</t>
        </is>
      </c>
      <c r="D209" s="8" t="inlineStr">
        <is>
          <t>SE</t>
        </is>
      </c>
      <c r="E209" s="8" t="inlineStr">
        <is>
          <t>Senior SE</t>
        </is>
      </c>
      <c r="F209" s="8" t="inlineStr">
        <is>
          <t>Lead SE</t>
        </is>
      </c>
      <c r="G209" s="8" t="inlineStr">
        <is>
          <t>Senior Lead SE</t>
        </is>
      </c>
      <c r="H209" s="8" t="n"/>
      <c r="I209" s="8" t="n"/>
      <c r="J209" s="8" t="n"/>
      <c r="K209" s="8" t="n"/>
      <c r="L209" s="8" t="n"/>
      <c r="M209" s="8" t="n"/>
      <c r="N209" s="8" t="n"/>
      <c r="O209" s="8" t="n"/>
    </row>
    <row r="210" ht="28" customHeight="1">
      <c r="A210" s="14" t="inlineStr">
        <is>
          <t>Nasdaq / AxiomSL — QA follows the engineering ladder</t>
        </is>
      </c>
      <c r="B210" s="8" t="n"/>
      <c r="C210" s="8" t="inlineStr">
        <is>
          <t>SE</t>
        </is>
      </c>
      <c r="D210" s="8" t="inlineStr">
        <is>
          <t>SE</t>
        </is>
      </c>
      <c r="E210" s="8" t="inlineStr">
        <is>
          <t>Senior SE</t>
        </is>
      </c>
      <c r="F210" s="8" t="inlineStr">
        <is>
          <t>Senior SE</t>
        </is>
      </c>
      <c r="G210" s="8" t="inlineStr">
        <is>
          <t>Lead SE</t>
        </is>
      </c>
      <c r="H210" s="8" t="n"/>
      <c r="I210" s="8" t="inlineStr">
        <is>
          <t>Principal SE</t>
        </is>
      </c>
      <c r="J210" s="8" t="n"/>
      <c r="K210" s="8" t="n"/>
      <c r="L210" s="8" t="n"/>
      <c r="M210" s="8" t="n"/>
      <c r="N210" s="8" t="n"/>
      <c r="O210" s="8" t="n"/>
    </row>
    <row r="211" ht="54" customHeight="1">
      <c r="A211" s="14" t="inlineStr">
        <is>
          <t>IRIS Vs Market Benchmark — ISTQB certification pathway · ISTQB sets the certificates, not the level match</t>
        </is>
      </c>
      <c r="B211" s="8" t="n"/>
      <c r="C211" s="8" t="inlineStr">
        <is>
          <t>Foundation</t>
        </is>
      </c>
      <c r="D211" s="8" t="inlineStr">
        <is>
          <t>Foundation</t>
        </is>
      </c>
      <c r="E211" s="8" t="inlineStr">
        <is>
          <t>Advanced · Test Analyst</t>
        </is>
      </c>
      <c r="F211" s="8" t="inlineStr">
        <is>
          <t>Advanced · Test Manager / TAE</t>
        </is>
      </c>
      <c r="G211" s="8" t="inlineStr">
        <is>
          <t>Expert</t>
        </is>
      </c>
      <c r="H211" s="8" t="n"/>
      <c r="I211" s="8" t="inlineStr">
        <is>
          <t>Expert</t>
        </is>
      </c>
      <c r="J211" s="8" t="n"/>
      <c r="K211" s="8" t="n"/>
      <c r="L211" s="8" t="n"/>
      <c r="M211" s="8" t="n"/>
      <c r="N211" s="8" t="n"/>
      <c r="O211" s="8" t="n"/>
    </row>
    <row r="212" ht="54" customHeight="1">
      <c r="A212" s="14" t="inlineStr">
        <is>
          <t>IRIS Vs Competitor Benchmark — testing managers · informed by Radford codes and SaaS postings</t>
        </is>
      </c>
      <c r="B212" s="8" t="n"/>
      <c r="C212" s="8" t="n"/>
      <c r="D212" s="8" t="n"/>
      <c r="E212" s="8" t="n"/>
      <c r="F212" s="8" t="inlineStr">
        <is>
          <t>QA Manager</t>
        </is>
      </c>
      <c r="G212" s="8" t="inlineStr">
        <is>
          <t>Senior QA Manager</t>
        </is>
      </c>
      <c r="H212" s="8" t="n"/>
      <c r="I212" s="8" t="inlineStr">
        <is>
          <t>Head of Quality</t>
        </is>
      </c>
      <c r="J212" s="8" t="inlineStr">
        <is>
          <t>Director Quality Engineering</t>
        </is>
      </c>
      <c r="K212" s="8" t="n"/>
      <c r="L212" s="8" t="n"/>
      <c r="M212" s="8" t="n"/>
      <c r="N212" s="8" t="n"/>
      <c r="O212" s="8" t="n"/>
    </row>
    <row r="213" ht="15" customHeight="1"/>
    <row r="214" ht="20" customHeight="1">
      <c r="A214" s="79" t="inlineStr">
        <is>
          <t>Digitizing — 33 people</t>
        </is>
      </c>
    </row>
    <row r="215" ht="15" customHeight="1">
      <c r="A215" s="61" t="inlineStr">
        <is>
          <t>IRIS Data Operations &amp; Digitization Vs · Standard: COPC CX Standard · leadership &amp; planning, people, processes, performance; ISO 9001; Lean / Six Sigma · 32 here</t>
        </is>
      </c>
      <c r="B215" s="64" t="n"/>
      <c r="C215" s="64" t="n"/>
      <c r="D215" s="64" t="n"/>
      <c r="E215" s="64" t="n"/>
      <c r="F215" s="64" t="n"/>
      <c r="G215" s="64" t="n"/>
      <c r="H215" s="64" t="n"/>
      <c r="I215" s="64" t="n"/>
      <c r="J215" s="64" t="n"/>
      <c r="K215" s="64" t="n"/>
      <c r="L215" s="64" t="n"/>
      <c r="M215" s="64" t="n"/>
      <c r="N215" s="64" t="n"/>
      <c r="O215" s="63" t="n"/>
    </row>
    <row r="216" ht="15" customHeight="1">
      <c r="A216" s="76" t="inlineStr">
        <is>
          <t>Ladder / company</t>
        </is>
      </c>
      <c r="B216" s="76" t="inlineStr">
        <is>
          <t>A1</t>
        </is>
      </c>
      <c r="C216" s="76" t="inlineStr">
        <is>
          <t>A2</t>
        </is>
      </c>
      <c r="D216" s="76" t="inlineStr">
        <is>
          <t>A3</t>
        </is>
      </c>
      <c r="E216" s="76" t="inlineStr">
        <is>
          <t>B1</t>
        </is>
      </c>
      <c r="F216" s="76" t="inlineStr">
        <is>
          <t>B2</t>
        </is>
      </c>
      <c r="G216" s="76" t="inlineStr">
        <is>
          <t>B3</t>
        </is>
      </c>
      <c r="H216" s="76" t="inlineStr">
        <is>
          <t>B+</t>
        </is>
      </c>
      <c r="I216" s="76" t="inlineStr">
        <is>
          <t>C1</t>
        </is>
      </c>
      <c r="J216" s="76" t="inlineStr">
        <is>
          <t>C2</t>
        </is>
      </c>
      <c r="K216" s="76" t="inlineStr">
        <is>
          <t>C+</t>
        </is>
      </c>
      <c r="L216" s="76" t="inlineStr">
        <is>
          <t>D1</t>
        </is>
      </c>
      <c r="M216" s="76" t="inlineStr">
        <is>
          <t>D2</t>
        </is>
      </c>
      <c r="N216" s="76" t="inlineStr">
        <is>
          <t>E1</t>
        </is>
      </c>
      <c r="O216" s="76" t="inlineStr">
        <is>
          <t>E2</t>
        </is>
      </c>
    </row>
    <row r="217" ht="54" customHeight="1">
      <c r="A217" s="74" t="inlineStr">
        <is>
          <t>IRIS — IC title</t>
        </is>
      </c>
      <c r="B217" s="42" t="inlineStr">
        <is>
          <t>Intern / Trainee</t>
        </is>
      </c>
      <c r="C217" s="42" t="inlineStr">
        <is>
          <t>Associate</t>
        </is>
      </c>
      <c r="D217" s="42" t="inlineStr">
        <is>
          <t>Senior Associate</t>
        </is>
      </c>
      <c r="E217" s="43" t="inlineStr">
        <is>
          <t>Specialist</t>
        </is>
      </c>
      <c r="F217" s="43" t="inlineStr">
        <is>
          <t>Senior Specialist</t>
        </is>
      </c>
      <c r="G217" s="43" t="inlineStr">
        <is>
          <t>Lead Specialist</t>
        </is>
      </c>
      <c r="H217" s="44" t="inlineStr">
        <is>
          <t>Practice Lead · Player-Coach</t>
        </is>
      </c>
      <c r="I217" s="45" t="inlineStr">
        <is>
          <t>Principal</t>
        </is>
      </c>
      <c r="J217" s="45" t="inlineStr">
        <is>
          <t>Senior Principal / Architect</t>
        </is>
      </c>
      <c r="K217" s="46" t="inlineStr">
        <is>
          <t>Group Head · Player-Coach</t>
        </is>
      </c>
      <c r="L217" s="47" t="inlineStr">
        <is>
          <t>Chief Specialist / Distinguished Principal</t>
        </is>
      </c>
      <c r="M217" s="47" t="inlineStr">
        <is>
          <t>—</t>
        </is>
      </c>
      <c r="N217" s="48" t="inlineStr">
        <is>
          <t>—</t>
        </is>
      </c>
      <c r="O217" s="48" t="inlineStr">
        <is>
          <t>—</t>
        </is>
      </c>
    </row>
    <row r="218" ht="54" customHeight="1">
      <c r="A218" s="74" t="inlineStr">
        <is>
          <t>IRIS — Manager title</t>
        </is>
      </c>
      <c r="B218" s="42" t="n"/>
      <c r="C218" s="42" t="n"/>
      <c r="D218" s="42" t="n"/>
      <c r="E218" s="43" t="inlineStr">
        <is>
          <t>Team Lead</t>
        </is>
      </c>
      <c r="F218" s="43" t="inlineStr">
        <is>
          <t>Manager</t>
        </is>
      </c>
      <c r="G218" s="43" t="inlineStr">
        <is>
          <t>Senior Manager</t>
        </is>
      </c>
      <c r="H218" s="44" t="inlineStr">
        <is>
          <t>Practice Lead · Player-Coach</t>
        </is>
      </c>
      <c r="I218" s="45" t="inlineStr">
        <is>
          <t>Associate Head</t>
        </is>
      </c>
      <c r="J218" s="45" t="inlineStr">
        <is>
          <t>Head of Function</t>
        </is>
      </c>
      <c r="K218" s="46" t="inlineStr">
        <is>
          <t>Group Head · Player-Coach</t>
        </is>
      </c>
      <c r="L218" s="47" t="inlineStr">
        <is>
          <t>Associate Vice President / Business Head</t>
        </is>
      </c>
      <c r="M218" s="47" t="inlineStr">
        <is>
          <t>Vice President</t>
        </is>
      </c>
      <c r="N218" s="48" t="inlineStr">
        <is>
          <t>CXO / President</t>
        </is>
      </c>
      <c r="O218" s="48" t="inlineStr">
        <is>
          <t>Chief Executive Officer</t>
        </is>
      </c>
    </row>
    <row r="219" ht="15" customHeight="1">
      <c r="A219" s="74" t="inlineStr">
        <is>
          <t>IRIS — people at level</t>
        </is>
      </c>
      <c r="B219" s="42" t="n"/>
      <c r="C219" s="42" t="n">
        <v>4</v>
      </c>
      <c r="D219" s="42" t="n">
        <v>20</v>
      </c>
      <c r="E219" s="43" t="n">
        <v>5</v>
      </c>
      <c r="F219" s="43" t="n">
        <v>2</v>
      </c>
      <c r="G219" s="43" t="n"/>
      <c r="H219" s="44" t="n"/>
      <c r="I219" s="45" t="n">
        <v>1</v>
      </c>
      <c r="J219" s="45" t="n"/>
      <c r="K219" s="46" t="n"/>
      <c r="L219" s="47" t="n"/>
      <c r="M219" s="47" t="n"/>
      <c r="N219" s="48" t="n"/>
      <c r="O219" s="48" t="n"/>
    </row>
    <row r="220" ht="41" customHeight="1">
      <c r="A220" s="14" t="inlineStr">
        <is>
          <t>DataTracks</t>
        </is>
      </c>
      <c r="B220" s="8" t="n"/>
      <c r="C220" s="8" t="inlineStr">
        <is>
          <t>Associate</t>
        </is>
      </c>
      <c r="D220" s="8" t="inlineStr">
        <is>
          <t>Senior Associate · 2–5 yrs</t>
        </is>
      </c>
      <c r="E220" s="8" t="n"/>
      <c r="F220" s="8" t="n"/>
      <c r="G220" s="8" t="n"/>
      <c r="H220" s="8" t="n"/>
      <c r="I220" s="8" t="n"/>
      <c r="J220" s="8" t="n"/>
      <c r="K220" s="8" t="n"/>
      <c r="L220" s="8" t="n"/>
      <c r="M220" s="8" t="n"/>
      <c r="N220" s="8" t="n"/>
      <c r="O220" s="8" t="n"/>
    </row>
    <row r="221" ht="28" customHeight="1">
      <c r="A221" s="14" t="inlineStr">
        <is>
          <t>Accenture Operations</t>
        </is>
      </c>
      <c r="B221" s="8" t="inlineStr">
        <is>
          <t>L12 Associate</t>
        </is>
      </c>
      <c r="C221" s="8" t="inlineStr">
        <is>
          <t>L11 Analyst</t>
        </is>
      </c>
      <c r="D221" s="8" t="inlineStr">
        <is>
          <t>L10 Senior Analyst</t>
        </is>
      </c>
      <c r="E221" s="8" t="inlineStr">
        <is>
          <t>L9 Team Lead</t>
        </is>
      </c>
      <c r="F221" s="8" t="inlineStr">
        <is>
          <t>L8 Associate Manager</t>
        </is>
      </c>
      <c r="G221" s="8" t="inlineStr">
        <is>
          <t>L7 Manager</t>
        </is>
      </c>
      <c r="H221" s="8" t="n"/>
      <c r="I221" s="8" t="inlineStr">
        <is>
          <t>L6 Senior Manager</t>
        </is>
      </c>
      <c r="J221" s="8" t="n"/>
      <c r="K221" s="8" t="n"/>
      <c r="L221" s="8" t="n"/>
      <c r="M221" s="8" t="n"/>
      <c r="N221" s="8" t="n"/>
      <c r="O221" s="8" t="n"/>
    </row>
    <row r="222" ht="54" customHeight="1">
      <c r="A222" s="14" t="inlineStr">
        <is>
          <t>IRIS Vs Competitor Benchmark — operations roles · informed by COPC, which publishes standards, not a ladder</t>
        </is>
      </c>
      <c r="B222" s="8" t="n"/>
      <c r="C222" s="8" t="inlineStr">
        <is>
          <t>Processor / Agent</t>
        </is>
      </c>
      <c r="D222" s="8" t="inlineStr">
        <is>
          <t>Senior Processor / QC</t>
        </is>
      </c>
      <c r="E222" s="8" t="inlineStr">
        <is>
          <t>Team Lead / Quality Lead</t>
        </is>
      </c>
      <c r="F222" s="8" t="inlineStr">
        <is>
          <t>Operations Manager</t>
        </is>
      </c>
      <c r="G222" s="8" t="inlineStr">
        <is>
          <t>Senior Operations Manager</t>
        </is>
      </c>
      <c r="H222" s="8" t="n"/>
      <c r="I222" s="8" t="inlineStr">
        <is>
          <t>Head of Delivery</t>
        </is>
      </c>
      <c r="J222" s="8" t="n"/>
      <c r="K222" s="8" t="n"/>
      <c r="L222" s="8" t="n"/>
      <c r="M222" s="8" t="n"/>
      <c r="N222" s="8" t="n"/>
      <c r="O222" s="8" t="n"/>
    </row>
    <row r="223" ht="15" customHeight="1"/>
    <row r="224" ht="15" customHeight="1">
      <c r="A224" s="61" t="inlineStr">
        <is>
          <t>IRIS Customer Success &amp; Support Vs · Standard: TSIA frameworks and benchmarks; ITIL 4 service desk; Gainsight customer-success practice · 1 here</t>
        </is>
      </c>
      <c r="B224" s="64" t="n"/>
      <c r="C224" s="64" t="n"/>
      <c r="D224" s="64" t="n"/>
      <c r="E224" s="64" t="n"/>
      <c r="F224" s="64" t="n"/>
      <c r="G224" s="64" t="n"/>
      <c r="H224" s="64" t="n"/>
      <c r="I224" s="64" t="n"/>
      <c r="J224" s="64" t="n"/>
      <c r="K224" s="64" t="n"/>
      <c r="L224" s="64" t="n"/>
      <c r="M224" s="64" t="n"/>
      <c r="N224" s="64" t="n"/>
      <c r="O224" s="63" t="n"/>
    </row>
    <row r="225" ht="15" customHeight="1">
      <c r="A225" s="76" t="inlineStr">
        <is>
          <t>Ladder / company</t>
        </is>
      </c>
      <c r="B225" s="76" t="inlineStr">
        <is>
          <t>A1</t>
        </is>
      </c>
      <c r="C225" s="76" t="inlineStr">
        <is>
          <t>A2</t>
        </is>
      </c>
      <c r="D225" s="76" t="inlineStr">
        <is>
          <t>A3</t>
        </is>
      </c>
      <c r="E225" s="76" t="inlineStr">
        <is>
          <t>B1</t>
        </is>
      </c>
      <c r="F225" s="76" t="inlineStr">
        <is>
          <t>B2</t>
        </is>
      </c>
      <c r="G225" s="76" t="inlineStr">
        <is>
          <t>B3</t>
        </is>
      </c>
      <c r="H225" s="76" t="inlineStr">
        <is>
          <t>B+</t>
        </is>
      </c>
      <c r="I225" s="76" t="inlineStr">
        <is>
          <t>C1</t>
        </is>
      </c>
      <c r="J225" s="76" t="inlineStr">
        <is>
          <t>C2</t>
        </is>
      </c>
      <c r="K225" s="76" t="inlineStr">
        <is>
          <t>C+</t>
        </is>
      </c>
      <c r="L225" s="76" t="inlineStr">
        <is>
          <t>D1</t>
        </is>
      </c>
      <c r="M225" s="76" t="inlineStr">
        <is>
          <t>D2</t>
        </is>
      </c>
      <c r="N225" s="76" t="inlineStr">
        <is>
          <t>E1</t>
        </is>
      </c>
      <c r="O225" s="76" t="inlineStr">
        <is>
          <t>E2</t>
        </is>
      </c>
    </row>
    <row r="226" ht="54" customHeight="1">
      <c r="A226" s="74" t="inlineStr">
        <is>
          <t>IRIS — IC title</t>
        </is>
      </c>
      <c r="B226" s="42" t="inlineStr">
        <is>
          <t>Intern / Trainee</t>
        </is>
      </c>
      <c r="C226" s="42" t="inlineStr">
        <is>
          <t>Associate</t>
        </is>
      </c>
      <c r="D226" s="42" t="inlineStr">
        <is>
          <t>Senior Associate</t>
        </is>
      </c>
      <c r="E226" s="43" t="inlineStr">
        <is>
          <t>Specialist</t>
        </is>
      </c>
      <c r="F226" s="43" t="inlineStr">
        <is>
          <t>Senior Specialist</t>
        </is>
      </c>
      <c r="G226" s="43" t="inlineStr">
        <is>
          <t>Lead Specialist</t>
        </is>
      </c>
      <c r="H226" s="44" t="inlineStr">
        <is>
          <t>Practice Lead · Player-Coach</t>
        </is>
      </c>
      <c r="I226" s="45" t="inlineStr">
        <is>
          <t>Principal</t>
        </is>
      </c>
      <c r="J226" s="45" t="inlineStr">
        <is>
          <t>Senior Principal / Architect</t>
        </is>
      </c>
      <c r="K226" s="46" t="inlineStr">
        <is>
          <t>Group Head · Player-Coach</t>
        </is>
      </c>
      <c r="L226" s="47" t="inlineStr">
        <is>
          <t>Chief Specialist / Distinguished Principal</t>
        </is>
      </c>
      <c r="M226" s="47" t="inlineStr">
        <is>
          <t>—</t>
        </is>
      </c>
      <c r="N226" s="48" t="inlineStr">
        <is>
          <t>—</t>
        </is>
      </c>
      <c r="O226" s="48" t="inlineStr">
        <is>
          <t>—</t>
        </is>
      </c>
    </row>
    <row r="227" ht="54" customHeight="1">
      <c r="A227" s="74" t="inlineStr">
        <is>
          <t>IRIS — Manager title</t>
        </is>
      </c>
      <c r="B227" s="42" t="n"/>
      <c r="C227" s="42" t="n"/>
      <c r="D227" s="42" t="n"/>
      <c r="E227" s="43" t="inlineStr">
        <is>
          <t>Team Lead</t>
        </is>
      </c>
      <c r="F227" s="43" t="inlineStr">
        <is>
          <t>Manager</t>
        </is>
      </c>
      <c r="G227" s="43" t="inlineStr">
        <is>
          <t>Senior Manager</t>
        </is>
      </c>
      <c r="H227" s="44" t="inlineStr">
        <is>
          <t>Practice Lead · Player-Coach</t>
        </is>
      </c>
      <c r="I227" s="45" t="inlineStr">
        <is>
          <t>Associate Head</t>
        </is>
      </c>
      <c r="J227" s="45" t="inlineStr">
        <is>
          <t>Head of Function</t>
        </is>
      </c>
      <c r="K227" s="46" t="inlineStr">
        <is>
          <t>Group Head · Player-Coach</t>
        </is>
      </c>
      <c r="L227" s="47" t="inlineStr">
        <is>
          <t>Associate Vice President / Business Head</t>
        </is>
      </c>
      <c r="M227" s="47" t="inlineStr">
        <is>
          <t>Vice President</t>
        </is>
      </c>
      <c r="N227" s="48" t="inlineStr">
        <is>
          <t>CXO / President</t>
        </is>
      </c>
      <c r="O227" s="48" t="inlineStr">
        <is>
          <t>Chief Executive Officer</t>
        </is>
      </c>
    </row>
    <row r="228" ht="15" customHeight="1">
      <c r="A228" s="74" t="inlineStr">
        <is>
          <t>IRIS — people at level</t>
        </is>
      </c>
      <c r="B228" s="42" t="n"/>
      <c r="C228" s="42" t="n"/>
      <c r="D228" s="42" t="n"/>
      <c r="E228" s="43" t="n">
        <v>1</v>
      </c>
      <c r="F228" s="43" t="n"/>
      <c r="G228" s="43" t="n"/>
      <c r="H228" s="44" t="n"/>
      <c r="I228" s="45" t="n"/>
      <c r="J228" s="45" t="n"/>
      <c r="K228" s="46" t="n"/>
      <c r="L228" s="47" t="n"/>
      <c r="M228" s="47" t="n"/>
      <c r="N228" s="48" t="n"/>
      <c r="O228" s="48" t="n"/>
    </row>
    <row r="229" ht="41" customHeight="1">
      <c r="A229" s="14" t="inlineStr">
        <is>
          <t>Workiva</t>
        </is>
      </c>
      <c r="B229" s="8" t="inlineStr">
        <is>
          <t>Customer Success intern</t>
        </is>
      </c>
      <c r="C229" s="8" t="n"/>
      <c r="D229" s="8" t="n"/>
      <c r="E229" s="8" t="inlineStr">
        <is>
          <t>Customer Success Manager</t>
        </is>
      </c>
      <c r="F229" s="8" t="inlineStr">
        <is>
          <t>Product Success Manager</t>
        </is>
      </c>
      <c r="G229" s="8" t="inlineStr">
        <is>
          <t>Customer Success Architect</t>
        </is>
      </c>
      <c r="H229" s="8" t="n"/>
      <c r="I229" s="8" t="n"/>
      <c r="J229" s="8" t="n"/>
      <c r="K229" s="8" t="n"/>
      <c r="L229" s="8" t="n"/>
      <c r="M229" s="8" t="n"/>
      <c r="N229" s="8" t="n"/>
      <c r="O229" s="8" t="n"/>
    </row>
    <row r="230" ht="54" customHeight="1">
      <c r="A230" s="14" t="inlineStr">
        <is>
          <t>IRIS Vs Competitor Benchmark — SaaS customer-success ladder · informed by Gainsight postings, C15</t>
        </is>
      </c>
      <c r="B230" s="8" t="n"/>
      <c r="C230" s="8" t="inlineStr">
        <is>
          <t>Support Associate</t>
        </is>
      </c>
      <c r="D230" s="8" t="inlineStr">
        <is>
          <t>Associate CSM</t>
        </is>
      </c>
      <c r="E230" s="8" t="inlineStr">
        <is>
          <t>CSM</t>
        </is>
      </c>
      <c r="F230" s="8" t="inlineStr">
        <is>
          <t>Senior CSM</t>
        </is>
      </c>
      <c r="G230" s="8" t="inlineStr">
        <is>
          <t>Strategic CSM</t>
        </is>
      </c>
      <c r="H230" s="8" t="n"/>
      <c r="I230" s="8" t="inlineStr">
        <is>
          <t>Senior Manager CS</t>
        </is>
      </c>
      <c r="J230" s="8" t="inlineStr">
        <is>
          <t>Director Customer Success</t>
        </is>
      </c>
      <c r="K230" s="8" t="n"/>
      <c r="L230" s="8" t="n"/>
      <c r="M230" s="8" t="inlineStr">
        <is>
          <t>VP Customer Success</t>
        </is>
      </c>
      <c r="N230" s="8" t="inlineStr">
        <is>
          <t>Chief Customer Officer</t>
        </is>
      </c>
      <c r="O230" s="8" t="n"/>
    </row>
    <row r="231" ht="54" customHeight="1">
      <c r="A231" s="14" t="inlineStr">
        <is>
          <t>Regnology</t>
        </is>
      </c>
      <c r="B231" s="8" t="n"/>
      <c r="C231" s="8" t="n"/>
      <c r="D231" s="8" t="inlineStr">
        <is>
          <t>Product Support Specialist · Reg Reporting</t>
        </is>
      </c>
      <c r="E231" s="8" t="n"/>
      <c r="F231" s="8" t="n"/>
      <c r="G231" s="8" t="n"/>
      <c r="H231" s="8" t="n"/>
      <c r="I231" s="8" t="n"/>
      <c r="J231" s="8" t="n"/>
      <c r="K231" s="8" t="n"/>
      <c r="L231" s="8" t="n"/>
      <c r="M231" s="8" t="n"/>
      <c r="N231" s="8" t="n"/>
      <c r="O231" s="8" t="n"/>
    </row>
    <row r="232" ht="54" customHeight="1">
      <c r="A232" s="14" t="inlineStr">
        <is>
          <t>IRIS Vs Competitor Benchmark — support tiers · informed by ITIL 4, which defines practices, not titles</t>
        </is>
      </c>
      <c r="B232" s="8" t="n"/>
      <c r="C232" s="8" t="inlineStr">
        <is>
          <t>L1 Service Desk</t>
        </is>
      </c>
      <c r="D232" s="8" t="inlineStr">
        <is>
          <t>L2 Application Support</t>
        </is>
      </c>
      <c r="E232" s="8" t="inlineStr">
        <is>
          <t>L3 / Problem Analyst</t>
        </is>
      </c>
      <c r="F232" s="8" t="inlineStr">
        <is>
          <t>Support Team Manager</t>
        </is>
      </c>
      <c r="G232" s="8" t="inlineStr">
        <is>
          <t>Service Delivery Manager</t>
        </is>
      </c>
      <c r="H232" s="8" t="n"/>
      <c r="I232" s="8" t="n"/>
      <c r="J232" s="8" t="n"/>
      <c r="K232" s="8" t="n"/>
      <c r="L232" s="8" t="n"/>
      <c r="M232" s="8" t="n"/>
      <c r="N232" s="8" t="n"/>
      <c r="O232" s="8" t="n"/>
    </row>
    <row r="233" ht="15" customHeight="1"/>
    <row r="234" ht="20" customHeight="1">
      <c r="A234" s="79" t="inlineStr">
        <is>
          <t>Support — 33 people</t>
        </is>
      </c>
    </row>
    <row r="235" ht="15" customHeight="1">
      <c r="A235" s="61" t="inlineStr">
        <is>
          <t>IRIS Customer Success &amp; Support Vs · Standard: TSIA frameworks and benchmarks; ITIL 4 service desk; Gainsight customer-success practice · 29 here</t>
        </is>
      </c>
      <c r="B235" s="64" t="n"/>
      <c r="C235" s="64" t="n"/>
      <c r="D235" s="64" t="n"/>
      <c r="E235" s="64" t="n"/>
      <c r="F235" s="64" t="n"/>
      <c r="G235" s="64" t="n"/>
      <c r="H235" s="64" t="n"/>
      <c r="I235" s="64" t="n"/>
      <c r="J235" s="64" t="n"/>
      <c r="K235" s="64" t="n"/>
      <c r="L235" s="64" t="n"/>
      <c r="M235" s="64" t="n"/>
      <c r="N235" s="64" t="n"/>
      <c r="O235" s="63" t="n"/>
    </row>
    <row r="236" ht="15" customHeight="1">
      <c r="A236" s="76" t="inlineStr">
        <is>
          <t>Ladder / company</t>
        </is>
      </c>
      <c r="B236" s="76" t="inlineStr">
        <is>
          <t>A1</t>
        </is>
      </c>
      <c r="C236" s="76" t="inlineStr">
        <is>
          <t>A2</t>
        </is>
      </c>
      <c r="D236" s="76" t="inlineStr">
        <is>
          <t>A3</t>
        </is>
      </c>
      <c r="E236" s="76" t="inlineStr">
        <is>
          <t>B1</t>
        </is>
      </c>
      <c r="F236" s="76" t="inlineStr">
        <is>
          <t>B2</t>
        </is>
      </c>
      <c r="G236" s="76" t="inlineStr">
        <is>
          <t>B3</t>
        </is>
      </c>
      <c r="H236" s="76" t="inlineStr">
        <is>
          <t>B+</t>
        </is>
      </c>
      <c r="I236" s="76" t="inlineStr">
        <is>
          <t>C1</t>
        </is>
      </c>
      <c r="J236" s="76" t="inlineStr">
        <is>
          <t>C2</t>
        </is>
      </c>
      <c r="K236" s="76" t="inlineStr">
        <is>
          <t>C+</t>
        </is>
      </c>
      <c r="L236" s="76" t="inlineStr">
        <is>
          <t>D1</t>
        </is>
      </c>
      <c r="M236" s="76" t="inlineStr">
        <is>
          <t>D2</t>
        </is>
      </c>
      <c r="N236" s="76" t="inlineStr">
        <is>
          <t>E1</t>
        </is>
      </c>
      <c r="O236" s="76" t="inlineStr">
        <is>
          <t>E2</t>
        </is>
      </c>
    </row>
    <row r="237" ht="54" customHeight="1">
      <c r="A237" s="74" t="inlineStr">
        <is>
          <t>IRIS — IC title</t>
        </is>
      </c>
      <c r="B237" s="42" t="inlineStr">
        <is>
          <t>Intern / Trainee</t>
        </is>
      </c>
      <c r="C237" s="42" t="inlineStr">
        <is>
          <t>Associate</t>
        </is>
      </c>
      <c r="D237" s="42" t="inlineStr">
        <is>
          <t>Senior Associate</t>
        </is>
      </c>
      <c r="E237" s="43" t="inlineStr">
        <is>
          <t>Specialist</t>
        </is>
      </c>
      <c r="F237" s="43" t="inlineStr">
        <is>
          <t>Senior Specialist</t>
        </is>
      </c>
      <c r="G237" s="43" t="inlineStr">
        <is>
          <t>Lead Specialist</t>
        </is>
      </c>
      <c r="H237" s="44" t="inlineStr">
        <is>
          <t>Practice Lead · Player-Coach</t>
        </is>
      </c>
      <c r="I237" s="45" t="inlineStr">
        <is>
          <t>Principal</t>
        </is>
      </c>
      <c r="J237" s="45" t="inlineStr">
        <is>
          <t>Senior Principal / Architect</t>
        </is>
      </c>
      <c r="K237" s="46" t="inlineStr">
        <is>
          <t>Group Head · Player-Coach</t>
        </is>
      </c>
      <c r="L237" s="47" t="inlineStr">
        <is>
          <t>Chief Specialist / Distinguished Principal</t>
        </is>
      </c>
      <c r="M237" s="47" t="inlineStr">
        <is>
          <t>—</t>
        </is>
      </c>
      <c r="N237" s="48" t="inlineStr">
        <is>
          <t>—</t>
        </is>
      </c>
      <c r="O237" s="48" t="inlineStr">
        <is>
          <t>—</t>
        </is>
      </c>
    </row>
    <row r="238" ht="54" customHeight="1">
      <c r="A238" s="74" t="inlineStr">
        <is>
          <t>IRIS — Manager title</t>
        </is>
      </c>
      <c r="B238" s="42" t="n"/>
      <c r="C238" s="42" t="n"/>
      <c r="D238" s="42" t="n"/>
      <c r="E238" s="43" t="inlineStr">
        <is>
          <t>Team Lead</t>
        </is>
      </c>
      <c r="F238" s="43" t="inlineStr">
        <is>
          <t>Manager</t>
        </is>
      </c>
      <c r="G238" s="43" t="inlineStr">
        <is>
          <t>Senior Manager</t>
        </is>
      </c>
      <c r="H238" s="44" t="inlineStr">
        <is>
          <t>Practice Lead · Player-Coach</t>
        </is>
      </c>
      <c r="I238" s="45" t="inlineStr">
        <is>
          <t>Associate Head</t>
        </is>
      </c>
      <c r="J238" s="45" t="inlineStr">
        <is>
          <t>Head of Function</t>
        </is>
      </c>
      <c r="K238" s="46" t="inlineStr">
        <is>
          <t>Group Head · Player-Coach</t>
        </is>
      </c>
      <c r="L238" s="47" t="inlineStr">
        <is>
          <t>Associate Vice President / Business Head</t>
        </is>
      </c>
      <c r="M238" s="47" t="inlineStr">
        <is>
          <t>Vice President</t>
        </is>
      </c>
      <c r="N238" s="48" t="inlineStr">
        <is>
          <t>CXO / President</t>
        </is>
      </c>
      <c r="O238" s="48" t="inlineStr">
        <is>
          <t>Chief Executive Officer</t>
        </is>
      </c>
    </row>
    <row r="239" ht="15" customHeight="1">
      <c r="A239" s="74" t="inlineStr">
        <is>
          <t>IRIS — people at level</t>
        </is>
      </c>
      <c r="B239" s="42" t="n"/>
      <c r="C239" s="42" t="n">
        <v>1</v>
      </c>
      <c r="D239" s="42" t="n">
        <v>17</v>
      </c>
      <c r="E239" s="43" t="n">
        <v>3</v>
      </c>
      <c r="F239" s="43" t="n">
        <v>6</v>
      </c>
      <c r="G239" s="43" t="n"/>
      <c r="H239" s="44" t="n"/>
      <c r="I239" s="45" t="n">
        <v>1</v>
      </c>
      <c r="J239" s="45" t="n"/>
      <c r="K239" s="46" t="n"/>
      <c r="L239" s="47" t="n"/>
      <c r="M239" s="47" t="n"/>
      <c r="N239" s="48" t="n"/>
      <c r="O239" s="48" t="n"/>
    </row>
    <row r="240" ht="41" customHeight="1">
      <c r="A240" s="14" t="inlineStr">
        <is>
          <t>Workiva</t>
        </is>
      </c>
      <c r="B240" s="8" t="inlineStr">
        <is>
          <t>Customer Success intern</t>
        </is>
      </c>
      <c r="C240" s="8" t="n"/>
      <c r="D240" s="8" t="n"/>
      <c r="E240" s="8" t="inlineStr">
        <is>
          <t>Customer Success Manager</t>
        </is>
      </c>
      <c r="F240" s="8" t="inlineStr">
        <is>
          <t>Product Success Manager</t>
        </is>
      </c>
      <c r="G240" s="8" t="inlineStr">
        <is>
          <t>Customer Success Architect</t>
        </is>
      </c>
      <c r="H240" s="8" t="n"/>
      <c r="I240" s="8" t="n"/>
      <c r="J240" s="8" t="n"/>
      <c r="K240" s="8" t="n"/>
      <c r="L240" s="8" t="n"/>
      <c r="M240" s="8" t="n"/>
      <c r="N240" s="8" t="n"/>
      <c r="O240" s="8" t="n"/>
    </row>
    <row r="241" ht="54" customHeight="1">
      <c r="A241" s="14" t="inlineStr">
        <is>
          <t>IRIS Vs Competitor Benchmark — SaaS customer-success ladder · informed by Gainsight postings, C15</t>
        </is>
      </c>
      <c r="B241" s="8" t="n"/>
      <c r="C241" s="8" t="inlineStr">
        <is>
          <t>Support Associate</t>
        </is>
      </c>
      <c r="D241" s="8" t="inlineStr">
        <is>
          <t>Associate CSM</t>
        </is>
      </c>
      <c r="E241" s="8" t="inlineStr">
        <is>
          <t>CSM</t>
        </is>
      </c>
      <c r="F241" s="8" t="inlineStr">
        <is>
          <t>Senior CSM</t>
        </is>
      </c>
      <c r="G241" s="8" t="inlineStr">
        <is>
          <t>Strategic CSM</t>
        </is>
      </c>
      <c r="H241" s="8" t="n"/>
      <c r="I241" s="8" t="inlineStr">
        <is>
          <t>Senior Manager CS</t>
        </is>
      </c>
      <c r="J241" s="8" t="inlineStr">
        <is>
          <t>Director Customer Success</t>
        </is>
      </c>
      <c r="K241" s="8" t="n"/>
      <c r="L241" s="8" t="n"/>
      <c r="M241" s="8" t="inlineStr">
        <is>
          <t>VP Customer Success</t>
        </is>
      </c>
      <c r="N241" s="8" t="inlineStr">
        <is>
          <t>Chief Customer Officer</t>
        </is>
      </c>
      <c r="O241" s="8" t="n"/>
    </row>
    <row r="242" ht="54" customHeight="1">
      <c r="A242" s="14" t="inlineStr">
        <is>
          <t>Regnology</t>
        </is>
      </c>
      <c r="B242" s="8" t="n"/>
      <c r="C242" s="8" t="n"/>
      <c r="D242" s="8" t="inlineStr">
        <is>
          <t>Product Support Specialist · Reg Reporting</t>
        </is>
      </c>
      <c r="E242" s="8" t="n"/>
      <c r="F242" s="8" t="n"/>
      <c r="G242" s="8" t="n"/>
      <c r="H242" s="8" t="n"/>
      <c r="I242" s="8" t="n"/>
      <c r="J242" s="8" t="n"/>
      <c r="K242" s="8" t="n"/>
      <c r="L242" s="8" t="n"/>
      <c r="M242" s="8" t="n"/>
      <c r="N242" s="8" t="n"/>
      <c r="O242" s="8" t="n"/>
    </row>
    <row r="243" ht="54" customHeight="1">
      <c r="A243" s="14" t="inlineStr">
        <is>
          <t>IRIS Vs Competitor Benchmark — support tiers · informed by ITIL 4, which defines practices, not titles</t>
        </is>
      </c>
      <c r="B243" s="8" t="n"/>
      <c r="C243" s="8" t="inlineStr">
        <is>
          <t>L1 Service Desk</t>
        </is>
      </c>
      <c r="D243" s="8" t="inlineStr">
        <is>
          <t>L2 Application Support</t>
        </is>
      </c>
      <c r="E243" s="8" t="inlineStr">
        <is>
          <t>L3 / Problem Analyst</t>
        </is>
      </c>
      <c r="F243" s="8" t="inlineStr">
        <is>
          <t>Support Team Manager</t>
        </is>
      </c>
      <c r="G243" s="8" t="inlineStr">
        <is>
          <t>Service Delivery Manager</t>
        </is>
      </c>
      <c r="H243" s="8" t="n"/>
      <c r="I243" s="8" t="n"/>
      <c r="J243" s="8" t="n"/>
      <c r="K243" s="8" t="n"/>
      <c r="L243" s="8" t="n"/>
      <c r="M243" s="8" t="n"/>
      <c r="N243" s="8" t="n"/>
      <c r="O243" s="8" t="n"/>
    </row>
    <row r="244" ht="15" customHeight="1"/>
    <row r="245" ht="15" customHeight="1">
      <c r="A245" s="61" t="inlineStr">
        <is>
          <t>IRIS Engineering &amp; Development Vs · Standard: SFIA 9 · software development, programming; OWASP secure coding; cloud vendor certifications · 3 here</t>
        </is>
      </c>
      <c r="B245" s="64" t="n"/>
      <c r="C245" s="64" t="n"/>
      <c r="D245" s="64" t="n"/>
      <c r="E245" s="64" t="n"/>
      <c r="F245" s="64" t="n"/>
      <c r="G245" s="64" t="n"/>
      <c r="H245" s="64" t="n"/>
      <c r="I245" s="64" t="n"/>
      <c r="J245" s="64" t="n"/>
      <c r="K245" s="64" t="n"/>
      <c r="L245" s="64" t="n"/>
      <c r="M245" s="64" t="n"/>
      <c r="N245" s="64" t="n"/>
      <c r="O245" s="63" t="n"/>
    </row>
    <row r="246" ht="15" customHeight="1">
      <c r="A246" s="76" t="inlineStr">
        <is>
          <t>Ladder / company</t>
        </is>
      </c>
      <c r="B246" s="76" t="inlineStr">
        <is>
          <t>A1</t>
        </is>
      </c>
      <c r="C246" s="76" t="inlineStr">
        <is>
          <t>A2</t>
        </is>
      </c>
      <c r="D246" s="76" t="inlineStr">
        <is>
          <t>A3</t>
        </is>
      </c>
      <c r="E246" s="76" t="inlineStr">
        <is>
          <t>B1</t>
        </is>
      </c>
      <c r="F246" s="76" t="inlineStr">
        <is>
          <t>B2</t>
        </is>
      </c>
      <c r="G246" s="76" t="inlineStr">
        <is>
          <t>B3</t>
        </is>
      </c>
      <c r="H246" s="76" t="inlineStr">
        <is>
          <t>B+</t>
        </is>
      </c>
      <c r="I246" s="76" t="inlineStr">
        <is>
          <t>C1</t>
        </is>
      </c>
      <c r="J246" s="76" t="inlineStr">
        <is>
          <t>C2</t>
        </is>
      </c>
      <c r="K246" s="76" t="inlineStr">
        <is>
          <t>C+</t>
        </is>
      </c>
      <c r="L246" s="76" t="inlineStr">
        <is>
          <t>D1</t>
        </is>
      </c>
      <c r="M246" s="76" t="inlineStr">
        <is>
          <t>D2</t>
        </is>
      </c>
      <c r="N246" s="76" t="inlineStr">
        <is>
          <t>E1</t>
        </is>
      </c>
      <c r="O246" s="76" t="inlineStr">
        <is>
          <t>E2</t>
        </is>
      </c>
    </row>
    <row r="247" ht="54" customHeight="1">
      <c r="A247" s="74" t="inlineStr">
        <is>
          <t>IRIS — IC title</t>
        </is>
      </c>
      <c r="B247" s="42" t="inlineStr">
        <is>
          <t>Intern / Trainee</t>
        </is>
      </c>
      <c r="C247" s="42" t="inlineStr">
        <is>
          <t>Associate</t>
        </is>
      </c>
      <c r="D247" s="42" t="inlineStr">
        <is>
          <t>Senior Associate</t>
        </is>
      </c>
      <c r="E247" s="43" t="inlineStr">
        <is>
          <t>Specialist</t>
        </is>
      </c>
      <c r="F247" s="43" t="inlineStr">
        <is>
          <t>Senior Specialist</t>
        </is>
      </c>
      <c r="G247" s="43" t="inlineStr">
        <is>
          <t>Lead Specialist</t>
        </is>
      </c>
      <c r="H247" s="44" t="inlineStr">
        <is>
          <t>Practice Lead · Player-Coach</t>
        </is>
      </c>
      <c r="I247" s="45" t="inlineStr">
        <is>
          <t>Principal</t>
        </is>
      </c>
      <c r="J247" s="45" t="inlineStr">
        <is>
          <t>Senior Principal / Architect</t>
        </is>
      </c>
      <c r="K247" s="46" t="inlineStr">
        <is>
          <t>Group Head · Player-Coach</t>
        </is>
      </c>
      <c r="L247" s="47" t="inlineStr">
        <is>
          <t>Chief Specialist / Distinguished Principal</t>
        </is>
      </c>
      <c r="M247" s="47" t="inlineStr">
        <is>
          <t>—</t>
        </is>
      </c>
      <c r="N247" s="48" t="inlineStr">
        <is>
          <t>—</t>
        </is>
      </c>
      <c r="O247" s="48" t="inlineStr">
        <is>
          <t>—</t>
        </is>
      </c>
    </row>
    <row r="248" ht="54" customHeight="1">
      <c r="A248" s="74" t="inlineStr">
        <is>
          <t>IRIS — Manager title</t>
        </is>
      </c>
      <c r="B248" s="42" t="n"/>
      <c r="C248" s="42" t="n"/>
      <c r="D248" s="42" t="n"/>
      <c r="E248" s="43" t="inlineStr">
        <is>
          <t>Team Lead</t>
        </is>
      </c>
      <c r="F248" s="43" t="inlineStr">
        <is>
          <t>Manager</t>
        </is>
      </c>
      <c r="G248" s="43" t="inlineStr">
        <is>
          <t>Senior Manager</t>
        </is>
      </c>
      <c r="H248" s="44" t="inlineStr">
        <is>
          <t>Practice Lead · Player-Coach</t>
        </is>
      </c>
      <c r="I248" s="45" t="inlineStr">
        <is>
          <t>Associate Head</t>
        </is>
      </c>
      <c r="J248" s="45" t="inlineStr">
        <is>
          <t>Head of Function</t>
        </is>
      </c>
      <c r="K248" s="46" t="inlineStr">
        <is>
          <t>Group Head · Player-Coach</t>
        </is>
      </c>
      <c r="L248" s="47" t="inlineStr">
        <is>
          <t>Associate Vice President / Business Head</t>
        </is>
      </c>
      <c r="M248" s="47" t="inlineStr">
        <is>
          <t>Vice President</t>
        </is>
      </c>
      <c r="N248" s="48" t="inlineStr">
        <is>
          <t>CXO / President</t>
        </is>
      </c>
      <c r="O248" s="48" t="inlineStr">
        <is>
          <t>Chief Executive Officer</t>
        </is>
      </c>
    </row>
    <row r="249" ht="15" customHeight="1">
      <c r="A249" s="74" t="inlineStr">
        <is>
          <t>IRIS — people at level</t>
        </is>
      </c>
      <c r="B249" s="42" t="n"/>
      <c r="C249" s="42" t="n"/>
      <c r="D249" s="42" t="n">
        <v>2</v>
      </c>
      <c r="E249" s="43" t="n">
        <v>1</v>
      </c>
      <c r="F249" s="43" t="n"/>
      <c r="G249" s="43" t="n"/>
      <c r="H249" s="44" t="n"/>
      <c r="I249" s="45" t="n"/>
      <c r="J249" s="45" t="n"/>
      <c r="K249" s="46" t="n"/>
      <c r="L249" s="47" t="n"/>
      <c r="M249" s="47" t="n"/>
      <c r="N249" s="48" t="n"/>
      <c r="O249" s="48" t="n"/>
    </row>
    <row r="250" ht="28" customHeight="1">
      <c r="A250" s="14" t="inlineStr">
        <is>
          <t>Workiva</t>
        </is>
      </c>
      <c r="B250" s="8" t="n"/>
      <c r="C250" s="8" t="inlineStr">
        <is>
          <t>Associate SE</t>
        </is>
      </c>
      <c r="D250" s="8" t="inlineStr">
        <is>
          <t>SE</t>
        </is>
      </c>
      <c r="E250" s="8" t="inlineStr">
        <is>
          <t>SE / Senior SE</t>
        </is>
      </c>
      <c r="F250" s="8" t="inlineStr">
        <is>
          <t>Senior SE</t>
        </is>
      </c>
      <c r="G250" s="8" t="inlineStr">
        <is>
          <t>Staff SE</t>
        </is>
      </c>
      <c r="H250" s="8" t="n"/>
      <c r="I250" s="8" t="n"/>
      <c r="J250" s="8" t="n"/>
      <c r="K250" s="8" t="n"/>
      <c r="L250" s="8" t="n"/>
      <c r="M250" s="8" t="n"/>
      <c r="N250" s="8" t="n"/>
      <c r="O250" s="8" t="n"/>
    </row>
    <row r="251" ht="28" customHeight="1">
      <c r="A251" s="14" t="inlineStr">
        <is>
          <t>Broadridge India</t>
        </is>
      </c>
      <c r="B251" s="8" t="n"/>
      <c r="C251" s="8" t="inlineStr">
        <is>
          <t>SE</t>
        </is>
      </c>
      <c r="D251" s="8" t="inlineStr">
        <is>
          <t>SE</t>
        </is>
      </c>
      <c r="E251" s="8" t="inlineStr">
        <is>
          <t>Senior SE</t>
        </is>
      </c>
      <c r="F251" s="8" t="inlineStr">
        <is>
          <t>Lead SE</t>
        </is>
      </c>
      <c r="G251" s="8" t="inlineStr">
        <is>
          <t>Senior Lead SE</t>
        </is>
      </c>
      <c r="H251" s="8" t="n"/>
      <c r="I251" s="8" t="n"/>
      <c r="J251" s="8" t="n"/>
      <c r="K251" s="8" t="n"/>
      <c r="L251" s="8" t="n"/>
      <c r="M251" s="8" t="n"/>
      <c r="N251" s="8" t="n"/>
      <c r="O251" s="8" t="n"/>
    </row>
    <row r="252" ht="15" customHeight="1">
      <c r="A252" s="14" t="inlineStr">
        <is>
          <t>Nasdaq / AxiomSL</t>
        </is>
      </c>
      <c r="B252" s="8" t="n"/>
      <c r="C252" s="8" t="inlineStr">
        <is>
          <t>SE</t>
        </is>
      </c>
      <c r="D252" s="8" t="inlineStr">
        <is>
          <t>SE</t>
        </is>
      </c>
      <c r="E252" s="8" t="inlineStr">
        <is>
          <t>Senior SE</t>
        </is>
      </c>
      <c r="F252" s="8" t="inlineStr">
        <is>
          <t>Senior SE</t>
        </is>
      </c>
      <c r="G252" s="8" t="inlineStr">
        <is>
          <t>Lead SE</t>
        </is>
      </c>
      <c r="H252" s="8" t="n"/>
      <c r="I252" s="8" t="inlineStr">
        <is>
          <t>Principal SE</t>
        </is>
      </c>
      <c r="J252" s="8" t="n"/>
      <c r="K252" s="8" t="n"/>
      <c r="L252" s="8" t="n"/>
      <c r="M252" s="8" t="n"/>
      <c r="N252" s="8" t="n"/>
      <c r="O252" s="8" t="n"/>
    </row>
    <row r="253" ht="41" customHeight="1">
      <c r="A253" s="14" t="inlineStr">
        <is>
          <t>Salesforce</t>
        </is>
      </c>
      <c r="B253" s="8" t="n"/>
      <c r="C253" s="8" t="inlineStr">
        <is>
          <t>AMTS</t>
        </is>
      </c>
      <c r="D253" s="8" t="inlineStr">
        <is>
          <t>MTS</t>
        </is>
      </c>
      <c r="E253" s="8" t="inlineStr">
        <is>
          <t>MTS</t>
        </is>
      </c>
      <c r="F253" s="8" t="inlineStr">
        <is>
          <t>SMTS</t>
        </is>
      </c>
      <c r="G253" s="8" t="inlineStr">
        <is>
          <t>LMTS</t>
        </is>
      </c>
      <c r="H253" s="8" t="n"/>
      <c r="I253" s="8" t="inlineStr">
        <is>
          <t>PMTS</t>
        </is>
      </c>
      <c r="J253" s="8" t="inlineStr">
        <is>
          <t>Architect / Principal Architect</t>
        </is>
      </c>
      <c r="K253" s="8" t="n"/>
      <c r="L253" s="8" t="inlineStr">
        <is>
          <t>Distinguished Engineer</t>
        </is>
      </c>
      <c r="M253" s="8" t="n"/>
      <c r="N253" s="8" t="n"/>
      <c r="O253" s="8" t="n"/>
    </row>
    <row r="254" ht="28" customHeight="1">
      <c r="A254" s="14" t="inlineStr">
        <is>
          <t>Atlassian</t>
        </is>
      </c>
      <c r="B254" s="8" t="n"/>
      <c r="C254" s="8" t="inlineStr">
        <is>
          <t>P30 Junior · 0–2 yrs</t>
        </is>
      </c>
      <c r="D254" s="8" t="inlineStr">
        <is>
          <t>P40 · 3–7 yrs</t>
        </is>
      </c>
      <c r="E254" s="8" t="inlineStr">
        <is>
          <t>P40</t>
        </is>
      </c>
      <c r="F254" s="8" t="inlineStr">
        <is>
          <t>P50 Senior · 6–12 yrs</t>
        </is>
      </c>
      <c r="G254" s="8" t="inlineStr">
        <is>
          <t>P50 Senior</t>
        </is>
      </c>
      <c r="H254" s="8" t="n"/>
      <c r="I254" s="8" t="inlineStr">
        <is>
          <t>P60 Principal · 10+ yrs</t>
        </is>
      </c>
      <c r="J254" s="8" t="inlineStr">
        <is>
          <t>P70</t>
        </is>
      </c>
      <c r="K254" s="8" t="n"/>
      <c r="L254" s="8" t="n"/>
      <c r="M254" s="8" t="n"/>
      <c r="N254" s="8" t="n"/>
      <c r="O254" s="8" t="n"/>
    </row>
    <row r="255" ht="28" customHeight="1">
      <c r="A255" s="14" t="inlineStr">
        <is>
          <t>Freshworks</t>
        </is>
      </c>
      <c r="B255" s="8" t="n"/>
      <c r="C255" s="8" t="inlineStr">
        <is>
          <t>SE</t>
        </is>
      </c>
      <c r="D255" s="8" t="inlineStr">
        <is>
          <t>Senior SE</t>
        </is>
      </c>
      <c r="E255" s="8" t="inlineStr">
        <is>
          <t>Senior SE</t>
        </is>
      </c>
      <c r="F255" s="8" t="inlineStr">
        <is>
          <t>Lead SE</t>
        </is>
      </c>
      <c r="G255" s="8" t="inlineStr">
        <is>
          <t>Staff SE</t>
        </is>
      </c>
      <c r="H255" s="8" t="n"/>
      <c r="I255" s="8" t="inlineStr">
        <is>
          <t>Senior Staff SE</t>
        </is>
      </c>
      <c r="J255" s="8" t="inlineStr">
        <is>
          <t>Principal Engineer</t>
        </is>
      </c>
      <c r="K255" s="8" t="n"/>
      <c r="L255" s="8" t="n"/>
      <c r="M255" s="8" t="n"/>
      <c r="N255" s="8" t="n"/>
      <c r="O255" s="8" t="n"/>
    </row>
    <row r="256" ht="28" customHeight="1">
      <c r="A256" s="14" t="inlineStr">
        <is>
          <t>Clear · C14; unverified</t>
        </is>
      </c>
      <c r="B256" s="8" t="n"/>
      <c r="C256" s="8" t="inlineStr">
        <is>
          <t>SDE1</t>
        </is>
      </c>
      <c r="D256" s="8" t="inlineStr">
        <is>
          <t>SDE2</t>
        </is>
      </c>
      <c r="E256" s="8" t="inlineStr">
        <is>
          <t>SDE2</t>
        </is>
      </c>
      <c r="F256" s="8" t="inlineStr">
        <is>
          <t>SDE3 / Senior</t>
        </is>
      </c>
      <c r="G256" s="8" t="inlineStr">
        <is>
          <t>Staff</t>
        </is>
      </c>
      <c r="H256" s="8" t="n"/>
      <c r="I256" s="8" t="n"/>
      <c r="J256" s="8" t="n"/>
      <c r="K256" s="8" t="n"/>
      <c r="L256" s="8" t="n"/>
      <c r="M256" s="8" t="n"/>
      <c r="N256" s="8" t="n"/>
      <c r="O256" s="8" t="n"/>
    </row>
    <row r="257" ht="28" customHeight="1">
      <c r="A257" s="14" t="inlineStr">
        <is>
          <t>Google Tech Lead Manager</t>
        </is>
      </c>
      <c r="B257" s="8" t="n"/>
      <c r="C257" s="8" t="n"/>
      <c r="D257" s="8" t="n"/>
      <c r="E257" s="8" t="n"/>
      <c r="F257" s="8" t="n"/>
      <c r="G257" s="8" t="n"/>
      <c r="H257" s="8" t="inlineStr">
        <is>
          <t>Tech Lead Manager · TLM</t>
        </is>
      </c>
      <c r="I257" s="8" t="n"/>
      <c r="J257" s="8" t="n"/>
      <c r="K257" s="8" t="inlineStr">
        <is>
          <t>Senior TLM / Director</t>
        </is>
      </c>
      <c r="L257" s="8" t="n"/>
      <c r="M257" s="8" t="n"/>
      <c r="N257" s="8" t="n"/>
      <c r="O257" s="8" t="n"/>
    </row>
    <row r="258" ht="54" customHeight="1">
      <c r="A258" s="14" t="inlineStr">
        <is>
          <t>IRIS Vs Competitor Benchmark — engineering managers · informed by Freshworks, GitLab; C12, C20</t>
        </is>
      </c>
      <c r="B258" s="8" t="n"/>
      <c r="C258" s="8" t="n"/>
      <c r="D258" s="8" t="n"/>
      <c r="E258" s="8" t="n"/>
      <c r="F258" s="8" t="inlineStr">
        <is>
          <t>Engineering Manager</t>
        </is>
      </c>
      <c r="G258" s="8" t="inlineStr">
        <is>
          <t>Senior EM</t>
        </is>
      </c>
      <c r="H258" s="8" t="n"/>
      <c r="I258" s="8" t="inlineStr">
        <is>
          <t>Senior EM / Director</t>
        </is>
      </c>
      <c r="J258" s="8" t="inlineStr">
        <is>
          <t>Director Engineering</t>
        </is>
      </c>
      <c r="K258" s="8" t="n"/>
      <c r="L258" s="8" t="inlineStr">
        <is>
          <t>Senior Director</t>
        </is>
      </c>
      <c r="M258" s="8" t="inlineStr">
        <is>
          <t>VP Engineering</t>
        </is>
      </c>
      <c r="N258" s="8" t="inlineStr">
        <is>
          <t>CTO</t>
        </is>
      </c>
      <c r="O258" s="8" t="n"/>
    </row>
    <row r="259" ht="15" customHeight="1"/>
    <row r="260" ht="15" customHeight="1">
      <c r="A260" s="61" t="inlineStr">
        <is>
          <t>IRIS Data &amp; Analytics Vs · Standard: DAMA-DMBOK · 11 knowledge areas around data governance · 1 here</t>
        </is>
      </c>
      <c r="B260" s="64" t="n"/>
      <c r="C260" s="64" t="n"/>
      <c r="D260" s="64" t="n"/>
      <c r="E260" s="64" t="n"/>
      <c r="F260" s="64" t="n"/>
      <c r="G260" s="64" t="n"/>
      <c r="H260" s="64" t="n"/>
      <c r="I260" s="64" t="n"/>
      <c r="J260" s="64" t="n"/>
      <c r="K260" s="64" t="n"/>
      <c r="L260" s="64" t="n"/>
      <c r="M260" s="64" t="n"/>
      <c r="N260" s="64" t="n"/>
      <c r="O260" s="63" t="n"/>
    </row>
    <row r="261" ht="15" customHeight="1">
      <c r="A261" s="76" t="inlineStr">
        <is>
          <t>Ladder / company</t>
        </is>
      </c>
      <c r="B261" s="76" t="inlineStr">
        <is>
          <t>A1</t>
        </is>
      </c>
      <c r="C261" s="76" t="inlineStr">
        <is>
          <t>A2</t>
        </is>
      </c>
      <c r="D261" s="76" t="inlineStr">
        <is>
          <t>A3</t>
        </is>
      </c>
      <c r="E261" s="76" t="inlineStr">
        <is>
          <t>B1</t>
        </is>
      </c>
      <c r="F261" s="76" t="inlineStr">
        <is>
          <t>B2</t>
        </is>
      </c>
      <c r="G261" s="76" t="inlineStr">
        <is>
          <t>B3</t>
        </is>
      </c>
      <c r="H261" s="76" t="inlineStr">
        <is>
          <t>B+</t>
        </is>
      </c>
      <c r="I261" s="76" t="inlineStr">
        <is>
          <t>C1</t>
        </is>
      </c>
      <c r="J261" s="76" t="inlineStr">
        <is>
          <t>C2</t>
        </is>
      </c>
      <c r="K261" s="76" t="inlineStr">
        <is>
          <t>C+</t>
        </is>
      </c>
      <c r="L261" s="76" t="inlineStr">
        <is>
          <t>D1</t>
        </is>
      </c>
      <c r="M261" s="76" t="inlineStr">
        <is>
          <t>D2</t>
        </is>
      </c>
      <c r="N261" s="76" t="inlineStr">
        <is>
          <t>E1</t>
        </is>
      </c>
      <c r="O261" s="76" t="inlineStr">
        <is>
          <t>E2</t>
        </is>
      </c>
    </row>
    <row r="262" ht="54" customHeight="1">
      <c r="A262" s="74" t="inlineStr">
        <is>
          <t>IRIS — IC title</t>
        </is>
      </c>
      <c r="B262" s="42" t="inlineStr">
        <is>
          <t>Intern / Trainee</t>
        </is>
      </c>
      <c r="C262" s="42" t="inlineStr">
        <is>
          <t>Associate</t>
        </is>
      </c>
      <c r="D262" s="42" t="inlineStr">
        <is>
          <t>Senior Associate</t>
        </is>
      </c>
      <c r="E262" s="43" t="inlineStr">
        <is>
          <t>Specialist</t>
        </is>
      </c>
      <c r="F262" s="43" t="inlineStr">
        <is>
          <t>Senior Specialist</t>
        </is>
      </c>
      <c r="G262" s="43" t="inlineStr">
        <is>
          <t>Lead Specialist</t>
        </is>
      </c>
      <c r="H262" s="44" t="inlineStr">
        <is>
          <t>Practice Lead · Player-Coach</t>
        </is>
      </c>
      <c r="I262" s="45" t="inlineStr">
        <is>
          <t>Principal</t>
        </is>
      </c>
      <c r="J262" s="45" t="inlineStr">
        <is>
          <t>Senior Principal / Architect</t>
        </is>
      </c>
      <c r="K262" s="46" t="inlineStr">
        <is>
          <t>Group Head · Player-Coach</t>
        </is>
      </c>
      <c r="L262" s="47" t="inlineStr">
        <is>
          <t>Chief Specialist / Distinguished Principal</t>
        </is>
      </c>
      <c r="M262" s="47" t="inlineStr">
        <is>
          <t>—</t>
        </is>
      </c>
      <c r="N262" s="48" t="inlineStr">
        <is>
          <t>—</t>
        </is>
      </c>
      <c r="O262" s="48" t="inlineStr">
        <is>
          <t>—</t>
        </is>
      </c>
    </row>
    <row r="263" ht="54" customHeight="1">
      <c r="A263" s="74" t="inlineStr">
        <is>
          <t>IRIS — Manager title</t>
        </is>
      </c>
      <c r="B263" s="42" t="n"/>
      <c r="C263" s="42" t="n"/>
      <c r="D263" s="42" t="n"/>
      <c r="E263" s="43" t="inlineStr">
        <is>
          <t>Team Lead</t>
        </is>
      </c>
      <c r="F263" s="43" t="inlineStr">
        <is>
          <t>Manager</t>
        </is>
      </c>
      <c r="G263" s="43" t="inlineStr">
        <is>
          <t>Senior Manager</t>
        </is>
      </c>
      <c r="H263" s="44" t="inlineStr">
        <is>
          <t>Practice Lead · Player-Coach</t>
        </is>
      </c>
      <c r="I263" s="45" t="inlineStr">
        <is>
          <t>Associate Head</t>
        </is>
      </c>
      <c r="J263" s="45" t="inlineStr">
        <is>
          <t>Head of Function</t>
        </is>
      </c>
      <c r="K263" s="46" t="inlineStr">
        <is>
          <t>Group Head · Player-Coach</t>
        </is>
      </c>
      <c r="L263" s="47" t="inlineStr">
        <is>
          <t>Associate Vice President / Business Head</t>
        </is>
      </c>
      <c r="M263" s="47" t="inlineStr">
        <is>
          <t>Vice President</t>
        </is>
      </c>
      <c r="N263" s="48" t="inlineStr">
        <is>
          <t>CXO / President</t>
        </is>
      </c>
      <c r="O263" s="48" t="inlineStr">
        <is>
          <t>Chief Executive Officer</t>
        </is>
      </c>
    </row>
    <row r="264" ht="15" customHeight="1">
      <c r="A264" s="74" t="inlineStr">
        <is>
          <t>IRIS — people at level</t>
        </is>
      </c>
      <c r="B264" s="42" t="n"/>
      <c r="C264" s="42" t="n"/>
      <c r="D264" s="42" t="n">
        <v>1</v>
      </c>
      <c r="E264" s="43" t="n"/>
      <c r="F264" s="43" t="n"/>
      <c r="G264" s="43" t="n"/>
      <c r="H264" s="44" t="n"/>
      <c r="I264" s="45" t="n"/>
      <c r="J264" s="45" t="n"/>
      <c r="K264" s="46" t="n"/>
      <c r="L264" s="47" t="n"/>
      <c r="M264" s="47" t="n"/>
      <c r="N264" s="48" t="n"/>
      <c r="O264" s="48" t="n"/>
    </row>
    <row r="265" ht="28" customHeight="1">
      <c r="A265" s="14" t="inlineStr">
        <is>
          <t>Atlassian company-wide P-levels</t>
        </is>
      </c>
      <c r="B265" s="8" t="n"/>
      <c r="C265" s="8" t="inlineStr">
        <is>
          <t>P30 Analyst</t>
        </is>
      </c>
      <c r="D265" s="8" t="inlineStr">
        <is>
          <t>P40 Analyst</t>
        </is>
      </c>
      <c r="E265" s="8" t="inlineStr">
        <is>
          <t>P40</t>
        </is>
      </c>
      <c r="F265" s="8" t="inlineStr">
        <is>
          <t>P50 Senior Analyst</t>
        </is>
      </c>
      <c r="G265" s="8" t="inlineStr">
        <is>
          <t>P50 / Lead</t>
        </is>
      </c>
      <c r="H265" s="8" t="n"/>
      <c r="I265" s="8" t="inlineStr">
        <is>
          <t>P60 Principal</t>
        </is>
      </c>
      <c r="J265" s="8" t="n"/>
      <c r="K265" s="8" t="n"/>
      <c r="L265" s="8" t="n"/>
      <c r="M265" s="8" t="n"/>
      <c r="N265" s="8" t="n"/>
      <c r="O265" s="8" t="n"/>
    </row>
    <row r="266" ht="41" customHeight="1">
      <c r="A266" s="14" t="inlineStr">
        <is>
          <t>IRIS Vs Competitor Benchmark — data analyst ladder · informed by Radford codes</t>
        </is>
      </c>
      <c r="B266" s="8" t="n"/>
      <c r="C266" s="8" t="inlineStr">
        <is>
          <t>Data Analyst I</t>
        </is>
      </c>
      <c r="D266" s="8" t="inlineStr">
        <is>
          <t>Data Analyst II</t>
        </is>
      </c>
      <c r="E266" s="8" t="inlineStr">
        <is>
          <t>Senior Data Analyst</t>
        </is>
      </c>
      <c r="F266" s="8" t="inlineStr">
        <is>
          <t>Lead Data Analyst</t>
        </is>
      </c>
      <c r="G266" s="8" t="inlineStr">
        <is>
          <t>Principal / Analytics Manager</t>
        </is>
      </c>
      <c r="H266" s="8" t="n"/>
      <c r="I266" s="8" t="inlineStr">
        <is>
          <t>Head of Analytics</t>
        </is>
      </c>
      <c r="J266" s="8" t="n"/>
      <c r="K266" s="8" t="n"/>
      <c r="L266" s="8" t="n"/>
      <c r="M266" s="8" t="n"/>
      <c r="N266" s="8" t="n"/>
      <c r="O266" s="8" t="n"/>
    </row>
    <row r="267" ht="15" customHeight="1"/>
    <row r="268" ht="20" customHeight="1">
      <c r="A268" s="79" t="inlineStr">
        <is>
          <t>XBRL Consulting — 32 people</t>
        </is>
      </c>
    </row>
    <row r="269" ht="15" customHeight="1">
      <c r="A269" s="61" t="inlineStr">
        <is>
          <t>IRIS Consulting &amp; Professional Services Vs · Standard: XBRL US GAAP Certificate · AICPA &amp; XBRL US; XBRL International specifications; IFRS / US GAAP / Ind AS · 32 here</t>
        </is>
      </c>
      <c r="B269" s="64" t="n"/>
      <c r="C269" s="64" t="n"/>
      <c r="D269" s="64" t="n"/>
      <c r="E269" s="64" t="n"/>
      <c r="F269" s="64" t="n"/>
      <c r="G269" s="64" t="n"/>
      <c r="H269" s="64" t="n"/>
      <c r="I269" s="64" t="n"/>
      <c r="J269" s="64" t="n"/>
      <c r="K269" s="64" t="n"/>
      <c r="L269" s="64" t="n"/>
      <c r="M269" s="64" t="n"/>
      <c r="N269" s="64" t="n"/>
      <c r="O269" s="63" t="n"/>
    </row>
    <row r="270" ht="15" customHeight="1">
      <c r="A270" s="76" t="inlineStr">
        <is>
          <t>Ladder / company</t>
        </is>
      </c>
      <c r="B270" s="76" t="inlineStr">
        <is>
          <t>A1</t>
        </is>
      </c>
      <c r="C270" s="76" t="inlineStr">
        <is>
          <t>A2</t>
        </is>
      </c>
      <c r="D270" s="76" t="inlineStr">
        <is>
          <t>A3</t>
        </is>
      </c>
      <c r="E270" s="76" t="inlineStr">
        <is>
          <t>B1</t>
        </is>
      </c>
      <c r="F270" s="76" t="inlineStr">
        <is>
          <t>B2</t>
        </is>
      </c>
      <c r="G270" s="76" t="inlineStr">
        <is>
          <t>B3</t>
        </is>
      </c>
      <c r="H270" s="76" t="inlineStr">
        <is>
          <t>B+</t>
        </is>
      </c>
      <c r="I270" s="76" t="inlineStr">
        <is>
          <t>C1</t>
        </is>
      </c>
      <c r="J270" s="76" t="inlineStr">
        <is>
          <t>C2</t>
        </is>
      </c>
      <c r="K270" s="76" t="inlineStr">
        <is>
          <t>C+</t>
        </is>
      </c>
      <c r="L270" s="76" t="inlineStr">
        <is>
          <t>D1</t>
        </is>
      </c>
      <c r="M270" s="76" t="inlineStr">
        <is>
          <t>D2</t>
        </is>
      </c>
      <c r="N270" s="76" t="inlineStr">
        <is>
          <t>E1</t>
        </is>
      </c>
      <c r="O270" s="76" t="inlineStr">
        <is>
          <t>E2</t>
        </is>
      </c>
    </row>
    <row r="271" ht="54" customHeight="1">
      <c r="A271" s="74" t="inlineStr">
        <is>
          <t>IRIS — IC title</t>
        </is>
      </c>
      <c r="B271" s="42" t="inlineStr">
        <is>
          <t>Intern / Trainee</t>
        </is>
      </c>
      <c r="C271" s="42" t="inlineStr">
        <is>
          <t>Associate</t>
        </is>
      </c>
      <c r="D271" s="42" t="inlineStr">
        <is>
          <t>Senior Associate</t>
        </is>
      </c>
      <c r="E271" s="43" t="inlineStr">
        <is>
          <t>Specialist</t>
        </is>
      </c>
      <c r="F271" s="43" t="inlineStr">
        <is>
          <t>Senior Specialist</t>
        </is>
      </c>
      <c r="G271" s="43" t="inlineStr">
        <is>
          <t>Lead Specialist</t>
        </is>
      </c>
      <c r="H271" s="44" t="inlineStr">
        <is>
          <t>Practice Lead · Player-Coach</t>
        </is>
      </c>
      <c r="I271" s="45" t="inlineStr">
        <is>
          <t>Principal</t>
        </is>
      </c>
      <c r="J271" s="45" t="inlineStr">
        <is>
          <t>Senior Principal / Architect</t>
        </is>
      </c>
      <c r="K271" s="46" t="inlineStr">
        <is>
          <t>Group Head · Player-Coach</t>
        </is>
      </c>
      <c r="L271" s="47" t="inlineStr">
        <is>
          <t>Chief Specialist / Distinguished Principal</t>
        </is>
      </c>
      <c r="M271" s="47" t="inlineStr">
        <is>
          <t>—</t>
        </is>
      </c>
      <c r="N271" s="48" t="inlineStr">
        <is>
          <t>—</t>
        </is>
      </c>
      <c r="O271" s="48" t="inlineStr">
        <is>
          <t>—</t>
        </is>
      </c>
    </row>
    <row r="272" ht="54" customHeight="1">
      <c r="A272" s="74" t="inlineStr">
        <is>
          <t>IRIS — Manager title</t>
        </is>
      </c>
      <c r="B272" s="42" t="n"/>
      <c r="C272" s="42" t="n"/>
      <c r="D272" s="42" t="n"/>
      <c r="E272" s="43" t="inlineStr">
        <is>
          <t>Team Lead</t>
        </is>
      </c>
      <c r="F272" s="43" t="inlineStr">
        <is>
          <t>Manager</t>
        </is>
      </c>
      <c r="G272" s="43" t="inlineStr">
        <is>
          <t>Senior Manager</t>
        </is>
      </c>
      <c r="H272" s="44" t="inlineStr">
        <is>
          <t>Practice Lead · Player-Coach</t>
        </is>
      </c>
      <c r="I272" s="45" t="inlineStr">
        <is>
          <t>Associate Head</t>
        </is>
      </c>
      <c r="J272" s="45" t="inlineStr">
        <is>
          <t>Head of Function</t>
        </is>
      </c>
      <c r="K272" s="46" t="inlineStr">
        <is>
          <t>Group Head · Player-Coach</t>
        </is>
      </c>
      <c r="L272" s="47" t="inlineStr">
        <is>
          <t>Associate Vice President / Business Head</t>
        </is>
      </c>
      <c r="M272" s="47" t="inlineStr">
        <is>
          <t>Vice President</t>
        </is>
      </c>
      <c r="N272" s="48" t="inlineStr">
        <is>
          <t>CXO / President</t>
        </is>
      </c>
      <c r="O272" s="48" t="inlineStr">
        <is>
          <t>Chief Executive Officer</t>
        </is>
      </c>
    </row>
    <row r="273" ht="15" customHeight="1">
      <c r="A273" s="74" t="inlineStr">
        <is>
          <t>IRIS — people at level</t>
        </is>
      </c>
      <c r="B273" s="42" t="n"/>
      <c r="C273" s="42" t="n">
        <v>5</v>
      </c>
      <c r="D273" s="42" t="n">
        <v>17</v>
      </c>
      <c r="E273" s="43" t="n">
        <v>3</v>
      </c>
      <c r="F273" s="43" t="n">
        <v>5</v>
      </c>
      <c r="G273" s="43" t="n"/>
      <c r="H273" s="44" t="n"/>
      <c r="I273" s="45" t="n"/>
      <c r="J273" s="45" t="n">
        <v>1</v>
      </c>
      <c r="K273" s="46" t="n"/>
      <c r="L273" s="47" t="n"/>
      <c r="M273" s="47" t="n"/>
      <c r="N273" s="48" t="n"/>
      <c r="O273" s="48" t="n"/>
    </row>
    <row r="274" ht="41" customHeight="1">
      <c r="A274" s="14" t="inlineStr">
        <is>
          <t>Toppan Merrill</t>
        </is>
      </c>
      <c r="B274" s="8" t="n"/>
      <c r="C274" s="8" t="inlineStr">
        <is>
          <t>XBRL Financial Analyst, Associate</t>
        </is>
      </c>
      <c r="D274" s="8" t="n"/>
      <c r="E274" s="8" t="n"/>
      <c r="F274" s="8" t="n"/>
      <c r="G274" s="8" t="n"/>
      <c r="H274" s="8" t="n"/>
      <c r="I274" s="8" t="n"/>
      <c r="J274" s="8" t="n"/>
      <c r="K274" s="8" t="n"/>
      <c r="L274" s="8" t="n"/>
      <c r="M274" s="8" t="n"/>
      <c r="N274" s="8" t="n"/>
      <c r="O274" s="8" t="n"/>
    </row>
    <row r="275" ht="67" customHeight="1">
      <c r="A275" s="14" t="inlineStr">
        <is>
          <t>Workiva professional services</t>
        </is>
      </c>
      <c r="B275" s="8" t="n"/>
      <c r="C275" s="8" t="n"/>
      <c r="D275" s="8" t="n"/>
      <c r="E275" s="8" t="n"/>
      <c r="F275" s="8" t="n"/>
      <c r="G275" s="8" t="inlineStr">
        <is>
          <t>Professional Services Manager · XBRL data modelling</t>
        </is>
      </c>
      <c r="H275" s="8" t="n"/>
      <c r="I275" s="8" t="n"/>
      <c r="J275" s="8" t="n"/>
      <c r="K275" s="8" t="n"/>
      <c r="L275" s="8" t="n"/>
      <c r="M275" s="8" t="n"/>
      <c r="N275" s="8" t="n"/>
      <c r="O275" s="8" t="n"/>
    </row>
    <row r="276" ht="41" customHeight="1">
      <c r="A276" s="14" t="inlineStr">
        <is>
          <t>DataTracks</t>
        </is>
      </c>
      <c r="B276" s="8" t="n"/>
      <c r="C276" s="8" t="inlineStr">
        <is>
          <t>Associate</t>
        </is>
      </c>
      <c r="D276" s="8" t="inlineStr">
        <is>
          <t>Senior Associate · 2–5 yrs</t>
        </is>
      </c>
      <c r="E276" s="8" t="n"/>
      <c r="F276" s="8" t="n"/>
      <c r="G276" s="8" t="n"/>
      <c r="H276" s="8" t="n"/>
      <c r="I276" s="8" t="n"/>
      <c r="J276" s="8" t="n"/>
      <c r="K276" s="8" t="n"/>
      <c r="L276" s="8" t="n"/>
      <c r="M276" s="8" t="n"/>
      <c r="N276" s="8" t="n"/>
      <c r="O276" s="8" t="n"/>
    </row>
    <row r="277" ht="28" customHeight="1">
      <c r="A277" s="14" t="inlineStr">
        <is>
          <t>Big Four</t>
        </is>
      </c>
      <c r="B277" s="8" t="n"/>
      <c r="C277" s="8" t="inlineStr">
        <is>
          <t>Analyst</t>
        </is>
      </c>
      <c r="D277" s="8" t="inlineStr">
        <is>
          <t>Consultant</t>
        </is>
      </c>
      <c r="E277" s="8" t="inlineStr">
        <is>
          <t>Senior Consultant</t>
        </is>
      </c>
      <c r="F277" s="8" t="inlineStr">
        <is>
          <t>Manager</t>
        </is>
      </c>
      <c r="G277" s="8" t="inlineStr">
        <is>
          <t>Senior Manager</t>
        </is>
      </c>
      <c r="H277" s="8" t="n"/>
      <c r="I277" s="8" t="inlineStr">
        <is>
          <t>Associate Director</t>
        </is>
      </c>
      <c r="J277" s="8" t="inlineStr">
        <is>
          <t>Director</t>
        </is>
      </c>
      <c r="K277" s="8" t="n"/>
      <c r="L277" s="8" t="inlineStr">
        <is>
          <t>Partner</t>
        </is>
      </c>
      <c r="M277" s="8" t="n"/>
      <c r="N277" s="8" t="n"/>
      <c r="O277" s="8" t="n"/>
    </row>
    <row r="278" ht="41" customHeight="1">
      <c r="A278" s="14" t="inlineStr">
        <is>
          <t>IRIS Vs Market Benchmark — XBRL US credential pathway</t>
        </is>
      </c>
      <c r="B278" s="8" t="n"/>
      <c r="C278" s="8" t="n"/>
      <c r="D278" s="8" t="inlineStr">
        <is>
          <t>XBRL US GAAP Certificate</t>
        </is>
      </c>
      <c r="E278" s="8" t="inlineStr">
        <is>
          <t>Certificate + specialist taxonomy</t>
        </is>
      </c>
      <c r="F278" s="8" t="inlineStr">
        <is>
          <t>Certificate + review authority</t>
        </is>
      </c>
      <c r="G278" s="8" t="n"/>
      <c r="H278" s="8" t="n"/>
      <c r="I278" s="8" t="n"/>
      <c r="J278" s="8" t="n"/>
      <c r="K278" s="8" t="n"/>
      <c r="L278" s="8" t="n"/>
      <c r="M278" s="8" t="n"/>
      <c r="N278" s="8" t="n"/>
      <c r="O278" s="8" t="n"/>
    </row>
    <row r="279" ht="15" customHeight="1"/>
    <row r="280" ht="20" customHeight="1">
      <c r="A280" s="79" t="inlineStr">
        <is>
          <t>Sales — 21 people</t>
        </is>
      </c>
    </row>
    <row r="281" ht="15" customHeight="1">
      <c r="A281" s="61" t="inlineStr">
        <is>
          <t>IRIS Sales &amp; Business Development Vs · Standard: SaaS sales ladder · SDR → AE → Enterprise AE → VP / CRO; MEDDICC-style qualification · 17 here</t>
        </is>
      </c>
      <c r="B281" s="64" t="n"/>
      <c r="C281" s="64" t="n"/>
      <c r="D281" s="64" t="n"/>
      <c r="E281" s="64" t="n"/>
      <c r="F281" s="64" t="n"/>
      <c r="G281" s="64" t="n"/>
      <c r="H281" s="64" t="n"/>
      <c r="I281" s="64" t="n"/>
      <c r="J281" s="64" t="n"/>
      <c r="K281" s="64" t="n"/>
      <c r="L281" s="64" t="n"/>
      <c r="M281" s="64" t="n"/>
      <c r="N281" s="64" t="n"/>
      <c r="O281" s="63" t="n"/>
    </row>
    <row r="282" ht="15" customHeight="1">
      <c r="A282" s="76" t="inlineStr">
        <is>
          <t>Ladder / company</t>
        </is>
      </c>
      <c r="B282" s="76" t="inlineStr">
        <is>
          <t>A1</t>
        </is>
      </c>
      <c r="C282" s="76" t="inlineStr">
        <is>
          <t>A2</t>
        </is>
      </c>
      <c r="D282" s="76" t="inlineStr">
        <is>
          <t>A3</t>
        </is>
      </c>
      <c r="E282" s="76" t="inlineStr">
        <is>
          <t>B1</t>
        </is>
      </c>
      <c r="F282" s="76" t="inlineStr">
        <is>
          <t>B2</t>
        </is>
      </c>
      <c r="G282" s="76" t="inlineStr">
        <is>
          <t>B3</t>
        </is>
      </c>
      <c r="H282" s="76" t="inlineStr">
        <is>
          <t>B+</t>
        </is>
      </c>
      <c r="I282" s="76" t="inlineStr">
        <is>
          <t>C1</t>
        </is>
      </c>
      <c r="J282" s="76" t="inlineStr">
        <is>
          <t>C2</t>
        </is>
      </c>
      <c r="K282" s="76" t="inlineStr">
        <is>
          <t>C+</t>
        </is>
      </c>
      <c r="L282" s="76" t="inlineStr">
        <is>
          <t>D1</t>
        </is>
      </c>
      <c r="M282" s="76" t="inlineStr">
        <is>
          <t>D2</t>
        </is>
      </c>
      <c r="N282" s="76" t="inlineStr">
        <is>
          <t>E1</t>
        </is>
      </c>
      <c r="O282" s="76" t="inlineStr">
        <is>
          <t>E2</t>
        </is>
      </c>
    </row>
    <row r="283" ht="54" customHeight="1">
      <c r="A283" s="74" t="inlineStr">
        <is>
          <t>IRIS — IC title</t>
        </is>
      </c>
      <c r="B283" s="42" t="inlineStr">
        <is>
          <t>Intern / Trainee</t>
        </is>
      </c>
      <c r="C283" s="42" t="inlineStr">
        <is>
          <t>Associate</t>
        </is>
      </c>
      <c r="D283" s="42" t="inlineStr">
        <is>
          <t>Senior Associate</t>
        </is>
      </c>
      <c r="E283" s="43" t="inlineStr">
        <is>
          <t>Specialist</t>
        </is>
      </c>
      <c r="F283" s="43" t="inlineStr">
        <is>
          <t>Senior Specialist</t>
        </is>
      </c>
      <c r="G283" s="43" t="inlineStr">
        <is>
          <t>Lead Specialist</t>
        </is>
      </c>
      <c r="H283" s="44" t="inlineStr">
        <is>
          <t>Practice Lead · Player-Coach</t>
        </is>
      </c>
      <c r="I283" s="45" t="inlineStr">
        <is>
          <t>Principal</t>
        </is>
      </c>
      <c r="J283" s="45" t="inlineStr">
        <is>
          <t>Senior Principal / Architect</t>
        </is>
      </c>
      <c r="K283" s="46" t="inlineStr">
        <is>
          <t>Group Head · Player-Coach</t>
        </is>
      </c>
      <c r="L283" s="47" t="inlineStr">
        <is>
          <t>Chief Specialist / Distinguished Principal</t>
        </is>
      </c>
      <c r="M283" s="47" t="inlineStr">
        <is>
          <t>—</t>
        </is>
      </c>
      <c r="N283" s="48" t="inlineStr">
        <is>
          <t>—</t>
        </is>
      </c>
      <c r="O283" s="48" t="inlineStr">
        <is>
          <t>—</t>
        </is>
      </c>
    </row>
    <row r="284" ht="54" customHeight="1">
      <c r="A284" s="74" t="inlineStr">
        <is>
          <t>IRIS — Manager title</t>
        </is>
      </c>
      <c r="B284" s="42" t="n"/>
      <c r="C284" s="42" t="n"/>
      <c r="D284" s="42" t="n"/>
      <c r="E284" s="43" t="inlineStr">
        <is>
          <t>Team Lead</t>
        </is>
      </c>
      <c r="F284" s="43" t="inlineStr">
        <is>
          <t>Manager</t>
        </is>
      </c>
      <c r="G284" s="43" t="inlineStr">
        <is>
          <t>Senior Manager</t>
        </is>
      </c>
      <c r="H284" s="44" t="inlineStr">
        <is>
          <t>Practice Lead · Player-Coach</t>
        </is>
      </c>
      <c r="I284" s="45" t="inlineStr">
        <is>
          <t>Associate Head</t>
        </is>
      </c>
      <c r="J284" s="45" t="inlineStr">
        <is>
          <t>Head of Function</t>
        </is>
      </c>
      <c r="K284" s="46" t="inlineStr">
        <is>
          <t>Group Head · Player-Coach</t>
        </is>
      </c>
      <c r="L284" s="47" t="inlineStr">
        <is>
          <t>Associate Vice President / Business Head</t>
        </is>
      </c>
      <c r="M284" s="47" t="inlineStr">
        <is>
          <t>Vice President</t>
        </is>
      </c>
      <c r="N284" s="48" t="inlineStr">
        <is>
          <t>CXO / President</t>
        </is>
      </c>
      <c r="O284" s="48" t="inlineStr">
        <is>
          <t>Chief Executive Officer</t>
        </is>
      </c>
    </row>
    <row r="285" ht="15" customHeight="1">
      <c r="A285" s="74" t="inlineStr">
        <is>
          <t>IRIS — people at level</t>
        </is>
      </c>
      <c r="B285" s="42" t="n"/>
      <c r="C285" s="42" t="n"/>
      <c r="D285" s="42" t="n">
        <v>2</v>
      </c>
      <c r="E285" s="43" t="n">
        <v>4</v>
      </c>
      <c r="F285" s="43" t="n">
        <v>3</v>
      </c>
      <c r="G285" s="43" t="n">
        <v>2</v>
      </c>
      <c r="H285" s="44" t="n"/>
      <c r="I285" s="45" t="n">
        <v>3</v>
      </c>
      <c r="J285" s="45" t="n">
        <v>1</v>
      </c>
      <c r="K285" s="46" t="n"/>
      <c r="L285" s="47" t="n"/>
      <c r="M285" s="47" t="n"/>
      <c r="N285" s="48" t="n"/>
      <c r="O285" s="48" t="n"/>
    </row>
    <row r="286" ht="54" customHeight="1">
      <c r="A286" s="14" t="inlineStr">
        <is>
          <t>IRIS Vs Competitor Benchmark — SaaS sales ladder — IC · informed by SaaStr and title guides, C16</t>
        </is>
      </c>
      <c r="B286" s="8" t="n"/>
      <c r="C286" s="8" t="inlineStr">
        <is>
          <t>SDR / BDR</t>
        </is>
      </c>
      <c r="D286" s="8" t="inlineStr">
        <is>
          <t>Senior SDR</t>
        </is>
      </c>
      <c r="E286" s="8" t="inlineStr">
        <is>
          <t>Account Executive · SMB</t>
        </is>
      </c>
      <c r="F286" s="8" t="inlineStr">
        <is>
          <t>Mid-Market AE</t>
        </is>
      </c>
      <c r="G286" s="8" t="inlineStr">
        <is>
          <t>Enterprise AE</t>
        </is>
      </c>
      <c r="H286" s="8" t="n"/>
      <c r="I286" s="8" t="inlineStr">
        <is>
          <t>Strategic / Principal AE</t>
        </is>
      </c>
      <c r="J286" s="8" t="n"/>
      <c r="K286" s="8" t="n"/>
      <c r="L286" s="8" t="n"/>
      <c r="M286" s="8" t="n"/>
      <c r="N286" s="8" t="n"/>
      <c r="O286" s="8" t="n"/>
    </row>
    <row r="287" ht="54" customHeight="1">
      <c r="A287" s="14" t="inlineStr">
        <is>
          <t>Job postings: player-coach sales leaders</t>
        </is>
      </c>
      <c r="B287" s="8" t="n"/>
      <c r="C287" s="8" t="n"/>
      <c r="D287" s="8" t="n"/>
      <c r="E287" s="8" t="n"/>
      <c r="F287" s="8" t="n"/>
      <c r="G287" s="8" t="n"/>
      <c r="H287" s="8" t="inlineStr">
        <is>
          <t>Sales Lead — Player/Coach · carries quota</t>
        </is>
      </c>
      <c r="I287" s="8" t="n"/>
      <c r="J287" s="8" t="n"/>
      <c r="K287" s="8" t="inlineStr">
        <is>
          <t>Head of Revenue — Player/Coach</t>
        </is>
      </c>
      <c r="L287" s="8" t="n"/>
      <c r="M287" s="8" t="n"/>
      <c r="N287" s="8" t="n"/>
      <c r="O287" s="8" t="n"/>
    </row>
    <row r="288" ht="54" customHeight="1">
      <c r="A288" s="14" t="inlineStr">
        <is>
          <t>IRIS Vs Competitor Benchmark — SaaS sales ladder — management · informed by title guides, C16</t>
        </is>
      </c>
      <c r="B288" s="8" t="n"/>
      <c r="C288" s="8" t="n"/>
      <c r="D288" s="8" t="n"/>
      <c r="E288" s="8" t="inlineStr">
        <is>
          <t>SDR Team Lead</t>
        </is>
      </c>
      <c r="F288" s="8" t="inlineStr">
        <is>
          <t>Sales Manager</t>
        </is>
      </c>
      <c r="G288" s="8" t="inlineStr">
        <is>
          <t>Senior Sales Manager</t>
        </is>
      </c>
      <c r="H288" s="8" t="n"/>
      <c r="I288" s="8" t="inlineStr">
        <is>
          <t>Regional Sales Head</t>
        </is>
      </c>
      <c r="J288" s="8" t="inlineStr">
        <is>
          <t>Director of Sales</t>
        </is>
      </c>
      <c r="K288" s="8" t="n"/>
      <c r="L288" s="8" t="inlineStr">
        <is>
          <t>VP Sales</t>
        </is>
      </c>
      <c r="M288" s="8" t="inlineStr">
        <is>
          <t>SVP Sales</t>
        </is>
      </c>
      <c r="N288" s="8" t="inlineStr">
        <is>
          <t>Chief Revenue Officer</t>
        </is>
      </c>
      <c r="O288" s="8" t="n"/>
    </row>
    <row r="289" ht="15" customHeight="1"/>
    <row r="290" ht="15" customHeight="1">
      <c r="A290" s="61" t="inlineStr">
        <is>
          <t>IRIS Executive Leadership Vs · Standard: Aon Radford executive levels E1–E6; Mercer ET1–ET3; Korn Ferry Leadership Architect · 2 here</t>
        </is>
      </c>
      <c r="B290" s="64" t="n"/>
      <c r="C290" s="64" t="n"/>
      <c r="D290" s="64" t="n"/>
      <c r="E290" s="64" t="n"/>
      <c r="F290" s="64" t="n"/>
      <c r="G290" s="64" t="n"/>
      <c r="H290" s="64" t="n"/>
      <c r="I290" s="64" t="n"/>
      <c r="J290" s="64" t="n"/>
      <c r="K290" s="64" t="n"/>
      <c r="L290" s="64" t="n"/>
      <c r="M290" s="64" t="n"/>
      <c r="N290" s="64" t="n"/>
      <c r="O290" s="63" t="n"/>
    </row>
    <row r="291" ht="15" customHeight="1">
      <c r="A291" s="76" t="inlineStr">
        <is>
          <t>Ladder / company</t>
        </is>
      </c>
      <c r="B291" s="76" t="inlineStr">
        <is>
          <t>A1</t>
        </is>
      </c>
      <c r="C291" s="76" t="inlineStr">
        <is>
          <t>A2</t>
        </is>
      </c>
      <c r="D291" s="76" t="inlineStr">
        <is>
          <t>A3</t>
        </is>
      </c>
      <c r="E291" s="76" t="inlineStr">
        <is>
          <t>B1</t>
        </is>
      </c>
      <c r="F291" s="76" t="inlineStr">
        <is>
          <t>B2</t>
        </is>
      </c>
      <c r="G291" s="76" t="inlineStr">
        <is>
          <t>B3</t>
        </is>
      </c>
      <c r="H291" s="76" t="inlineStr">
        <is>
          <t>B+</t>
        </is>
      </c>
      <c r="I291" s="76" t="inlineStr">
        <is>
          <t>C1</t>
        </is>
      </c>
      <c r="J291" s="76" t="inlineStr">
        <is>
          <t>C2</t>
        </is>
      </c>
      <c r="K291" s="76" t="inlineStr">
        <is>
          <t>C+</t>
        </is>
      </c>
      <c r="L291" s="76" t="inlineStr">
        <is>
          <t>D1</t>
        </is>
      </c>
      <c r="M291" s="76" t="inlineStr">
        <is>
          <t>D2</t>
        </is>
      </c>
      <c r="N291" s="76" t="inlineStr">
        <is>
          <t>E1</t>
        </is>
      </c>
      <c r="O291" s="76" t="inlineStr">
        <is>
          <t>E2</t>
        </is>
      </c>
    </row>
    <row r="292" ht="41" customHeight="1">
      <c r="A292" s="74" t="inlineStr">
        <is>
          <t>IRIS — IC title</t>
        </is>
      </c>
      <c r="B292" s="42" t="inlineStr">
        <is>
          <t>Intern / Trainee</t>
        </is>
      </c>
      <c r="C292" s="42" t="inlineStr">
        <is>
          <t>Associate</t>
        </is>
      </c>
      <c r="D292" s="42" t="inlineStr">
        <is>
          <t>Senior Associate</t>
        </is>
      </c>
      <c r="E292" s="43" t="inlineStr">
        <is>
          <t>Specialist</t>
        </is>
      </c>
      <c r="F292" s="43" t="inlineStr">
        <is>
          <t>Senior Specialist</t>
        </is>
      </c>
      <c r="G292" s="43" t="inlineStr">
        <is>
          <t>Lead Specialist</t>
        </is>
      </c>
      <c r="H292" s="44" t="inlineStr">
        <is>
          <t>Practice Lead · Player-Coach</t>
        </is>
      </c>
      <c r="I292" s="45" t="inlineStr">
        <is>
          <t>Principal</t>
        </is>
      </c>
      <c r="J292" s="45" t="inlineStr">
        <is>
          <t>Senior Principal / Architect</t>
        </is>
      </c>
      <c r="K292" s="46" t="inlineStr">
        <is>
          <t>Group Head · Player-Coach</t>
        </is>
      </c>
      <c r="L292" s="47" t="inlineStr">
        <is>
          <t>—</t>
        </is>
      </c>
      <c r="M292" s="47" t="inlineStr">
        <is>
          <t>—</t>
        </is>
      </c>
      <c r="N292" s="48" t="inlineStr">
        <is>
          <t>—</t>
        </is>
      </c>
      <c r="O292" s="48" t="inlineStr">
        <is>
          <t>—</t>
        </is>
      </c>
    </row>
    <row r="293" ht="41" customHeight="1">
      <c r="A293" s="74" t="inlineStr">
        <is>
          <t>IRIS — Manager title</t>
        </is>
      </c>
      <c r="B293" s="42" t="n"/>
      <c r="C293" s="42" t="n"/>
      <c r="D293" s="42" t="n"/>
      <c r="E293" s="43" t="inlineStr">
        <is>
          <t>Team Lead</t>
        </is>
      </c>
      <c r="F293" s="43" t="inlineStr">
        <is>
          <t>Manager</t>
        </is>
      </c>
      <c r="G293" s="43" t="inlineStr">
        <is>
          <t>Senior Manager</t>
        </is>
      </c>
      <c r="H293" s="44" t="inlineStr">
        <is>
          <t>Practice Lead · Player-Coach</t>
        </is>
      </c>
      <c r="I293" s="45" t="inlineStr">
        <is>
          <t>Associate Head</t>
        </is>
      </c>
      <c r="J293" s="45" t="inlineStr">
        <is>
          <t>Head of Function</t>
        </is>
      </c>
      <c r="K293" s="46" t="inlineStr">
        <is>
          <t>Group Head · Player-Coach</t>
        </is>
      </c>
      <c r="L293" s="47" t="inlineStr">
        <is>
          <t>Business Head</t>
        </is>
      </c>
      <c r="M293" s="47" t="inlineStr">
        <is>
          <t>Vice President</t>
        </is>
      </c>
      <c r="N293" s="48" t="inlineStr">
        <is>
          <t>CXO / President</t>
        </is>
      </c>
      <c r="O293" s="48" t="inlineStr">
        <is>
          <t>Chief Executive Officer</t>
        </is>
      </c>
    </row>
    <row r="294" ht="15" customHeight="1">
      <c r="A294" s="74" t="inlineStr">
        <is>
          <t>IRIS — people at level</t>
        </is>
      </c>
      <c r="B294" s="42" t="n"/>
      <c r="C294" s="42" t="n"/>
      <c r="D294" s="42" t="n"/>
      <c r="E294" s="43" t="n"/>
      <c r="F294" s="43" t="n"/>
      <c r="G294" s="43" t="n"/>
      <c r="H294" s="44" t="n"/>
      <c r="I294" s="45" t="n"/>
      <c r="J294" s="45" t="n"/>
      <c r="K294" s="46" t="n"/>
      <c r="L294" s="47" t="n"/>
      <c r="M294" s="47" t="n">
        <v>1</v>
      </c>
      <c r="N294" s="48" t="n"/>
      <c r="O294" s="48" t="n"/>
    </row>
    <row r="295" ht="41" customHeight="1">
      <c r="A295" s="14" t="inlineStr">
        <is>
          <t>IRIS Vs Market Benchmark — Aon Radford / Mercer executive codes</t>
        </is>
      </c>
      <c r="B295" s="8" t="n"/>
      <c r="C295" s="8" t="n"/>
      <c r="D295" s="8" t="n"/>
      <c r="E295" s="8" t="n"/>
      <c r="F295" s="8" t="n"/>
      <c r="G295" s="8" t="n"/>
      <c r="H295" s="8" t="n"/>
      <c r="I295" s="8" t="n"/>
      <c r="J295" s="8" t="n"/>
      <c r="K295" s="8" t="n"/>
      <c r="L295" s="8" t="inlineStr">
        <is>
          <t>E1–E2 VP / Business Head</t>
        </is>
      </c>
      <c r="M295" s="8" t="inlineStr">
        <is>
          <t>E3–E4 SVP</t>
        </is>
      </c>
      <c r="N295" s="8" t="inlineStr">
        <is>
          <t>E5 C-level · functional</t>
        </is>
      </c>
      <c r="O295" s="8" t="inlineStr">
        <is>
          <t>E6 CEO</t>
        </is>
      </c>
    </row>
    <row r="296" ht="41" customHeight="1">
      <c r="A296" s="14" t="inlineStr">
        <is>
          <t>IRIS Vs Competitor Benchmark — regtech / SaaS executive titles</t>
        </is>
      </c>
      <c r="B296" s="8" t="n"/>
      <c r="C296" s="8" t="n"/>
      <c r="D296" s="8" t="n"/>
      <c r="E296" s="8" t="n"/>
      <c r="F296" s="8" t="n"/>
      <c r="G296" s="8" t="n"/>
      <c r="H296" s="8" t="n"/>
      <c r="I296" s="8" t="n"/>
      <c r="J296" s="8" t="n"/>
      <c r="K296" s="8" t="n"/>
      <c r="L296" s="8" t="inlineStr">
        <is>
          <t>General Manager / VP</t>
        </is>
      </c>
      <c r="M296" s="8" t="inlineStr">
        <is>
          <t>SVP</t>
        </is>
      </c>
      <c r="N296" s="8" t="inlineStr">
        <is>
          <t>CTO · CFO · CRO · CCO · COO</t>
        </is>
      </c>
      <c r="O296" s="8" t="inlineStr">
        <is>
          <t>CEO</t>
        </is>
      </c>
    </row>
    <row r="297" ht="15" customHeight="1"/>
    <row r="298" ht="15" customHeight="1">
      <c r="A298" s="61" t="inlineStr">
        <is>
          <t>IRIS Customer Success &amp; Support Vs · Standard: TSIA frameworks and benchmarks; ITIL 4 service desk; Gainsight customer-success practice · 2 here</t>
        </is>
      </c>
      <c r="B298" s="64" t="n"/>
      <c r="C298" s="64" t="n"/>
      <c r="D298" s="64" t="n"/>
      <c r="E298" s="64" t="n"/>
      <c r="F298" s="64" t="n"/>
      <c r="G298" s="64" t="n"/>
      <c r="H298" s="64" t="n"/>
      <c r="I298" s="64" t="n"/>
      <c r="J298" s="64" t="n"/>
      <c r="K298" s="64" t="n"/>
      <c r="L298" s="64" t="n"/>
      <c r="M298" s="64" t="n"/>
      <c r="N298" s="64" t="n"/>
      <c r="O298" s="63" t="n"/>
    </row>
    <row r="299" ht="15" customHeight="1">
      <c r="A299" s="76" t="inlineStr">
        <is>
          <t>Ladder / company</t>
        </is>
      </c>
      <c r="B299" s="76" t="inlineStr">
        <is>
          <t>A1</t>
        </is>
      </c>
      <c r="C299" s="76" t="inlineStr">
        <is>
          <t>A2</t>
        </is>
      </c>
      <c r="D299" s="76" t="inlineStr">
        <is>
          <t>A3</t>
        </is>
      </c>
      <c r="E299" s="76" t="inlineStr">
        <is>
          <t>B1</t>
        </is>
      </c>
      <c r="F299" s="76" t="inlineStr">
        <is>
          <t>B2</t>
        </is>
      </c>
      <c r="G299" s="76" t="inlineStr">
        <is>
          <t>B3</t>
        </is>
      </c>
      <c r="H299" s="76" t="inlineStr">
        <is>
          <t>B+</t>
        </is>
      </c>
      <c r="I299" s="76" t="inlineStr">
        <is>
          <t>C1</t>
        </is>
      </c>
      <c r="J299" s="76" t="inlineStr">
        <is>
          <t>C2</t>
        </is>
      </c>
      <c r="K299" s="76" t="inlineStr">
        <is>
          <t>C+</t>
        </is>
      </c>
      <c r="L299" s="76" t="inlineStr">
        <is>
          <t>D1</t>
        </is>
      </c>
      <c r="M299" s="76" t="inlineStr">
        <is>
          <t>D2</t>
        </is>
      </c>
      <c r="N299" s="76" t="inlineStr">
        <is>
          <t>E1</t>
        </is>
      </c>
      <c r="O299" s="76" t="inlineStr">
        <is>
          <t>E2</t>
        </is>
      </c>
    </row>
    <row r="300" ht="54" customHeight="1">
      <c r="A300" s="74" t="inlineStr">
        <is>
          <t>IRIS — IC title</t>
        </is>
      </c>
      <c r="B300" s="42" t="inlineStr">
        <is>
          <t>Intern / Trainee</t>
        </is>
      </c>
      <c r="C300" s="42" t="inlineStr">
        <is>
          <t>Associate</t>
        </is>
      </c>
      <c r="D300" s="42" t="inlineStr">
        <is>
          <t>Senior Associate</t>
        </is>
      </c>
      <c r="E300" s="43" t="inlineStr">
        <is>
          <t>Specialist</t>
        </is>
      </c>
      <c r="F300" s="43" t="inlineStr">
        <is>
          <t>Senior Specialist</t>
        </is>
      </c>
      <c r="G300" s="43" t="inlineStr">
        <is>
          <t>Lead Specialist</t>
        </is>
      </c>
      <c r="H300" s="44" t="inlineStr">
        <is>
          <t>Practice Lead · Player-Coach</t>
        </is>
      </c>
      <c r="I300" s="45" t="inlineStr">
        <is>
          <t>Principal</t>
        </is>
      </c>
      <c r="J300" s="45" t="inlineStr">
        <is>
          <t>Senior Principal / Architect</t>
        </is>
      </c>
      <c r="K300" s="46" t="inlineStr">
        <is>
          <t>Group Head · Player-Coach</t>
        </is>
      </c>
      <c r="L300" s="47" t="inlineStr">
        <is>
          <t>Chief Specialist / Distinguished Principal</t>
        </is>
      </c>
      <c r="M300" s="47" t="inlineStr">
        <is>
          <t>—</t>
        </is>
      </c>
      <c r="N300" s="48" t="inlineStr">
        <is>
          <t>—</t>
        </is>
      </c>
      <c r="O300" s="48" t="inlineStr">
        <is>
          <t>—</t>
        </is>
      </c>
    </row>
    <row r="301" ht="54" customHeight="1">
      <c r="A301" s="74" t="inlineStr">
        <is>
          <t>IRIS — Manager title</t>
        </is>
      </c>
      <c r="B301" s="42" t="n"/>
      <c r="C301" s="42" t="n"/>
      <c r="D301" s="42" t="n"/>
      <c r="E301" s="43" t="inlineStr">
        <is>
          <t>Team Lead</t>
        </is>
      </c>
      <c r="F301" s="43" t="inlineStr">
        <is>
          <t>Manager</t>
        </is>
      </c>
      <c r="G301" s="43" t="inlineStr">
        <is>
          <t>Senior Manager</t>
        </is>
      </c>
      <c r="H301" s="44" t="inlineStr">
        <is>
          <t>Practice Lead · Player-Coach</t>
        </is>
      </c>
      <c r="I301" s="45" t="inlineStr">
        <is>
          <t>Associate Head</t>
        </is>
      </c>
      <c r="J301" s="45" t="inlineStr">
        <is>
          <t>Head of Function</t>
        </is>
      </c>
      <c r="K301" s="46" t="inlineStr">
        <is>
          <t>Group Head · Player-Coach</t>
        </is>
      </c>
      <c r="L301" s="47" t="inlineStr">
        <is>
          <t>Associate Vice President / Business Head</t>
        </is>
      </c>
      <c r="M301" s="47" t="inlineStr">
        <is>
          <t>Vice President</t>
        </is>
      </c>
      <c r="N301" s="48" t="inlineStr">
        <is>
          <t>CXO / President</t>
        </is>
      </c>
      <c r="O301" s="48" t="inlineStr">
        <is>
          <t>Chief Executive Officer</t>
        </is>
      </c>
    </row>
    <row r="302" ht="15" customHeight="1">
      <c r="A302" s="74" t="inlineStr">
        <is>
          <t>IRIS — people at level</t>
        </is>
      </c>
      <c r="B302" s="42" t="n">
        <v>2</v>
      </c>
      <c r="C302" s="42" t="n"/>
      <c r="D302" s="42" t="n"/>
      <c r="E302" s="43" t="n"/>
      <c r="F302" s="43" t="n"/>
      <c r="G302" s="43" t="n"/>
      <c r="H302" s="44" t="n"/>
      <c r="I302" s="45" t="n"/>
      <c r="J302" s="45" t="n"/>
      <c r="K302" s="46" t="n"/>
      <c r="L302" s="47" t="n"/>
      <c r="M302" s="47" t="n"/>
      <c r="N302" s="48" t="n"/>
      <c r="O302" s="48" t="n"/>
    </row>
    <row r="303" ht="41" customHeight="1">
      <c r="A303" s="14" t="inlineStr">
        <is>
          <t>Workiva</t>
        </is>
      </c>
      <c r="B303" s="8" t="inlineStr">
        <is>
          <t>Customer Success intern</t>
        </is>
      </c>
      <c r="C303" s="8" t="n"/>
      <c r="D303" s="8" t="n"/>
      <c r="E303" s="8" t="inlineStr">
        <is>
          <t>Customer Success Manager</t>
        </is>
      </c>
      <c r="F303" s="8" t="inlineStr">
        <is>
          <t>Product Success Manager</t>
        </is>
      </c>
      <c r="G303" s="8" t="inlineStr">
        <is>
          <t>Customer Success Architect</t>
        </is>
      </c>
      <c r="H303" s="8" t="n"/>
      <c r="I303" s="8" t="n"/>
      <c r="J303" s="8" t="n"/>
      <c r="K303" s="8" t="n"/>
      <c r="L303" s="8" t="n"/>
      <c r="M303" s="8" t="n"/>
      <c r="N303" s="8" t="n"/>
      <c r="O303" s="8" t="n"/>
    </row>
    <row r="304" ht="54" customHeight="1">
      <c r="A304" s="14" t="inlineStr">
        <is>
          <t>IRIS Vs Competitor Benchmark — SaaS customer-success ladder · informed by Gainsight postings, C15</t>
        </is>
      </c>
      <c r="B304" s="8" t="n"/>
      <c r="C304" s="8" t="inlineStr">
        <is>
          <t>Support Associate</t>
        </is>
      </c>
      <c r="D304" s="8" t="inlineStr">
        <is>
          <t>Associate CSM</t>
        </is>
      </c>
      <c r="E304" s="8" t="inlineStr">
        <is>
          <t>CSM</t>
        </is>
      </c>
      <c r="F304" s="8" t="inlineStr">
        <is>
          <t>Senior CSM</t>
        </is>
      </c>
      <c r="G304" s="8" t="inlineStr">
        <is>
          <t>Strategic CSM</t>
        </is>
      </c>
      <c r="H304" s="8" t="n"/>
      <c r="I304" s="8" t="inlineStr">
        <is>
          <t>Senior Manager CS</t>
        </is>
      </c>
      <c r="J304" s="8" t="inlineStr">
        <is>
          <t>Director Customer Success</t>
        </is>
      </c>
      <c r="K304" s="8" t="n"/>
      <c r="L304" s="8" t="n"/>
      <c r="M304" s="8" t="inlineStr">
        <is>
          <t>VP Customer Success</t>
        </is>
      </c>
      <c r="N304" s="8" t="inlineStr">
        <is>
          <t>Chief Customer Officer</t>
        </is>
      </c>
      <c r="O304" s="8" t="n"/>
    </row>
    <row r="305" ht="54" customHeight="1">
      <c r="A305" s="14" t="inlineStr">
        <is>
          <t>Regnology</t>
        </is>
      </c>
      <c r="B305" s="8" t="n"/>
      <c r="C305" s="8" t="n"/>
      <c r="D305" s="8" t="inlineStr">
        <is>
          <t>Product Support Specialist · Reg Reporting</t>
        </is>
      </c>
      <c r="E305" s="8" t="n"/>
      <c r="F305" s="8" t="n"/>
      <c r="G305" s="8" t="n"/>
      <c r="H305" s="8" t="n"/>
      <c r="I305" s="8" t="n"/>
      <c r="J305" s="8" t="n"/>
      <c r="K305" s="8" t="n"/>
      <c r="L305" s="8" t="n"/>
      <c r="M305" s="8" t="n"/>
      <c r="N305" s="8" t="n"/>
      <c r="O305" s="8" t="n"/>
    </row>
    <row r="306" ht="54" customHeight="1">
      <c r="A306" s="14" t="inlineStr">
        <is>
          <t>IRIS Vs Competitor Benchmark — support tiers · informed by ITIL 4, which defines practices, not titles</t>
        </is>
      </c>
      <c r="B306" s="8" t="n"/>
      <c r="C306" s="8" t="inlineStr">
        <is>
          <t>L1 Service Desk</t>
        </is>
      </c>
      <c r="D306" s="8" t="inlineStr">
        <is>
          <t>L2 Application Support</t>
        </is>
      </c>
      <c r="E306" s="8" t="inlineStr">
        <is>
          <t>L3 / Problem Analyst</t>
        </is>
      </c>
      <c r="F306" s="8" t="inlineStr">
        <is>
          <t>Support Team Manager</t>
        </is>
      </c>
      <c r="G306" s="8" t="inlineStr">
        <is>
          <t>Service Delivery Manager</t>
        </is>
      </c>
      <c r="H306" s="8" t="n"/>
      <c r="I306" s="8" t="n"/>
      <c r="J306" s="8" t="n"/>
      <c r="K306" s="8" t="n"/>
      <c r="L306" s="8" t="n"/>
      <c r="M306" s="8" t="n"/>
      <c r="N306" s="8" t="n"/>
      <c r="O306" s="8" t="n"/>
    </row>
    <row r="307" ht="15" customHeight="1"/>
    <row r="308" ht="20" customHeight="1">
      <c r="A308" s="79" t="inlineStr">
        <is>
          <t>Functional — 14 people</t>
        </is>
      </c>
    </row>
    <row r="309" ht="15" customHeight="1">
      <c r="A309" s="61" t="inlineStr">
        <is>
          <t>IRIS Solution Consulting &amp; Implementation Vs · Standard: TSIA professional services; PMI; BABOK · 7 here</t>
        </is>
      </c>
      <c r="B309" s="64" t="n"/>
      <c r="C309" s="64" t="n"/>
      <c r="D309" s="64" t="n"/>
      <c r="E309" s="64" t="n"/>
      <c r="F309" s="64" t="n"/>
      <c r="G309" s="64" t="n"/>
      <c r="H309" s="64" t="n"/>
      <c r="I309" s="64" t="n"/>
      <c r="J309" s="64" t="n"/>
      <c r="K309" s="64" t="n"/>
      <c r="L309" s="64" t="n"/>
      <c r="M309" s="64" t="n"/>
      <c r="N309" s="64" t="n"/>
      <c r="O309" s="63" t="n"/>
    </row>
    <row r="310" ht="15" customHeight="1">
      <c r="A310" s="76" t="inlineStr">
        <is>
          <t>Ladder / company</t>
        </is>
      </c>
      <c r="B310" s="76" t="inlineStr">
        <is>
          <t>A1</t>
        </is>
      </c>
      <c r="C310" s="76" t="inlineStr">
        <is>
          <t>A2</t>
        </is>
      </c>
      <c r="D310" s="76" t="inlineStr">
        <is>
          <t>A3</t>
        </is>
      </c>
      <c r="E310" s="76" t="inlineStr">
        <is>
          <t>B1</t>
        </is>
      </c>
      <c r="F310" s="76" t="inlineStr">
        <is>
          <t>B2</t>
        </is>
      </c>
      <c r="G310" s="76" t="inlineStr">
        <is>
          <t>B3</t>
        </is>
      </c>
      <c r="H310" s="76" t="inlineStr">
        <is>
          <t>B+</t>
        </is>
      </c>
      <c r="I310" s="76" t="inlineStr">
        <is>
          <t>C1</t>
        </is>
      </c>
      <c r="J310" s="76" t="inlineStr">
        <is>
          <t>C2</t>
        </is>
      </c>
      <c r="K310" s="76" t="inlineStr">
        <is>
          <t>C+</t>
        </is>
      </c>
      <c r="L310" s="76" t="inlineStr">
        <is>
          <t>D1</t>
        </is>
      </c>
      <c r="M310" s="76" t="inlineStr">
        <is>
          <t>D2</t>
        </is>
      </c>
      <c r="N310" s="76" t="inlineStr">
        <is>
          <t>E1</t>
        </is>
      </c>
      <c r="O310" s="76" t="inlineStr">
        <is>
          <t>E2</t>
        </is>
      </c>
    </row>
    <row r="311" ht="54" customHeight="1">
      <c r="A311" s="74" t="inlineStr">
        <is>
          <t>IRIS — IC title</t>
        </is>
      </c>
      <c r="B311" s="42" t="inlineStr">
        <is>
          <t>Intern / Trainee</t>
        </is>
      </c>
      <c r="C311" s="42" t="inlineStr">
        <is>
          <t>Associate</t>
        </is>
      </c>
      <c r="D311" s="42" t="inlineStr">
        <is>
          <t>Senior Associate</t>
        </is>
      </c>
      <c r="E311" s="43" t="inlineStr">
        <is>
          <t>Specialist</t>
        </is>
      </c>
      <c r="F311" s="43" t="inlineStr">
        <is>
          <t>Senior Specialist</t>
        </is>
      </c>
      <c r="G311" s="43" t="inlineStr">
        <is>
          <t>Lead Specialist</t>
        </is>
      </c>
      <c r="H311" s="44" t="inlineStr">
        <is>
          <t>Practice Lead · Player-Coach</t>
        </is>
      </c>
      <c r="I311" s="45" t="inlineStr">
        <is>
          <t>Principal</t>
        </is>
      </c>
      <c r="J311" s="45" t="inlineStr">
        <is>
          <t>Senior Principal / Architect</t>
        </is>
      </c>
      <c r="K311" s="46" t="inlineStr">
        <is>
          <t>Group Head · Player-Coach</t>
        </is>
      </c>
      <c r="L311" s="47" t="inlineStr">
        <is>
          <t>Chief Specialist / Distinguished Principal</t>
        </is>
      </c>
      <c r="M311" s="47" t="inlineStr">
        <is>
          <t>—</t>
        </is>
      </c>
      <c r="N311" s="48" t="inlineStr">
        <is>
          <t>—</t>
        </is>
      </c>
      <c r="O311" s="48" t="inlineStr">
        <is>
          <t>—</t>
        </is>
      </c>
    </row>
    <row r="312" ht="54" customHeight="1">
      <c r="A312" s="74" t="inlineStr">
        <is>
          <t>IRIS — Manager title</t>
        </is>
      </c>
      <c r="B312" s="42" t="n"/>
      <c r="C312" s="42" t="n"/>
      <c r="D312" s="42" t="n"/>
      <c r="E312" s="43" t="inlineStr">
        <is>
          <t>Team Lead</t>
        </is>
      </c>
      <c r="F312" s="43" t="inlineStr">
        <is>
          <t>Manager</t>
        </is>
      </c>
      <c r="G312" s="43" t="inlineStr">
        <is>
          <t>Senior Manager</t>
        </is>
      </c>
      <c r="H312" s="44" t="inlineStr">
        <is>
          <t>Practice Lead · Player-Coach</t>
        </is>
      </c>
      <c r="I312" s="45" t="inlineStr">
        <is>
          <t>Associate Head</t>
        </is>
      </c>
      <c r="J312" s="45" t="inlineStr">
        <is>
          <t>Head of Function</t>
        </is>
      </c>
      <c r="K312" s="46" t="inlineStr">
        <is>
          <t>Group Head · Player-Coach</t>
        </is>
      </c>
      <c r="L312" s="47" t="inlineStr">
        <is>
          <t>Associate Vice President / Business Head</t>
        </is>
      </c>
      <c r="M312" s="47" t="inlineStr">
        <is>
          <t>Vice President</t>
        </is>
      </c>
      <c r="N312" s="48" t="inlineStr">
        <is>
          <t>CXO / President</t>
        </is>
      </c>
      <c r="O312" s="48" t="inlineStr">
        <is>
          <t>Chief Executive Officer</t>
        </is>
      </c>
    </row>
    <row r="313" ht="15" customHeight="1">
      <c r="A313" s="74" t="inlineStr">
        <is>
          <t>IRIS — people at level</t>
        </is>
      </c>
      <c r="B313" s="42" t="n"/>
      <c r="C313" s="42" t="n"/>
      <c r="D313" s="42" t="n">
        <v>1</v>
      </c>
      <c r="E313" s="43" t="n">
        <v>5</v>
      </c>
      <c r="F313" s="43" t="n">
        <v>1</v>
      </c>
      <c r="G313" s="43" t="n"/>
      <c r="H313" s="44" t="n"/>
      <c r="I313" s="45" t="n"/>
      <c r="J313" s="45" t="n"/>
      <c r="K313" s="46" t="n"/>
      <c r="L313" s="47" t="n"/>
      <c r="M313" s="47" t="n"/>
      <c r="N313" s="48" t="n"/>
      <c r="O313" s="48" t="n"/>
    </row>
    <row r="314" ht="41" customHeight="1">
      <c r="A314" s="14" t="inlineStr">
        <is>
          <t>Workiva professional services</t>
        </is>
      </c>
      <c r="B314" s="8" t="n"/>
      <c r="C314" s="8" t="n"/>
      <c r="D314" s="8" t="n"/>
      <c r="E314" s="8" t="n"/>
      <c r="F314" s="8" t="n"/>
      <c r="G314" s="8" t="inlineStr">
        <is>
          <t>Professional Services Manager</t>
        </is>
      </c>
      <c r="H314" s="8" t="n"/>
      <c r="I314" s="8" t="n"/>
      <c r="J314" s="8" t="n"/>
      <c r="K314" s="8" t="n"/>
      <c r="L314" s="8" t="n"/>
      <c r="M314" s="8" t="n"/>
      <c r="N314" s="8" t="n"/>
      <c r="O314" s="8" t="n"/>
    </row>
    <row r="315" ht="28" customHeight="1">
      <c r="A315" s="14" t="inlineStr">
        <is>
          <t>Big Four</t>
        </is>
      </c>
      <c r="B315" s="8" t="n"/>
      <c r="C315" s="8" t="inlineStr">
        <is>
          <t>Analyst</t>
        </is>
      </c>
      <c r="D315" s="8" t="inlineStr">
        <is>
          <t>Consultant</t>
        </is>
      </c>
      <c r="E315" s="8" t="inlineStr">
        <is>
          <t>Senior Consultant</t>
        </is>
      </c>
      <c r="F315" s="8" t="inlineStr">
        <is>
          <t>Manager</t>
        </is>
      </c>
      <c r="G315" s="8" t="inlineStr">
        <is>
          <t>Senior Manager</t>
        </is>
      </c>
      <c r="H315" s="8" t="n"/>
      <c r="I315" s="8" t="inlineStr">
        <is>
          <t>Associate Director</t>
        </is>
      </c>
      <c r="J315" s="8" t="inlineStr">
        <is>
          <t>Director</t>
        </is>
      </c>
      <c r="K315" s="8" t="n"/>
      <c r="L315" s="8" t="n"/>
      <c r="M315" s="8" t="n"/>
      <c r="N315" s="8" t="n"/>
      <c r="O315" s="8" t="n"/>
    </row>
    <row r="316" ht="28" customHeight="1">
      <c r="A316" s="14" t="inlineStr">
        <is>
          <t>Regnology</t>
        </is>
      </c>
      <c r="B316" s="8" t="n"/>
      <c r="C316" s="8" t="n"/>
      <c r="D316" s="8" t="inlineStr">
        <is>
          <t>Junior BA</t>
        </is>
      </c>
      <c r="E316" s="8" t="inlineStr">
        <is>
          <t>BA · Reg Reporting</t>
        </is>
      </c>
      <c r="F316" s="8" t="inlineStr">
        <is>
          <t>Senior BA</t>
        </is>
      </c>
      <c r="G316" s="8" t="n"/>
      <c r="H316" s="8" t="n"/>
      <c r="I316" s="8" t="n"/>
      <c r="J316" s="8" t="n"/>
      <c r="K316" s="8" t="n"/>
      <c r="L316" s="8" t="n"/>
      <c r="M316" s="8" t="n"/>
      <c r="N316" s="8" t="n"/>
      <c r="O316" s="8" t="n"/>
    </row>
    <row r="317" ht="15" customHeight="1"/>
    <row r="318" ht="15" customHeight="1">
      <c r="A318" s="61" t="inlineStr">
        <is>
          <t>IRIS Product Management Vs · Standard: Pragmatic Institute Framework · 37 activities, 7 categories; AIPMM · 5 here</t>
        </is>
      </c>
      <c r="B318" s="64" t="n"/>
      <c r="C318" s="64" t="n"/>
      <c r="D318" s="64" t="n"/>
      <c r="E318" s="64" t="n"/>
      <c r="F318" s="64" t="n"/>
      <c r="G318" s="64" t="n"/>
      <c r="H318" s="64" t="n"/>
      <c r="I318" s="64" t="n"/>
      <c r="J318" s="64" t="n"/>
      <c r="K318" s="64" t="n"/>
      <c r="L318" s="64" t="n"/>
      <c r="M318" s="64" t="n"/>
      <c r="N318" s="64" t="n"/>
      <c r="O318" s="63" t="n"/>
    </row>
    <row r="319" ht="15" customHeight="1">
      <c r="A319" s="76" t="inlineStr">
        <is>
          <t>Ladder / company</t>
        </is>
      </c>
      <c r="B319" s="76" t="inlineStr">
        <is>
          <t>A1</t>
        </is>
      </c>
      <c r="C319" s="76" t="inlineStr">
        <is>
          <t>A2</t>
        </is>
      </c>
      <c r="D319" s="76" t="inlineStr">
        <is>
          <t>A3</t>
        </is>
      </c>
      <c r="E319" s="76" t="inlineStr">
        <is>
          <t>B1</t>
        </is>
      </c>
      <c r="F319" s="76" t="inlineStr">
        <is>
          <t>B2</t>
        </is>
      </c>
      <c r="G319" s="76" t="inlineStr">
        <is>
          <t>B3</t>
        </is>
      </c>
      <c r="H319" s="76" t="inlineStr">
        <is>
          <t>B+</t>
        </is>
      </c>
      <c r="I319" s="76" t="inlineStr">
        <is>
          <t>C1</t>
        </is>
      </c>
      <c r="J319" s="76" t="inlineStr">
        <is>
          <t>C2</t>
        </is>
      </c>
      <c r="K319" s="76" t="inlineStr">
        <is>
          <t>C+</t>
        </is>
      </c>
      <c r="L319" s="76" t="inlineStr">
        <is>
          <t>D1</t>
        </is>
      </c>
      <c r="M319" s="76" t="inlineStr">
        <is>
          <t>D2</t>
        </is>
      </c>
      <c r="N319" s="76" t="inlineStr">
        <is>
          <t>E1</t>
        </is>
      </c>
      <c r="O319" s="76" t="inlineStr">
        <is>
          <t>E2</t>
        </is>
      </c>
    </row>
    <row r="320" ht="54" customHeight="1">
      <c r="A320" s="74" t="inlineStr">
        <is>
          <t>IRIS — IC title</t>
        </is>
      </c>
      <c r="B320" s="42" t="inlineStr">
        <is>
          <t>Intern / Trainee</t>
        </is>
      </c>
      <c r="C320" s="42" t="inlineStr">
        <is>
          <t>Associate</t>
        </is>
      </c>
      <c r="D320" s="42" t="inlineStr">
        <is>
          <t>Senior Associate</t>
        </is>
      </c>
      <c r="E320" s="43" t="inlineStr">
        <is>
          <t>Specialist</t>
        </is>
      </c>
      <c r="F320" s="43" t="inlineStr">
        <is>
          <t>Senior Specialist</t>
        </is>
      </c>
      <c r="G320" s="43" t="inlineStr">
        <is>
          <t>Lead Specialist</t>
        </is>
      </c>
      <c r="H320" s="44" t="inlineStr">
        <is>
          <t>Practice Lead · Player-Coach</t>
        </is>
      </c>
      <c r="I320" s="45" t="inlineStr">
        <is>
          <t>Principal</t>
        </is>
      </c>
      <c r="J320" s="45" t="inlineStr">
        <is>
          <t>Senior Principal / Architect</t>
        </is>
      </c>
      <c r="K320" s="46" t="inlineStr">
        <is>
          <t>Group Head · Player-Coach</t>
        </is>
      </c>
      <c r="L320" s="47" t="inlineStr">
        <is>
          <t>Chief Specialist / Distinguished Principal</t>
        </is>
      </c>
      <c r="M320" s="47" t="inlineStr">
        <is>
          <t>—</t>
        </is>
      </c>
      <c r="N320" s="48" t="inlineStr">
        <is>
          <t>—</t>
        </is>
      </c>
      <c r="O320" s="48" t="inlineStr">
        <is>
          <t>—</t>
        </is>
      </c>
    </row>
    <row r="321" ht="54" customHeight="1">
      <c r="A321" s="74" t="inlineStr">
        <is>
          <t>IRIS — Manager title</t>
        </is>
      </c>
      <c r="B321" s="42" t="n"/>
      <c r="C321" s="42" t="n"/>
      <c r="D321" s="42" t="n"/>
      <c r="E321" s="43" t="inlineStr">
        <is>
          <t>Team Lead</t>
        </is>
      </c>
      <c r="F321" s="43" t="inlineStr">
        <is>
          <t>Manager</t>
        </is>
      </c>
      <c r="G321" s="43" t="inlineStr">
        <is>
          <t>Senior Manager</t>
        </is>
      </c>
      <c r="H321" s="44" t="inlineStr">
        <is>
          <t>Practice Lead · Player-Coach</t>
        </is>
      </c>
      <c r="I321" s="45" t="inlineStr">
        <is>
          <t>Associate Head</t>
        </is>
      </c>
      <c r="J321" s="45" t="inlineStr">
        <is>
          <t>Head of Function</t>
        </is>
      </c>
      <c r="K321" s="46" t="inlineStr">
        <is>
          <t>Group Head · Player-Coach</t>
        </is>
      </c>
      <c r="L321" s="47" t="inlineStr">
        <is>
          <t>Associate Vice President / Business Head</t>
        </is>
      </c>
      <c r="M321" s="47" t="inlineStr">
        <is>
          <t>Vice President</t>
        </is>
      </c>
      <c r="N321" s="48" t="inlineStr">
        <is>
          <t>CXO / President</t>
        </is>
      </c>
      <c r="O321" s="48" t="inlineStr">
        <is>
          <t>Chief Executive Officer</t>
        </is>
      </c>
    </row>
    <row r="322" ht="15" customHeight="1">
      <c r="A322" s="74" t="inlineStr">
        <is>
          <t>IRIS — people at level</t>
        </is>
      </c>
      <c r="B322" s="42" t="n"/>
      <c r="C322" s="42" t="n"/>
      <c r="D322" s="42" t="n">
        <v>1</v>
      </c>
      <c r="E322" s="43" t="n">
        <v>3</v>
      </c>
      <c r="F322" s="43" t="n">
        <v>1</v>
      </c>
      <c r="G322" s="43" t="n"/>
      <c r="H322" s="44" t="n"/>
      <c r="I322" s="45" t="n"/>
      <c r="J322" s="45" t="n"/>
      <c r="K322" s="46" t="n"/>
      <c r="L322" s="47" t="n"/>
      <c r="M322" s="47" t="n"/>
      <c r="N322" s="48" t="n"/>
      <c r="O322" s="48" t="n"/>
    </row>
    <row r="323" ht="41" customHeight="1">
      <c r="A323" s="14" t="inlineStr">
        <is>
          <t>IRIS Vs Competitor Benchmark — SaaS product ladder · informed by Atlassian, Pragmatic</t>
        </is>
      </c>
      <c r="B323" s="8" t="n"/>
      <c r="C323" s="8" t="n"/>
      <c r="D323" s="8" t="inlineStr">
        <is>
          <t>Associate PM</t>
        </is>
      </c>
      <c r="E323" s="8" t="inlineStr">
        <is>
          <t>Product Manager</t>
        </is>
      </c>
      <c r="F323" s="8" t="inlineStr">
        <is>
          <t>Senior PM</t>
        </is>
      </c>
      <c r="G323" s="8" t="inlineStr">
        <is>
          <t>Principal / Group PM</t>
        </is>
      </c>
      <c r="H323" s="8" t="n"/>
      <c r="I323" s="8" t="inlineStr">
        <is>
          <t>Group PM / Head of Product</t>
        </is>
      </c>
      <c r="J323" s="8" t="inlineStr">
        <is>
          <t>Director of Product</t>
        </is>
      </c>
      <c r="K323" s="8" t="n"/>
      <c r="L323" s="8" t="inlineStr">
        <is>
          <t>VP Product</t>
        </is>
      </c>
      <c r="M323" s="8" t="n"/>
      <c r="N323" s="8" t="inlineStr">
        <is>
          <t>Chief Product Officer</t>
        </is>
      </c>
      <c r="O323" s="8" t="n"/>
    </row>
    <row r="324" ht="15" customHeight="1"/>
    <row r="325" ht="15" customHeight="1">
      <c r="A325" s="61" t="inlineStr">
        <is>
          <t>IRIS Customer Success &amp; Support Vs · Standard: TSIA frameworks and benchmarks; ITIL 4 service desk; Gainsight customer-success practice · 2 here</t>
        </is>
      </c>
      <c r="B325" s="64" t="n"/>
      <c r="C325" s="64" t="n"/>
      <c r="D325" s="64" t="n"/>
      <c r="E325" s="64" t="n"/>
      <c r="F325" s="64" t="n"/>
      <c r="G325" s="64" t="n"/>
      <c r="H325" s="64" t="n"/>
      <c r="I325" s="64" t="n"/>
      <c r="J325" s="64" t="n"/>
      <c r="K325" s="64" t="n"/>
      <c r="L325" s="64" t="n"/>
      <c r="M325" s="64" t="n"/>
      <c r="N325" s="64" t="n"/>
      <c r="O325" s="63" t="n"/>
    </row>
    <row r="326" ht="15" customHeight="1">
      <c r="A326" s="76" t="inlineStr">
        <is>
          <t>Ladder / company</t>
        </is>
      </c>
      <c r="B326" s="76" t="inlineStr">
        <is>
          <t>A1</t>
        </is>
      </c>
      <c r="C326" s="76" t="inlineStr">
        <is>
          <t>A2</t>
        </is>
      </c>
      <c r="D326" s="76" t="inlineStr">
        <is>
          <t>A3</t>
        </is>
      </c>
      <c r="E326" s="76" t="inlineStr">
        <is>
          <t>B1</t>
        </is>
      </c>
      <c r="F326" s="76" t="inlineStr">
        <is>
          <t>B2</t>
        </is>
      </c>
      <c r="G326" s="76" t="inlineStr">
        <is>
          <t>B3</t>
        </is>
      </c>
      <c r="H326" s="76" t="inlineStr">
        <is>
          <t>B+</t>
        </is>
      </c>
      <c r="I326" s="76" t="inlineStr">
        <is>
          <t>C1</t>
        </is>
      </c>
      <c r="J326" s="76" t="inlineStr">
        <is>
          <t>C2</t>
        </is>
      </c>
      <c r="K326" s="76" t="inlineStr">
        <is>
          <t>C+</t>
        </is>
      </c>
      <c r="L326" s="76" t="inlineStr">
        <is>
          <t>D1</t>
        </is>
      </c>
      <c r="M326" s="76" t="inlineStr">
        <is>
          <t>D2</t>
        </is>
      </c>
      <c r="N326" s="76" t="inlineStr">
        <is>
          <t>E1</t>
        </is>
      </c>
      <c r="O326" s="76" t="inlineStr">
        <is>
          <t>E2</t>
        </is>
      </c>
    </row>
    <row r="327" ht="54" customHeight="1">
      <c r="A327" s="74" t="inlineStr">
        <is>
          <t>IRIS — IC title</t>
        </is>
      </c>
      <c r="B327" s="42" t="inlineStr">
        <is>
          <t>Intern / Trainee</t>
        </is>
      </c>
      <c r="C327" s="42" t="inlineStr">
        <is>
          <t>Associate</t>
        </is>
      </c>
      <c r="D327" s="42" t="inlineStr">
        <is>
          <t>Senior Associate</t>
        </is>
      </c>
      <c r="E327" s="43" t="inlineStr">
        <is>
          <t>Specialist</t>
        </is>
      </c>
      <c r="F327" s="43" t="inlineStr">
        <is>
          <t>Senior Specialist</t>
        </is>
      </c>
      <c r="G327" s="43" t="inlineStr">
        <is>
          <t>Lead Specialist</t>
        </is>
      </c>
      <c r="H327" s="44" t="inlineStr">
        <is>
          <t>Practice Lead · Player-Coach</t>
        </is>
      </c>
      <c r="I327" s="45" t="inlineStr">
        <is>
          <t>Principal</t>
        </is>
      </c>
      <c r="J327" s="45" t="inlineStr">
        <is>
          <t>Senior Principal / Architect</t>
        </is>
      </c>
      <c r="K327" s="46" t="inlineStr">
        <is>
          <t>Group Head · Player-Coach</t>
        </is>
      </c>
      <c r="L327" s="47" t="inlineStr">
        <is>
          <t>Chief Specialist / Distinguished Principal</t>
        </is>
      </c>
      <c r="M327" s="47" t="inlineStr">
        <is>
          <t>—</t>
        </is>
      </c>
      <c r="N327" s="48" t="inlineStr">
        <is>
          <t>—</t>
        </is>
      </c>
      <c r="O327" s="48" t="inlineStr">
        <is>
          <t>—</t>
        </is>
      </c>
    </row>
    <row r="328" ht="54" customHeight="1">
      <c r="A328" s="74" t="inlineStr">
        <is>
          <t>IRIS — Manager title</t>
        </is>
      </c>
      <c r="B328" s="42" t="n"/>
      <c r="C328" s="42" t="n"/>
      <c r="D328" s="42" t="n"/>
      <c r="E328" s="43" t="inlineStr">
        <is>
          <t>Team Lead</t>
        </is>
      </c>
      <c r="F328" s="43" t="inlineStr">
        <is>
          <t>Manager</t>
        </is>
      </c>
      <c r="G328" s="43" t="inlineStr">
        <is>
          <t>Senior Manager</t>
        </is>
      </c>
      <c r="H328" s="44" t="inlineStr">
        <is>
          <t>Practice Lead · Player-Coach</t>
        </is>
      </c>
      <c r="I328" s="45" t="inlineStr">
        <is>
          <t>Associate Head</t>
        </is>
      </c>
      <c r="J328" s="45" t="inlineStr">
        <is>
          <t>Head of Function</t>
        </is>
      </c>
      <c r="K328" s="46" t="inlineStr">
        <is>
          <t>Group Head · Player-Coach</t>
        </is>
      </c>
      <c r="L328" s="47" t="inlineStr">
        <is>
          <t>Associate Vice President / Business Head</t>
        </is>
      </c>
      <c r="M328" s="47" t="inlineStr">
        <is>
          <t>Vice President</t>
        </is>
      </c>
      <c r="N328" s="48" t="inlineStr">
        <is>
          <t>CXO / President</t>
        </is>
      </c>
      <c r="O328" s="48" t="inlineStr">
        <is>
          <t>Chief Executive Officer</t>
        </is>
      </c>
    </row>
    <row r="329" ht="15" customHeight="1">
      <c r="A329" s="74" t="inlineStr">
        <is>
          <t>IRIS — people at level</t>
        </is>
      </c>
      <c r="B329" s="42" t="n"/>
      <c r="C329" s="42" t="n"/>
      <c r="D329" s="42" t="n"/>
      <c r="E329" s="43" t="n">
        <v>2</v>
      </c>
      <c r="F329" s="43" t="n"/>
      <c r="G329" s="43" t="n"/>
      <c r="H329" s="44" t="n"/>
      <c r="I329" s="45" t="n"/>
      <c r="J329" s="45" t="n"/>
      <c r="K329" s="46" t="n"/>
      <c r="L329" s="47" t="n"/>
      <c r="M329" s="47" t="n"/>
      <c r="N329" s="48" t="n"/>
      <c r="O329" s="48" t="n"/>
    </row>
    <row r="330" ht="41" customHeight="1">
      <c r="A330" s="14" t="inlineStr">
        <is>
          <t>Workiva</t>
        </is>
      </c>
      <c r="B330" s="8" t="inlineStr">
        <is>
          <t>Customer Success intern</t>
        </is>
      </c>
      <c r="C330" s="8" t="n"/>
      <c r="D330" s="8" t="n"/>
      <c r="E330" s="8" t="inlineStr">
        <is>
          <t>Customer Success Manager</t>
        </is>
      </c>
      <c r="F330" s="8" t="inlineStr">
        <is>
          <t>Product Success Manager</t>
        </is>
      </c>
      <c r="G330" s="8" t="inlineStr">
        <is>
          <t>Customer Success Architect</t>
        </is>
      </c>
      <c r="H330" s="8" t="n"/>
      <c r="I330" s="8" t="n"/>
      <c r="J330" s="8" t="n"/>
      <c r="K330" s="8" t="n"/>
      <c r="L330" s="8" t="n"/>
      <c r="M330" s="8" t="n"/>
      <c r="N330" s="8" t="n"/>
      <c r="O330" s="8" t="n"/>
    </row>
    <row r="331" ht="54" customHeight="1">
      <c r="A331" s="14" t="inlineStr">
        <is>
          <t>IRIS Vs Competitor Benchmark — SaaS customer-success ladder · informed by Gainsight postings, C15</t>
        </is>
      </c>
      <c r="B331" s="8" t="n"/>
      <c r="C331" s="8" t="inlineStr">
        <is>
          <t>Support Associate</t>
        </is>
      </c>
      <c r="D331" s="8" t="inlineStr">
        <is>
          <t>Associate CSM</t>
        </is>
      </c>
      <c r="E331" s="8" t="inlineStr">
        <is>
          <t>CSM</t>
        </is>
      </c>
      <c r="F331" s="8" t="inlineStr">
        <is>
          <t>Senior CSM</t>
        </is>
      </c>
      <c r="G331" s="8" t="inlineStr">
        <is>
          <t>Strategic CSM</t>
        </is>
      </c>
      <c r="H331" s="8" t="n"/>
      <c r="I331" s="8" t="inlineStr">
        <is>
          <t>Senior Manager CS</t>
        </is>
      </c>
      <c r="J331" s="8" t="inlineStr">
        <is>
          <t>Director Customer Success</t>
        </is>
      </c>
      <c r="K331" s="8" t="n"/>
      <c r="L331" s="8" t="n"/>
      <c r="M331" s="8" t="inlineStr">
        <is>
          <t>VP Customer Success</t>
        </is>
      </c>
      <c r="N331" s="8" t="inlineStr">
        <is>
          <t>Chief Customer Officer</t>
        </is>
      </c>
      <c r="O331" s="8" t="n"/>
    </row>
    <row r="332" ht="54" customHeight="1">
      <c r="A332" s="14" t="inlineStr">
        <is>
          <t>Regnology</t>
        </is>
      </c>
      <c r="B332" s="8" t="n"/>
      <c r="C332" s="8" t="n"/>
      <c r="D332" s="8" t="inlineStr">
        <is>
          <t>Product Support Specialist · Reg Reporting</t>
        </is>
      </c>
      <c r="E332" s="8" t="n"/>
      <c r="F332" s="8" t="n"/>
      <c r="G332" s="8" t="n"/>
      <c r="H332" s="8" t="n"/>
      <c r="I332" s="8" t="n"/>
      <c r="J332" s="8" t="n"/>
      <c r="K332" s="8" t="n"/>
      <c r="L332" s="8" t="n"/>
      <c r="M332" s="8" t="n"/>
      <c r="N332" s="8" t="n"/>
      <c r="O332" s="8" t="n"/>
    </row>
    <row r="333" ht="54" customHeight="1">
      <c r="A333" s="14" t="inlineStr">
        <is>
          <t>IRIS Vs Competitor Benchmark — support tiers · informed by ITIL 4, which defines practices, not titles</t>
        </is>
      </c>
      <c r="B333" s="8" t="n"/>
      <c r="C333" s="8" t="inlineStr">
        <is>
          <t>L1 Service Desk</t>
        </is>
      </c>
      <c r="D333" s="8" t="inlineStr">
        <is>
          <t>L2 Application Support</t>
        </is>
      </c>
      <c r="E333" s="8" t="inlineStr">
        <is>
          <t>L3 / Problem Analyst</t>
        </is>
      </c>
      <c r="F333" s="8" t="inlineStr">
        <is>
          <t>Support Team Manager</t>
        </is>
      </c>
      <c r="G333" s="8" t="inlineStr">
        <is>
          <t>Service Delivery Manager</t>
        </is>
      </c>
      <c r="H333" s="8" t="n"/>
      <c r="I333" s="8" t="n"/>
      <c r="J333" s="8" t="n"/>
      <c r="K333" s="8" t="n"/>
      <c r="L333" s="8" t="n"/>
      <c r="M333" s="8" t="n"/>
      <c r="N333" s="8" t="n"/>
      <c r="O333" s="8" t="n"/>
    </row>
    <row r="334" ht="15" customHeight="1"/>
    <row r="335" ht="20" customHeight="1">
      <c r="A335" s="79" t="inlineStr">
        <is>
          <t>IT &amp; Infrastructure — 14 people</t>
        </is>
      </c>
    </row>
    <row r="336" ht="15" customHeight="1">
      <c r="A336" s="61" t="inlineStr">
        <is>
          <t>IRIS IT &amp; Infrastructure Vs · Standard: ITIL 4; ISO/IEC 27001:2022; SFIA infrastructure · 13 here</t>
        </is>
      </c>
      <c r="B336" s="64" t="n"/>
      <c r="C336" s="64" t="n"/>
      <c r="D336" s="64" t="n"/>
      <c r="E336" s="64" t="n"/>
      <c r="F336" s="64" t="n"/>
      <c r="G336" s="64" t="n"/>
      <c r="H336" s="64" t="n"/>
      <c r="I336" s="64" t="n"/>
      <c r="J336" s="64" t="n"/>
      <c r="K336" s="64" t="n"/>
      <c r="L336" s="64" t="n"/>
      <c r="M336" s="64" t="n"/>
      <c r="N336" s="64" t="n"/>
      <c r="O336" s="63" t="n"/>
    </row>
    <row r="337" ht="15" customHeight="1">
      <c r="A337" s="76" t="inlineStr">
        <is>
          <t>Ladder / company</t>
        </is>
      </c>
      <c r="B337" s="76" t="inlineStr">
        <is>
          <t>A1</t>
        </is>
      </c>
      <c r="C337" s="76" t="inlineStr">
        <is>
          <t>A2</t>
        </is>
      </c>
      <c r="D337" s="76" t="inlineStr">
        <is>
          <t>A3</t>
        </is>
      </c>
      <c r="E337" s="76" t="inlineStr">
        <is>
          <t>B1</t>
        </is>
      </c>
      <c r="F337" s="76" t="inlineStr">
        <is>
          <t>B2</t>
        </is>
      </c>
      <c r="G337" s="76" t="inlineStr">
        <is>
          <t>B3</t>
        </is>
      </c>
      <c r="H337" s="76" t="inlineStr">
        <is>
          <t>B+</t>
        </is>
      </c>
      <c r="I337" s="76" t="inlineStr">
        <is>
          <t>C1</t>
        </is>
      </c>
      <c r="J337" s="76" t="inlineStr">
        <is>
          <t>C2</t>
        </is>
      </c>
      <c r="K337" s="76" t="inlineStr">
        <is>
          <t>C+</t>
        </is>
      </c>
      <c r="L337" s="76" t="inlineStr">
        <is>
          <t>D1</t>
        </is>
      </c>
      <c r="M337" s="76" t="inlineStr">
        <is>
          <t>D2</t>
        </is>
      </c>
      <c r="N337" s="76" t="inlineStr">
        <is>
          <t>E1</t>
        </is>
      </c>
      <c r="O337" s="76" t="inlineStr">
        <is>
          <t>E2</t>
        </is>
      </c>
    </row>
    <row r="338" ht="54" customHeight="1">
      <c r="A338" s="74" t="inlineStr">
        <is>
          <t>IRIS — IC title</t>
        </is>
      </c>
      <c r="B338" s="42" t="inlineStr">
        <is>
          <t>Intern / Trainee</t>
        </is>
      </c>
      <c r="C338" s="42" t="inlineStr">
        <is>
          <t>Associate</t>
        </is>
      </c>
      <c r="D338" s="42" t="inlineStr">
        <is>
          <t>Senior Associate</t>
        </is>
      </c>
      <c r="E338" s="43" t="inlineStr">
        <is>
          <t>Specialist</t>
        </is>
      </c>
      <c r="F338" s="43" t="inlineStr">
        <is>
          <t>Senior Specialist</t>
        </is>
      </c>
      <c r="G338" s="43" t="inlineStr">
        <is>
          <t>Lead Specialist</t>
        </is>
      </c>
      <c r="H338" s="44" t="inlineStr">
        <is>
          <t>Practice Lead · Player-Coach</t>
        </is>
      </c>
      <c r="I338" s="45" t="inlineStr">
        <is>
          <t>Principal</t>
        </is>
      </c>
      <c r="J338" s="45" t="inlineStr">
        <is>
          <t>Senior Principal / Architect</t>
        </is>
      </c>
      <c r="K338" s="46" t="inlineStr">
        <is>
          <t>Group Head · Player-Coach</t>
        </is>
      </c>
      <c r="L338" s="47" t="inlineStr">
        <is>
          <t>Chief Specialist / Distinguished Principal</t>
        </is>
      </c>
      <c r="M338" s="47" t="inlineStr">
        <is>
          <t>—</t>
        </is>
      </c>
      <c r="N338" s="48" t="inlineStr">
        <is>
          <t>—</t>
        </is>
      </c>
      <c r="O338" s="48" t="inlineStr">
        <is>
          <t>—</t>
        </is>
      </c>
    </row>
    <row r="339" ht="54" customHeight="1">
      <c r="A339" s="74" t="inlineStr">
        <is>
          <t>IRIS — Manager title</t>
        </is>
      </c>
      <c r="B339" s="42" t="n"/>
      <c r="C339" s="42" t="n"/>
      <c r="D339" s="42" t="n"/>
      <c r="E339" s="43" t="inlineStr">
        <is>
          <t>Team Lead</t>
        </is>
      </c>
      <c r="F339" s="43" t="inlineStr">
        <is>
          <t>Manager</t>
        </is>
      </c>
      <c r="G339" s="43" t="inlineStr">
        <is>
          <t>Senior Manager</t>
        </is>
      </c>
      <c r="H339" s="44" t="inlineStr">
        <is>
          <t>Practice Lead · Player-Coach</t>
        </is>
      </c>
      <c r="I339" s="45" t="inlineStr">
        <is>
          <t>Associate Head</t>
        </is>
      </c>
      <c r="J339" s="45" t="inlineStr">
        <is>
          <t>Head of Function</t>
        </is>
      </c>
      <c r="K339" s="46" t="inlineStr">
        <is>
          <t>Group Head · Player-Coach</t>
        </is>
      </c>
      <c r="L339" s="47" t="inlineStr">
        <is>
          <t>Associate Vice President / Business Head</t>
        </is>
      </c>
      <c r="M339" s="47" t="inlineStr">
        <is>
          <t>Vice President</t>
        </is>
      </c>
      <c r="N339" s="48" t="inlineStr">
        <is>
          <t>CXO / President</t>
        </is>
      </c>
      <c r="O339" s="48" t="inlineStr">
        <is>
          <t>Chief Executive Officer</t>
        </is>
      </c>
    </row>
    <row r="340" ht="15" customHeight="1">
      <c r="A340" s="74" t="inlineStr">
        <is>
          <t>IRIS — people at level</t>
        </is>
      </c>
      <c r="B340" s="42" t="n"/>
      <c r="C340" s="42" t="n"/>
      <c r="D340" s="42" t="n">
        <v>9</v>
      </c>
      <c r="E340" s="43" t="n">
        <v>3</v>
      </c>
      <c r="F340" s="43" t="n">
        <v>1</v>
      </c>
      <c r="G340" s="43" t="n"/>
      <c r="H340" s="44" t="n"/>
      <c r="I340" s="45" t="n"/>
      <c r="J340" s="45" t="n"/>
      <c r="K340" s="46" t="n"/>
      <c r="L340" s="47" t="n"/>
      <c r="M340" s="47" t="n"/>
      <c r="N340" s="48" t="n"/>
      <c r="O340" s="48" t="n"/>
    </row>
    <row r="341" ht="28" customHeight="1">
      <c r="A341" s="14" t="inlineStr">
        <is>
          <t>Atlassian company-wide P-levels</t>
        </is>
      </c>
      <c r="B341" s="8" t="n"/>
      <c r="C341" s="8" t="inlineStr">
        <is>
          <t>P30 IT</t>
        </is>
      </c>
      <c r="D341" s="8" t="inlineStr">
        <is>
          <t>P40</t>
        </is>
      </c>
      <c r="E341" s="8" t="inlineStr">
        <is>
          <t>P40</t>
        </is>
      </c>
      <c r="F341" s="8" t="inlineStr">
        <is>
          <t>P50 Senior</t>
        </is>
      </c>
      <c r="G341" s="8" t="inlineStr">
        <is>
          <t>P50 / Lead</t>
        </is>
      </c>
      <c r="H341" s="8" t="n"/>
      <c r="I341" s="8" t="inlineStr">
        <is>
          <t>P60 Principal</t>
        </is>
      </c>
      <c r="J341" s="8" t="n"/>
      <c r="K341" s="8" t="n"/>
      <c r="L341" s="8" t="n"/>
      <c r="M341" s="8" t="n"/>
      <c r="N341" s="8" t="n"/>
      <c r="O341" s="8" t="n"/>
    </row>
    <row r="342" ht="41" customHeight="1">
      <c r="A342" s="14" t="inlineStr">
        <is>
          <t>IRIS Vs Competitor Benchmark — infrastructure ladder · informed by ITIL 4</t>
        </is>
      </c>
      <c r="B342" s="8" t="n"/>
      <c r="C342" s="8" t="inlineStr">
        <is>
          <t>IT Support Engineer</t>
        </is>
      </c>
      <c r="D342" s="8" t="inlineStr">
        <is>
          <t>System Administrator</t>
        </is>
      </c>
      <c r="E342" s="8" t="inlineStr">
        <is>
          <t>Senior SysAdmin</t>
        </is>
      </c>
      <c r="F342" s="8" t="inlineStr">
        <is>
          <t>Infrastructure Lead</t>
        </is>
      </c>
      <c r="G342" s="8" t="inlineStr">
        <is>
          <t>IT Manager / Infrastructure Architect</t>
        </is>
      </c>
      <c r="H342" s="8" t="n"/>
      <c r="I342" s="8" t="n"/>
      <c r="J342" s="8" t="inlineStr">
        <is>
          <t>Head of IT</t>
        </is>
      </c>
      <c r="K342" s="8" t="n"/>
      <c r="L342" s="8" t="n"/>
      <c r="M342" s="8" t="n"/>
      <c r="N342" s="8" t="inlineStr">
        <is>
          <t>CIO / CISO</t>
        </is>
      </c>
      <c r="O342" s="8" t="n"/>
    </row>
    <row r="343" ht="15" customHeight="1"/>
    <row r="344" ht="15" customHeight="1">
      <c r="A344" s="61" t="inlineStr">
        <is>
          <t>IRIS Engineering &amp; Development Vs · Standard: SFIA 9 · software development, programming; OWASP secure coding; cloud vendor certifications · 1 here</t>
        </is>
      </c>
      <c r="B344" s="64" t="n"/>
      <c r="C344" s="64" t="n"/>
      <c r="D344" s="64" t="n"/>
      <c r="E344" s="64" t="n"/>
      <c r="F344" s="64" t="n"/>
      <c r="G344" s="64" t="n"/>
      <c r="H344" s="64" t="n"/>
      <c r="I344" s="64" t="n"/>
      <c r="J344" s="64" t="n"/>
      <c r="K344" s="64" t="n"/>
      <c r="L344" s="64" t="n"/>
      <c r="M344" s="64" t="n"/>
      <c r="N344" s="64" t="n"/>
      <c r="O344" s="63" t="n"/>
    </row>
    <row r="345" ht="15" customHeight="1">
      <c r="A345" s="76" t="inlineStr">
        <is>
          <t>Ladder / company</t>
        </is>
      </c>
      <c r="B345" s="76" t="inlineStr">
        <is>
          <t>A1</t>
        </is>
      </c>
      <c r="C345" s="76" t="inlineStr">
        <is>
          <t>A2</t>
        </is>
      </c>
      <c r="D345" s="76" t="inlineStr">
        <is>
          <t>A3</t>
        </is>
      </c>
      <c r="E345" s="76" t="inlineStr">
        <is>
          <t>B1</t>
        </is>
      </c>
      <c r="F345" s="76" t="inlineStr">
        <is>
          <t>B2</t>
        </is>
      </c>
      <c r="G345" s="76" t="inlineStr">
        <is>
          <t>B3</t>
        </is>
      </c>
      <c r="H345" s="76" t="inlineStr">
        <is>
          <t>B+</t>
        </is>
      </c>
      <c r="I345" s="76" t="inlineStr">
        <is>
          <t>C1</t>
        </is>
      </c>
      <c r="J345" s="76" t="inlineStr">
        <is>
          <t>C2</t>
        </is>
      </c>
      <c r="K345" s="76" t="inlineStr">
        <is>
          <t>C+</t>
        </is>
      </c>
      <c r="L345" s="76" t="inlineStr">
        <is>
          <t>D1</t>
        </is>
      </c>
      <c r="M345" s="76" t="inlineStr">
        <is>
          <t>D2</t>
        </is>
      </c>
      <c r="N345" s="76" t="inlineStr">
        <is>
          <t>E1</t>
        </is>
      </c>
      <c r="O345" s="76" t="inlineStr">
        <is>
          <t>E2</t>
        </is>
      </c>
    </row>
    <row r="346" ht="54" customHeight="1">
      <c r="A346" s="74" t="inlineStr">
        <is>
          <t>IRIS — IC title</t>
        </is>
      </c>
      <c r="B346" s="42" t="inlineStr">
        <is>
          <t>Intern / Trainee</t>
        </is>
      </c>
      <c r="C346" s="42" t="inlineStr">
        <is>
          <t>Associate</t>
        </is>
      </c>
      <c r="D346" s="42" t="inlineStr">
        <is>
          <t>Senior Associate</t>
        </is>
      </c>
      <c r="E346" s="43" t="inlineStr">
        <is>
          <t>Specialist</t>
        </is>
      </c>
      <c r="F346" s="43" t="inlineStr">
        <is>
          <t>Senior Specialist</t>
        </is>
      </c>
      <c r="G346" s="43" t="inlineStr">
        <is>
          <t>Lead Specialist</t>
        </is>
      </c>
      <c r="H346" s="44" t="inlineStr">
        <is>
          <t>Practice Lead · Player-Coach</t>
        </is>
      </c>
      <c r="I346" s="45" t="inlineStr">
        <is>
          <t>Principal</t>
        </is>
      </c>
      <c r="J346" s="45" t="inlineStr">
        <is>
          <t>Senior Principal / Architect</t>
        </is>
      </c>
      <c r="K346" s="46" t="inlineStr">
        <is>
          <t>Group Head · Player-Coach</t>
        </is>
      </c>
      <c r="L346" s="47" t="inlineStr">
        <is>
          <t>Chief Specialist / Distinguished Principal</t>
        </is>
      </c>
      <c r="M346" s="47" t="inlineStr">
        <is>
          <t>—</t>
        </is>
      </c>
      <c r="N346" s="48" t="inlineStr">
        <is>
          <t>—</t>
        </is>
      </c>
      <c r="O346" s="48" t="inlineStr">
        <is>
          <t>—</t>
        </is>
      </c>
    </row>
    <row r="347" ht="54" customHeight="1">
      <c r="A347" s="74" t="inlineStr">
        <is>
          <t>IRIS — Manager title</t>
        </is>
      </c>
      <c r="B347" s="42" t="n"/>
      <c r="C347" s="42" t="n"/>
      <c r="D347" s="42" t="n"/>
      <c r="E347" s="43" t="inlineStr">
        <is>
          <t>Team Lead</t>
        </is>
      </c>
      <c r="F347" s="43" t="inlineStr">
        <is>
          <t>Manager</t>
        </is>
      </c>
      <c r="G347" s="43" t="inlineStr">
        <is>
          <t>Senior Manager</t>
        </is>
      </c>
      <c r="H347" s="44" t="inlineStr">
        <is>
          <t>Practice Lead · Player-Coach</t>
        </is>
      </c>
      <c r="I347" s="45" t="inlineStr">
        <is>
          <t>Associate Head</t>
        </is>
      </c>
      <c r="J347" s="45" t="inlineStr">
        <is>
          <t>Head of Function</t>
        </is>
      </c>
      <c r="K347" s="46" t="inlineStr">
        <is>
          <t>Group Head · Player-Coach</t>
        </is>
      </c>
      <c r="L347" s="47" t="inlineStr">
        <is>
          <t>Associate Vice President / Business Head</t>
        </is>
      </c>
      <c r="M347" s="47" t="inlineStr">
        <is>
          <t>Vice President</t>
        </is>
      </c>
      <c r="N347" s="48" t="inlineStr">
        <is>
          <t>CXO / President</t>
        </is>
      </c>
      <c r="O347" s="48" t="inlineStr">
        <is>
          <t>Chief Executive Officer</t>
        </is>
      </c>
    </row>
    <row r="348" ht="15" customHeight="1">
      <c r="A348" s="74" t="inlineStr">
        <is>
          <t>IRIS — people at level</t>
        </is>
      </c>
      <c r="B348" s="42" t="n"/>
      <c r="C348" s="42" t="n"/>
      <c r="D348" s="42" t="n">
        <v>1</v>
      </c>
      <c r="E348" s="43" t="n"/>
      <c r="F348" s="43" t="n"/>
      <c r="G348" s="43" t="n"/>
      <c r="H348" s="44" t="n"/>
      <c r="I348" s="45" t="n"/>
      <c r="J348" s="45" t="n"/>
      <c r="K348" s="46" t="n"/>
      <c r="L348" s="47" t="n"/>
      <c r="M348" s="47" t="n"/>
      <c r="N348" s="48" t="n"/>
      <c r="O348" s="48" t="n"/>
    </row>
    <row r="349" ht="28" customHeight="1">
      <c r="A349" s="14" t="inlineStr">
        <is>
          <t>Workiva</t>
        </is>
      </c>
      <c r="B349" s="8" t="n"/>
      <c r="C349" s="8" t="inlineStr">
        <is>
          <t>Associate SE</t>
        </is>
      </c>
      <c r="D349" s="8" t="inlineStr">
        <is>
          <t>SE</t>
        </is>
      </c>
      <c r="E349" s="8" t="inlineStr">
        <is>
          <t>SE / Senior SE</t>
        </is>
      </c>
      <c r="F349" s="8" t="inlineStr">
        <is>
          <t>Senior SE</t>
        </is>
      </c>
      <c r="G349" s="8" t="inlineStr">
        <is>
          <t>Staff SE</t>
        </is>
      </c>
      <c r="H349" s="8" t="n"/>
      <c r="I349" s="8" t="n"/>
      <c r="J349" s="8" t="n"/>
      <c r="K349" s="8" t="n"/>
      <c r="L349" s="8" t="n"/>
      <c r="M349" s="8" t="n"/>
      <c r="N349" s="8" t="n"/>
      <c r="O349" s="8" t="n"/>
    </row>
    <row r="350" ht="28" customHeight="1">
      <c r="A350" s="14" t="inlineStr">
        <is>
          <t>Broadridge India</t>
        </is>
      </c>
      <c r="B350" s="8" t="n"/>
      <c r="C350" s="8" t="inlineStr">
        <is>
          <t>SE</t>
        </is>
      </c>
      <c r="D350" s="8" t="inlineStr">
        <is>
          <t>SE</t>
        </is>
      </c>
      <c r="E350" s="8" t="inlineStr">
        <is>
          <t>Senior SE</t>
        </is>
      </c>
      <c r="F350" s="8" t="inlineStr">
        <is>
          <t>Lead SE</t>
        </is>
      </c>
      <c r="G350" s="8" t="inlineStr">
        <is>
          <t>Senior Lead SE</t>
        </is>
      </c>
      <c r="H350" s="8" t="n"/>
      <c r="I350" s="8" t="n"/>
      <c r="J350" s="8" t="n"/>
      <c r="K350" s="8" t="n"/>
      <c r="L350" s="8" t="n"/>
      <c r="M350" s="8" t="n"/>
      <c r="N350" s="8" t="n"/>
      <c r="O350" s="8" t="n"/>
    </row>
    <row r="351" ht="15" customHeight="1">
      <c r="A351" s="14" t="inlineStr">
        <is>
          <t>Nasdaq / AxiomSL</t>
        </is>
      </c>
      <c r="B351" s="8" t="n"/>
      <c r="C351" s="8" t="inlineStr">
        <is>
          <t>SE</t>
        </is>
      </c>
      <c r="D351" s="8" t="inlineStr">
        <is>
          <t>SE</t>
        </is>
      </c>
      <c r="E351" s="8" t="inlineStr">
        <is>
          <t>Senior SE</t>
        </is>
      </c>
      <c r="F351" s="8" t="inlineStr">
        <is>
          <t>Senior SE</t>
        </is>
      </c>
      <c r="G351" s="8" t="inlineStr">
        <is>
          <t>Lead SE</t>
        </is>
      </c>
      <c r="H351" s="8" t="n"/>
      <c r="I351" s="8" t="inlineStr">
        <is>
          <t>Principal SE</t>
        </is>
      </c>
      <c r="J351" s="8" t="n"/>
      <c r="K351" s="8" t="n"/>
      <c r="L351" s="8" t="n"/>
      <c r="M351" s="8" t="n"/>
      <c r="N351" s="8" t="n"/>
      <c r="O351" s="8" t="n"/>
    </row>
    <row r="352" ht="41" customHeight="1">
      <c r="A352" s="14" t="inlineStr">
        <is>
          <t>Salesforce</t>
        </is>
      </c>
      <c r="B352" s="8" t="n"/>
      <c r="C352" s="8" t="inlineStr">
        <is>
          <t>AMTS</t>
        </is>
      </c>
      <c r="D352" s="8" t="inlineStr">
        <is>
          <t>MTS</t>
        </is>
      </c>
      <c r="E352" s="8" t="inlineStr">
        <is>
          <t>MTS</t>
        </is>
      </c>
      <c r="F352" s="8" t="inlineStr">
        <is>
          <t>SMTS</t>
        </is>
      </c>
      <c r="G352" s="8" t="inlineStr">
        <is>
          <t>LMTS</t>
        </is>
      </c>
      <c r="H352" s="8" t="n"/>
      <c r="I352" s="8" t="inlineStr">
        <is>
          <t>PMTS</t>
        </is>
      </c>
      <c r="J352" s="8" t="inlineStr">
        <is>
          <t>Architect / Principal Architect</t>
        </is>
      </c>
      <c r="K352" s="8" t="n"/>
      <c r="L352" s="8" t="inlineStr">
        <is>
          <t>Distinguished Engineer</t>
        </is>
      </c>
      <c r="M352" s="8" t="n"/>
      <c r="N352" s="8" t="n"/>
      <c r="O352" s="8" t="n"/>
    </row>
    <row r="353" ht="28" customHeight="1">
      <c r="A353" s="14" t="inlineStr">
        <is>
          <t>Atlassian</t>
        </is>
      </c>
      <c r="B353" s="8" t="n"/>
      <c r="C353" s="8" t="inlineStr">
        <is>
          <t>P30 Junior · 0–2 yrs</t>
        </is>
      </c>
      <c r="D353" s="8" t="inlineStr">
        <is>
          <t>P40 · 3–7 yrs</t>
        </is>
      </c>
      <c r="E353" s="8" t="inlineStr">
        <is>
          <t>P40</t>
        </is>
      </c>
      <c r="F353" s="8" t="inlineStr">
        <is>
          <t>P50 Senior · 6–12 yrs</t>
        </is>
      </c>
      <c r="G353" s="8" t="inlineStr">
        <is>
          <t>P50 Senior</t>
        </is>
      </c>
      <c r="H353" s="8" t="n"/>
      <c r="I353" s="8" t="inlineStr">
        <is>
          <t>P60 Principal · 10+ yrs</t>
        </is>
      </c>
      <c r="J353" s="8" t="inlineStr">
        <is>
          <t>P70</t>
        </is>
      </c>
      <c r="K353" s="8" t="n"/>
      <c r="L353" s="8" t="n"/>
      <c r="M353" s="8" t="n"/>
      <c r="N353" s="8" t="n"/>
      <c r="O353" s="8" t="n"/>
    </row>
    <row r="354" ht="28" customHeight="1">
      <c r="A354" s="14" t="inlineStr">
        <is>
          <t>Freshworks</t>
        </is>
      </c>
      <c r="B354" s="8" t="n"/>
      <c r="C354" s="8" t="inlineStr">
        <is>
          <t>SE</t>
        </is>
      </c>
      <c r="D354" s="8" t="inlineStr">
        <is>
          <t>Senior SE</t>
        </is>
      </c>
      <c r="E354" s="8" t="inlineStr">
        <is>
          <t>Senior SE</t>
        </is>
      </c>
      <c r="F354" s="8" t="inlineStr">
        <is>
          <t>Lead SE</t>
        </is>
      </c>
      <c r="G354" s="8" t="inlineStr">
        <is>
          <t>Staff SE</t>
        </is>
      </c>
      <c r="H354" s="8" t="n"/>
      <c r="I354" s="8" t="inlineStr">
        <is>
          <t>Senior Staff SE</t>
        </is>
      </c>
      <c r="J354" s="8" t="inlineStr">
        <is>
          <t>Principal Engineer</t>
        </is>
      </c>
      <c r="K354" s="8" t="n"/>
      <c r="L354" s="8" t="n"/>
      <c r="M354" s="8" t="n"/>
      <c r="N354" s="8" t="n"/>
      <c r="O354" s="8" t="n"/>
    </row>
    <row r="355" ht="28" customHeight="1">
      <c r="A355" s="14" t="inlineStr">
        <is>
          <t>Clear · C14; unverified</t>
        </is>
      </c>
      <c r="B355" s="8" t="n"/>
      <c r="C355" s="8" t="inlineStr">
        <is>
          <t>SDE1</t>
        </is>
      </c>
      <c r="D355" s="8" t="inlineStr">
        <is>
          <t>SDE2</t>
        </is>
      </c>
      <c r="E355" s="8" t="inlineStr">
        <is>
          <t>SDE2</t>
        </is>
      </c>
      <c r="F355" s="8" t="inlineStr">
        <is>
          <t>SDE3 / Senior</t>
        </is>
      </c>
      <c r="G355" s="8" t="inlineStr">
        <is>
          <t>Staff</t>
        </is>
      </c>
      <c r="H355" s="8" t="n"/>
      <c r="I355" s="8" t="n"/>
      <c r="J355" s="8" t="n"/>
      <c r="K355" s="8" t="n"/>
      <c r="L355" s="8" t="n"/>
      <c r="M355" s="8" t="n"/>
      <c r="N355" s="8" t="n"/>
      <c r="O355" s="8" t="n"/>
    </row>
    <row r="356" ht="28" customHeight="1">
      <c r="A356" s="14" t="inlineStr">
        <is>
          <t>Google Tech Lead Manager</t>
        </is>
      </c>
      <c r="B356" s="8" t="n"/>
      <c r="C356" s="8" t="n"/>
      <c r="D356" s="8" t="n"/>
      <c r="E356" s="8" t="n"/>
      <c r="F356" s="8" t="n"/>
      <c r="G356" s="8" t="n"/>
      <c r="H356" s="8" t="inlineStr">
        <is>
          <t>Tech Lead Manager · TLM</t>
        </is>
      </c>
      <c r="I356" s="8" t="n"/>
      <c r="J356" s="8" t="n"/>
      <c r="K356" s="8" t="inlineStr">
        <is>
          <t>Senior TLM / Director</t>
        </is>
      </c>
      <c r="L356" s="8" t="n"/>
      <c r="M356" s="8" t="n"/>
      <c r="N356" s="8" t="n"/>
      <c r="O356" s="8" t="n"/>
    </row>
    <row r="357" ht="54" customHeight="1">
      <c r="A357" s="14" t="inlineStr">
        <is>
          <t>IRIS Vs Competitor Benchmark — engineering managers · informed by Freshworks, GitLab; C12, C20</t>
        </is>
      </c>
      <c r="B357" s="8" t="n"/>
      <c r="C357" s="8" t="n"/>
      <c r="D357" s="8" t="n"/>
      <c r="E357" s="8" t="n"/>
      <c r="F357" s="8" t="inlineStr">
        <is>
          <t>Engineering Manager</t>
        </is>
      </c>
      <c r="G357" s="8" t="inlineStr">
        <is>
          <t>Senior EM</t>
        </is>
      </c>
      <c r="H357" s="8" t="n"/>
      <c r="I357" s="8" t="inlineStr">
        <is>
          <t>Senior EM / Director</t>
        </is>
      </c>
      <c r="J357" s="8" t="inlineStr">
        <is>
          <t>Director Engineering</t>
        </is>
      </c>
      <c r="K357" s="8" t="n"/>
      <c r="L357" s="8" t="inlineStr">
        <is>
          <t>Senior Director</t>
        </is>
      </c>
      <c r="M357" s="8" t="inlineStr">
        <is>
          <t>VP Engineering</t>
        </is>
      </c>
      <c r="N357" s="8" t="inlineStr">
        <is>
          <t>CTO</t>
        </is>
      </c>
      <c r="O357" s="8" t="n"/>
    </row>
    <row r="358" ht="15" customHeight="1"/>
    <row r="359" ht="20" customHeight="1">
      <c r="A359" s="79" t="inlineStr">
        <is>
          <t>Finance — 11 people</t>
        </is>
      </c>
    </row>
    <row r="360" ht="15" customHeight="1">
      <c r="A360" s="61" t="inlineStr">
        <is>
          <t>IRIS Finance &amp; Accounts Vs · Standard: IMA Management Accounting Competency Framework; ICAI / CA; Ind AS · 10 here</t>
        </is>
      </c>
      <c r="B360" s="64" t="n"/>
      <c r="C360" s="64" t="n"/>
      <c r="D360" s="64" t="n"/>
      <c r="E360" s="64" t="n"/>
      <c r="F360" s="64" t="n"/>
      <c r="G360" s="64" t="n"/>
      <c r="H360" s="64" t="n"/>
      <c r="I360" s="64" t="n"/>
      <c r="J360" s="64" t="n"/>
      <c r="K360" s="64" t="n"/>
      <c r="L360" s="64" t="n"/>
      <c r="M360" s="64" t="n"/>
      <c r="N360" s="64" t="n"/>
      <c r="O360" s="63" t="n"/>
    </row>
    <row r="361" ht="15" customHeight="1">
      <c r="A361" s="76" t="inlineStr">
        <is>
          <t>Ladder / company</t>
        </is>
      </c>
      <c r="B361" s="76" t="inlineStr">
        <is>
          <t>A1</t>
        </is>
      </c>
      <c r="C361" s="76" t="inlineStr">
        <is>
          <t>A2</t>
        </is>
      </c>
      <c r="D361" s="76" t="inlineStr">
        <is>
          <t>A3</t>
        </is>
      </c>
      <c r="E361" s="76" t="inlineStr">
        <is>
          <t>B1</t>
        </is>
      </c>
      <c r="F361" s="76" t="inlineStr">
        <is>
          <t>B2</t>
        </is>
      </c>
      <c r="G361" s="76" t="inlineStr">
        <is>
          <t>B3</t>
        </is>
      </c>
      <c r="H361" s="76" t="inlineStr">
        <is>
          <t>B+</t>
        </is>
      </c>
      <c r="I361" s="76" t="inlineStr">
        <is>
          <t>C1</t>
        </is>
      </c>
      <c r="J361" s="76" t="inlineStr">
        <is>
          <t>C2</t>
        </is>
      </c>
      <c r="K361" s="76" t="inlineStr">
        <is>
          <t>C+</t>
        </is>
      </c>
      <c r="L361" s="76" t="inlineStr">
        <is>
          <t>D1</t>
        </is>
      </c>
      <c r="M361" s="76" t="inlineStr">
        <is>
          <t>D2</t>
        </is>
      </c>
      <c r="N361" s="76" t="inlineStr">
        <is>
          <t>E1</t>
        </is>
      </c>
      <c r="O361" s="76" t="inlineStr">
        <is>
          <t>E2</t>
        </is>
      </c>
    </row>
    <row r="362" ht="54" customHeight="1">
      <c r="A362" s="74" t="inlineStr">
        <is>
          <t>IRIS — IC title</t>
        </is>
      </c>
      <c r="B362" s="42" t="inlineStr">
        <is>
          <t>Intern / Trainee</t>
        </is>
      </c>
      <c r="C362" s="42" t="inlineStr">
        <is>
          <t>Associate</t>
        </is>
      </c>
      <c r="D362" s="42" t="inlineStr">
        <is>
          <t>Senior Associate</t>
        </is>
      </c>
      <c r="E362" s="43" t="inlineStr">
        <is>
          <t>Specialist</t>
        </is>
      </c>
      <c r="F362" s="43" t="inlineStr">
        <is>
          <t>Senior Specialist</t>
        </is>
      </c>
      <c r="G362" s="43" t="inlineStr">
        <is>
          <t>Lead Specialist</t>
        </is>
      </c>
      <c r="H362" s="44" t="inlineStr">
        <is>
          <t>Practice Lead · Player-Coach</t>
        </is>
      </c>
      <c r="I362" s="45" t="inlineStr">
        <is>
          <t>Principal</t>
        </is>
      </c>
      <c r="J362" s="45" t="inlineStr">
        <is>
          <t>Senior Principal / Architect</t>
        </is>
      </c>
      <c r="K362" s="46" t="inlineStr">
        <is>
          <t>Group Head · Player-Coach</t>
        </is>
      </c>
      <c r="L362" s="47" t="inlineStr">
        <is>
          <t>Chief Specialist / Distinguished Principal</t>
        </is>
      </c>
      <c r="M362" s="47" t="inlineStr">
        <is>
          <t>—</t>
        </is>
      </c>
      <c r="N362" s="48" t="inlineStr">
        <is>
          <t>—</t>
        </is>
      </c>
      <c r="O362" s="48" t="inlineStr">
        <is>
          <t>—</t>
        </is>
      </c>
    </row>
    <row r="363" ht="54" customHeight="1">
      <c r="A363" s="74" t="inlineStr">
        <is>
          <t>IRIS — Manager title</t>
        </is>
      </c>
      <c r="B363" s="42" t="n"/>
      <c r="C363" s="42" t="n"/>
      <c r="D363" s="42" t="n"/>
      <c r="E363" s="43" t="inlineStr">
        <is>
          <t>Team Lead</t>
        </is>
      </c>
      <c r="F363" s="43" t="inlineStr">
        <is>
          <t>Manager</t>
        </is>
      </c>
      <c r="G363" s="43" t="inlineStr">
        <is>
          <t>Senior Manager</t>
        </is>
      </c>
      <c r="H363" s="44" t="inlineStr">
        <is>
          <t>Practice Lead · Player-Coach</t>
        </is>
      </c>
      <c r="I363" s="45" t="inlineStr">
        <is>
          <t>Associate Head</t>
        </is>
      </c>
      <c r="J363" s="45" t="inlineStr">
        <is>
          <t>Head of Function</t>
        </is>
      </c>
      <c r="K363" s="46" t="inlineStr">
        <is>
          <t>Group Head · Player-Coach</t>
        </is>
      </c>
      <c r="L363" s="47" t="inlineStr">
        <is>
          <t>Associate Vice President / Business Head</t>
        </is>
      </c>
      <c r="M363" s="47" t="inlineStr">
        <is>
          <t>Vice President</t>
        </is>
      </c>
      <c r="N363" s="48" t="inlineStr">
        <is>
          <t>CXO / President</t>
        </is>
      </c>
      <c r="O363" s="48" t="inlineStr">
        <is>
          <t>Chief Executive Officer</t>
        </is>
      </c>
    </row>
    <row r="364" ht="15" customHeight="1">
      <c r="A364" s="74" t="inlineStr">
        <is>
          <t>IRIS — people at level</t>
        </is>
      </c>
      <c r="B364" s="42" t="n"/>
      <c r="C364" s="42" t="n"/>
      <c r="D364" s="42" t="n">
        <v>2</v>
      </c>
      <c r="E364" s="43" t="n">
        <v>5</v>
      </c>
      <c r="F364" s="43" t="n">
        <v>1</v>
      </c>
      <c r="G364" s="43" t="n"/>
      <c r="H364" s="44" t="n"/>
      <c r="I364" s="45" t="n">
        <v>2</v>
      </c>
      <c r="J364" s="45" t="n"/>
      <c r="K364" s="46" t="n"/>
      <c r="L364" s="47" t="n"/>
      <c r="M364" s="47" t="n"/>
      <c r="N364" s="48" t="n"/>
      <c r="O364" s="48" t="n"/>
    </row>
    <row r="365" ht="41" customHeight="1">
      <c r="A365" s="14" t="inlineStr">
        <is>
          <t>Atlassian company-wide P-levels</t>
        </is>
      </c>
      <c r="B365" s="8" t="n"/>
      <c r="C365" s="8" t="inlineStr">
        <is>
          <t>P30</t>
        </is>
      </c>
      <c r="D365" s="8" t="inlineStr">
        <is>
          <t>P40</t>
        </is>
      </c>
      <c r="E365" s="8" t="n"/>
      <c r="F365" s="8" t="inlineStr">
        <is>
          <t>P50 Senior</t>
        </is>
      </c>
      <c r="G365" s="8" t="n"/>
      <c r="H365" s="8" t="n"/>
      <c r="I365" s="8" t="inlineStr">
        <is>
          <t>P60 Accountant · Principal</t>
        </is>
      </c>
      <c r="J365" s="8" t="n"/>
      <c r="K365" s="8" t="n"/>
      <c r="L365" s="8" t="n"/>
      <c r="M365" s="8" t="n"/>
      <c r="N365" s="8" t="n"/>
      <c r="O365" s="8" t="n"/>
    </row>
    <row r="366" ht="28" customHeight="1">
      <c r="A366" s="14" t="inlineStr">
        <is>
          <t>Toppan Merrill</t>
        </is>
      </c>
      <c r="B366" s="8" t="n"/>
      <c r="C366" s="8" t="n"/>
      <c r="D366" s="8" t="n"/>
      <c r="E366" s="8" t="inlineStr">
        <is>
          <t>Senior Accountant</t>
        </is>
      </c>
      <c r="F366" s="8" t="inlineStr">
        <is>
          <t>Senior Financial Analyst</t>
        </is>
      </c>
      <c r="G366" s="8" t="n"/>
      <c r="H366" s="8" t="n"/>
      <c r="I366" s="8" t="n"/>
      <c r="J366" s="8" t="n"/>
      <c r="K366" s="8" t="n"/>
      <c r="L366" s="8" t="n"/>
      <c r="M366" s="8" t="n"/>
      <c r="N366" s="8" t="n"/>
      <c r="O366" s="8" t="n"/>
    </row>
    <row r="367" ht="54" customHeight="1">
      <c r="A367" s="14" t="inlineStr">
        <is>
          <t>IRIS Vs Competitor Benchmark — finance ladder · informed by Radford codes, Big Four titles</t>
        </is>
      </c>
      <c r="B367" s="8" t="n"/>
      <c r="C367" s="8" t="inlineStr">
        <is>
          <t>Accountant</t>
        </is>
      </c>
      <c r="D367" s="8" t="inlineStr">
        <is>
          <t>Senior Accountant</t>
        </is>
      </c>
      <c r="E367" s="8" t="inlineStr">
        <is>
          <t>Finance Specialist / Asst. Manager</t>
        </is>
      </c>
      <c r="F367" s="8" t="inlineStr">
        <is>
          <t>Finance Manager</t>
        </is>
      </c>
      <c r="G367" s="8" t="inlineStr">
        <is>
          <t>Senior Finance Manager / Controller</t>
        </is>
      </c>
      <c r="H367" s="8" t="n"/>
      <c r="I367" s="8" t="inlineStr">
        <is>
          <t>Associate Director Finance</t>
        </is>
      </c>
      <c r="J367" s="8" t="inlineStr">
        <is>
          <t>Head of Finance</t>
        </is>
      </c>
      <c r="K367" s="8" t="n"/>
      <c r="L367" s="8" t="inlineStr">
        <is>
          <t>VP Finance</t>
        </is>
      </c>
      <c r="M367" s="8" t="n"/>
      <c r="N367" s="8" t="inlineStr">
        <is>
          <t>CFO</t>
        </is>
      </c>
      <c r="O367" s="8" t="n"/>
    </row>
    <row r="368" ht="15" customHeight="1"/>
    <row r="369" ht="15" customHeight="1">
      <c r="A369" s="61" t="inlineStr">
        <is>
          <t>IRIS Executive Leadership Vs · Standard: Aon Radford executive levels E1–E6; Mercer ET1–ET3; Korn Ferry Leadership Architect · 1 here</t>
        </is>
      </c>
      <c r="B369" s="64" t="n"/>
      <c r="C369" s="64" t="n"/>
      <c r="D369" s="64" t="n"/>
      <c r="E369" s="64" t="n"/>
      <c r="F369" s="64" t="n"/>
      <c r="G369" s="64" t="n"/>
      <c r="H369" s="64" t="n"/>
      <c r="I369" s="64" t="n"/>
      <c r="J369" s="64" t="n"/>
      <c r="K369" s="64" t="n"/>
      <c r="L369" s="64" t="n"/>
      <c r="M369" s="64" t="n"/>
      <c r="N369" s="64" t="n"/>
      <c r="O369" s="63" t="n"/>
    </row>
    <row r="370" ht="15" customHeight="1">
      <c r="A370" s="76" t="inlineStr">
        <is>
          <t>Ladder / company</t>
        </is>
      </c>
      <c r="B370" s="76" t="inlineStr">
        <is>
          <t>A1</t>
        </is>
      </c>
      <c r="C370" s="76" t="inlineStr">
        <is>
          <t>A2</t>
        </is>
      </c>
      <c r="D370" s="76" t="inlineStr">
        <is>
          <t>A3</t>
        </is>
      </c>
      <c r="E370" s="76" t="inlineStr">
        <is>
          <t>B1</t>
        </is>
      </c>
      <c r="F370" s="76" t="inlineStr">
        <is>
          <t>B2</t>
        </is>
      </c>
      <c r="G370" s="76" t="inlineStr">
        <is>
          <t>B3</t>
        </is>
      </c>
      <c r="H370" s="76" t="inlineStr">
        <is>
          <t>B+</t>
        </is>
      </c>
      <c r="I370" s="76" t="inlineStr">
        <is>
          <t>C1</t>
        </is>
      </c>
      <c r="J370" s="76" t="inlineStr">
        <is>
          <t>C2</t>
        </is>
      </c>
      <c r="K370" s="76" t="inlineStr">
        <is>
          <t>C+</t>
        </is>
      </c>
      <c r="L370" s="76" t="inlineStr">
        <is>
          <t>D1</t>
        </is>
      </c>
      <c r="M370" s="76" t="inlineStr">
        <is>
          <t>D2</t>
        </is>
      </c>
      <c r="N370" s="76" t="inlineStr">
        <is>
          <t>E1</t>
        </is>
      </c>
      <c r="O370" s="76" t="inlineStr">
        <is>
          <t>E2</t>
        </is>
      </c>
    </row>
    <row r="371" ht="41" customHeight="1">
      <c r="A371" s="74" t="inlineStr">
        <is>
          <t>IRIS — IC title</t>
        </is>
      </c>
      <c r="B371" s="42" t="inlineStr">
        <is>
          <t>Intern / Trainee</t>
        </is>
      </c>
      <c r="C371" s="42" t="inlineStr">
        <is>
          <t>Associate</t>
        </is>
      </c>
      <c r="D371" s="42" t="inlineStr">
        <is>
          <t>Senior Associate</t>
        </is>
      </c>
      <c r="E371" s="43" t="inlineStr">
        <is>
          <t>Specialist</t>
        </is>
      </c>
      <c r="F371" s="43" t="inlineStr">
        <is>
          <t>Senior Specialist</t>
        </is>
      </c>
      <c r="G371" s="43" t="inlineStr">
        <is>
          <t>Lead Specialist</t>
        </is>
      </c>
      <c r="H371" s="44" t="inlineStr">
        <is>
          <t>Practice Lead · Player-Coach</t>
        </is>
      </c>
      <c r="I371" s="45" t="inlineStr">
        <is>
          <t>Principal</t>
        </is>
      </c>
      <c r="J371" s="45" t="inlineStr">
        <is>
          <t>Senior Principal / Architect</t>
        </is>
      </c>
      <c r="K371" s="46" t="inlineStr">
        <is>
          <t>Group Head · Player-Coach</t>
        </is>
      </c>
      <c r="L371" s="47" t="inlineStr">
        <is>
          <t>—</t>
        </is>
      </c>
      <c r="M371" s="47" t="inlineStr">
        <is>
          <t>—</t>
        </is>
      </c>
      <c r="N371" s="48" t="inlineStr">
        <is>
          <t>—</t>
        </is>
      </c>
      <c r="O371" s="48" t="inlineStr">
        <is>
          <t>—</t>
        </is>
      </c>
    </row>
    <row r="372" ht="41" customHeight="1">
      <c r="A372" s="74" t="inlineStr">
        <is>
          <t>IRIS — Manager title</t>
        </is>
      </c>
      <c r="B372" s="42" t="n"/>
      <c r="C372" s="42" t="n"/>
      <c r="D372" s="42" t="n"/>
      <c r="E372" s="43" t="inlineStr">
        <is>
          <t>Team Lead</t>
        </is>
      </c>
      <c r="F372" s="43" t="inlineStr">
        <is>
          <t>Manager</t>
        </is>
      </c>
      <c r="G372" s="43" t="inlineStr">
        <is>
          <t>Senior Manager</t>
        </is>
      </c>
      <c r="H372" s="44" t="inlineStr">
        <is>
          <t>Practice Lead · Player-Coach</t>
        </is>
      </c>
      <c r="I372" s="45" t="inlineStr">
        <is>
          <t>Associate Head</t>
        </is>
      </c>
      <c r="J372" s="45" t="inlineStr">
        <is>
          <t>Head of Function</t>
        </is>
      </c>
      <c r="K372" s="46" t="inlineStr">
        <is>
          <t>Group Head · Player-Coach</t>
        </is>
      </c>
      <c r="L372" s="47" t="inlineStr">
        <is>
          <t>Business Head</t>
        </is>
      </c>
      <c r="M372" s="47" t="inlineStr">
        <is>
          <t>Vice President</t>
        </is>
      </c>
      <c r="N372" s="48" t="inlineStr">
        <is>
          <t>CXO / President</t>
        </is>
      </c>
      <c r="O372" s="48" t="inlineStr">
        <is>
          <t>Chief Executive Officer</t>
        </is>
      </c>
    </row>
    <row r="373" ht="15" customHeight="1">
      <c r="A373" s="74" t="inlineStr">
        <is>
          <t>IRIS — people at level</t>
        </is>
      </c>
      <c r="B373" s="42" t="n"/>
      <c r="C373" s="42" t="n"/>
      <c r="D373" s="42" t="n"/>
      <c r="E373" s="43" t="n"/>
      <c r="F373" s="43" t="n"/>
      <c r="G373" s="43" t="n"/>
      <c r="H373" s="44" t="n"/>
      <c r="I373" s="45" t="n"/>
      <c r="J373" s="45" t="n"/>
      <c r="K373" s="46" t="n"/>
      <c r="L373" s="47" t="n"/>
      <c r="M373" s="47" t="n"/>
      <c r="N373" s="48" t="n">
        <v>1</v>
      </c>
      <c r="O373" s="48" t="n"/>
    </row>
    <row r="374" ht="41" customHeight="1">
      <c r="A374" s="14" t="inlineStr">
        <is>
          <t>IRIS Vs Market Benchmark — Aon Radford / Mercer executive codes</t>
        </is>
      </c>
      <c r="B374" s="8" t="n"/>
      <c r="C374" s="8" t="n"/>
      <c r="D374" s="8" t="n"/>
      <c r="E374" s="8" t="n"/>
      <c r="F374" s="8" t="n"/>
      <c r="G374" s="8" t="n"/>
      <c r="H374" s="8" t="n"/>
      <c r="I374" s="8" t="n"/>
      <c r="J374" s="8" t="n"/>
      <c r="K374" s="8" t="n"/>
      <c r="L374" s="8" t="inlineStr">
        <is>
          <t>E1–E2 VP / Business Head</t>
        </is>
      </c>
      <c r="M374" s="8" t="inlineStr">
        <is>
          <t>E3–E4 SVP</t>
        </is>
      </c>
      <c r="N374" s="8" t="inlineStr">
        <is>
          <t>E5 C-level · functional</t>
        </is>
      </c>
      <c r="O374" s="8" t="inlineStr">
        <is>
          <t>E6 CEO</t>
        </is>
      </c>
    </row>
    <row r="375" ht="41" customHeight="1">
      <c r="A375" s="14" t="inlineStr">
        <is>
          <t>IRIS Vs Competitor Benchmark — regtech / SaaS executive titles</t>
        </is>
      </c>
      <c r="B375" s="8" t="n"/>
      <c r="C375" s="8" t="n"/>
      <c r="D375" s="8" t="n"/>
      <c r="E375" s="8" t="n"/>
      <c r="F375" s="8" t="n"/>
      <c r="G375" s="8" t="n"/>
      <c r="H375" s="8" t="n"/>
      <c r="I375" s="8" t="n"/>
      <c r="J375" s="8" t="n"/>
      <c r="K375" s="8" t="n"/>
      <c r="L375" s="8" t="inlineStr">
        <is>
          <t>General Manager / VP</t>
        </is>
      </c>
      <c r="M375" s="8" t="inlineStr">
        <is>
          <t>SVP</t>
        </is>
      </c>
      <c r="N375" s="8" t="inlineStr">
        <is>
          <t>CTO · CFO · CRO · CCO · COO</t>
        </is>
      </c>
      <c r="O375" s="8" t="inlineStr">
        <is>
          <t>CEO</t>
        </is>
      </c>
    </row>
    <row r="376" ht="15" customHeight="1"/>
    <row r="377" ht="20" customHeight="1">
      <c r="A377" s="79" t="inlineStr">
        <is>
          <t>Product Management — 9 people</t>
        </is>
      </c>
    </row>
    <row r="378" ht="15" customHeight="1">
      <c r="A378" s="61" t="inlineStr">
        <is>
          <t>IRIS Product Management Vs · Standard: Pragmatic Institute Framework · 37 activities, 7 categories; AIPMM · 9 here</t>
        </is>
      </c>
      <c r="B378" s="64" t="n"/>
      <c r="C378" s="64" t="n"/>
      <c r="D378" s="64" t="n"/>
      <c r="E378" s="64" t="n"/>
      <c r="F378" s="64" t="n"/>
      <c r="G378" s="64" t="n"/>
      <c r="H378" s="64" t="n"/>
      <c r="I378" s="64" t="n"/>
      <c r="J378" s="64" t="n"/>
      <c r="K378" s="64" t="n"/>
      <c r="L378" s="64" t="n"/>
      <c r="M378" s="64" t="n"/>
      <c r="N378" s="64" t="n"/>
      <c r="O378" s="63" t="n"/>
    </row>
    <row r="379" ht="15" customHeight="1">
      <c r="A379" s="76" t="inlineStr">
        <is>
          <t>Ladder / company</t>
        </is>
      </c>
      <c r="B379" s="76" t="inlineStr">
        <is>
          <t>A1</t>
        </is>
      </c>
      <c r="C379" s="76" t="inlineStr">
        <is>
          <t>A2</t>
        </is>
      </c>
      <c r="D379" s="76" t="inlineStr">
        <is>
          <t>A3</t>
        </is>
      </c>
      <c r="E379" s="76" t="inlineStr">
        <is>
          <t>B1</t>
        </is>
      </c>
      <c r="F379" s="76" t="inlineStr">
        <is>
          <t>B2</t>
        </is>
      </c>
      <c r="G379" s="76" t="inlineStr">
        <is>
          <t>B3</t>
        </is>
      </c>
      <c r="H379" s="76" t="inlineStr">
        <is>
          <t>B+</t>
        </is>
      </c>
      <c r="I379" s="76" t="inlineStr">
        <is>
          <t>C1</t>
        </is>
      </c>
      <c r="J379" s="76" t="inlineStr">
        <is>
          <t>C2</t>
        </is>
      </c>
      <c r="K379" s="76" t="inlineStr">
        <is>
          <t>C+</t>
        </is>
      </c>
      <c r="L379" s="76" t="inlineStr">
        <is>
          <t>D1</t>
        </is>
      </c>
      <c r="M379" s="76" t="inlineStr">
        <is>
          <t>D2</t>
        </is>
      </c>
      <c r="N379" s="76" t="inlineStr">
        <is>
          <t>E1</t>
        </is>
      </c>
      <c r="O379" s="76" t="inlineStr">
        <is>
          <t>E2</t>
        </is>
      </c>
    </row>
    <row r="380" ht="54" customHeight="1">
      <c r="A380" s="74" t="inlineStr">
        <is>
          <t>IRIS — IC title</t>
        </is>
      </c>
      <c r="B380" s="42" t="inlineStr">
        <is>
          <t>Intern / Trainee</t>
        </is>
      </c>
      <c r="C380" s="42" t="inlineStr">
        <is>
          <t>Associate</t>
        </is>
      </c>
      <c r="D380" s="42" t="inlineStr">
        <is>
          <t>Senior Associate</t>
        </is>
      </c>
      <c r="E380" s="43" t="inlineStr">
        <is>
          <t>Specialist</t>
        </is>
      </c>
      <c r="F380" s="43" t="inlineStr">
        <is>
          <t>Senior Specialist</t>
        </is>
      </c>
      <c r="G380" s="43" t="inlineStr">
        <is>
          <t>Lead Specialist</t>
        </is>
      </c>
      <c r="H380" s="44" t="inlineStr">
        <is>
          <t>Practice Lead · Player-Coach</t>
        </is>
      </c>
      <c r="I380" s="45" t="inlineStr">
        <is>
          <t>Principal</t>
        </is>
      </c>
      <c r="J380" s="45" t="inlineStr">
        <is>
          <t>Senior Principal / Architect</t>
        </is>
      </c>
      <c r="K380" s="46" t="inlineStr">
        <is>
          <t>Group Head · Player-Coach</t>
        </is>
      </c>
      <c r="L380" s="47" t="inlineStr">
        <is>
          <t>Chief Specialist / Distinguished Principal</t>
        </is>
      </c>
      <c r="M380" s="47" t="inlineStr">
        <is>
          <t>—</t>
        </is>
      </c>
      <c r="N380" s="48" t="inlineStr">
        <is>
          <t>—</t>
        </is>
      </c>
      <c r="O380" s="48" t="inlineStr">
        <is>
          <t>—</t>
        </is>
      </c>
    </row>
    <row r="381" ht="54" customHeight="1">
      <c r="A381" s="74" t="inlineStr">
        <is>
          <t>IRIS — Manager title</t>
        </is>
      </c>
      <c r="B381" s="42" t="n"/>
      <c r="C381" s="42" t="n"/>
      <c r="D381" s="42" t="n"/>
      <c r="E381" s="43" t="inlineStr">
        <is>
          <t>Team Lead</t>
        </is>
      </c>
      <c r="F381" s="43" t="inlineStr">
        <is>
          <t>Manager</t>
        </is>
      </c>
      <c r="G381" s="43" t="inlineStr">
        <is>
          <t>Senior Manager</t>
        </is>
      </c>
      <c r="H381" s="44" t="inlineStr">
        <is>
          <t>Practice Lead · Player-Coach</t>
        </is>
      </c>
      <c r="I381" s="45" t="inlineStr">
        <is>
          <t>Associate Head</t>
        </is>
      </c>
      <c r="J381" s="45" t="inlineStr">
        <is>
          <t>Head of Function</t>
        </is>
      </c>
      <c r="K381" s="46" t="inlineStr">
        <is>
          <t>Group Head · Player-Coach</t>
        </is>
      </c>
      <c r="L381" s="47" t="inlineStr">
        <is>
          <t>Associate Vice President / Business Head</t>
        </is>
      </c>
      <c r="M381" s="47" t="inlineStr">
        <is>
          <t>Vice President</t>
        </is>
      </c>
      <c r="N381" s="48" t="inlineStr">
        <is>
          <t>CXO / President</t>
        </is>
      </c>
      <c r="O381" s="48" t="inlineStr">
        <is>
          <t>Chief Executive Officer</t>
        </is>
      </c>
    </row>
    <row r="382" ht="15" customHeight="1">
      <c r="A382" s="74" t="inlineStr">
        <is>
          <t>IRIS — people at level</t>
        </is>
      </c>
      <c r="B382" s="42" t="n"/>
      <c r="C382" s="42" t="n"/>
      <c r="D382" s="42" t="n">
        <v>1</v>
      </c>
      <c r="E382" s="43" t="n">
        <v>2</v>
      </c>
      <c r="F382" s="43" t="n">
        <v>5</v>
      </c>
      <c r="G382" s="43" t="n">
        <v>1</v>
      </c>
      <c r="H382" s="44" t="n"/>
      <c r="I382" s="45" t="n"/>
      <c r="J382" s="45" t="n"/>
      <c r="K382" s="46" t="n"/>
      <c r="L382" s="47" t="n"/>
      <c r="M382" s="47" t="n"/>
      <c r="N382" s="48" t="n"/>
      <c r="O382" s="48" t="n"/>
    </row>
    <row r="383" ht="41" customHeight="1">
      <c r="A383" s="14" t="inlineStr">
        <is>
          <t>IRIS Vs Competitor Benchmark — SaaS product ladder · informed by Atlassian, Pragmatic</t>
        </is>
      </c>
      <c r="B383" s="8" t="n"/>
      <c r="C383" s="8" t="n"/>
      <c r="D383" s="8" t="inlineStr">
        <is>
          <t>Associate PM</t>
        </is>
      </c>
      <c r="E383" s="8" t="inlineStr">
        <is>
          <t>Product Manager</t>
        </is>
      </c>
      <c r="F383" s="8" t="inlineStr">
        <is>
          <t>Senior PM</t>
        </is>
      </c>
      <c r="G383" s="8" t="inlineStr">
        <is>
          <t>Principal / Group PM</t>
        </is>
      </c>
      <c r="H383" s="8" t="n"/>
      <c r="I383" s="8" t="inlineStr">
        <is>
          <t>Group PM / Head of Product</t>
        </is>
      </c>
      <c r="J383" s="8" t="inlineStr">
        <is>
          <t>Director of Product</t>
        </is>
      </c>
      <c r="K383" s="8" t="n"/>
      <c r="L383" s="8" t="inlineStr">
        <is>
          <t>VP Product</t>
        </is>
      </c>
      <c r="M383" s="8" t="n"/>
      <c r="N383" s="8" t="inlineStr">
        <is>
          <t>Chief Product Officer</t>
        </is>
      </c>
      <c r="O383" s="8" t="n"/>
    </row>
    <row r="384" ht="15" customHeight="1"/>
    <row r="385" ht="20" customHeight="1">
      <c r="A385" s="79" t="inlineStr">
        <is>
          <t>India Content — 9 people</t>
        </is>
      </c>
    </row>
    <row r="386" ht="15" customHeight="1">
      <c r="A386" s="61" t="inlineStr">
        <is>
          <t>IRIS Data &amp; Analytics Vs · Standard: DAMA-DMBOK · 11 knowledge areas around data governance · 9 here</t>
        </is>
      </c>
      <c r="B386" s="64" t="n"/>
      <c r="C386" s="64" t="n"/>
      <c r="D386" s="64" t="n"/>
      <c r="E386" s="64" t="n"/>
      <c r="F386" s="64" t="n"/>
      <c r="G386" s="64" t="n"/>
      <c r="H386" s="64" t="n"/>
      <c r="I386" s="64" t="n"/>
      <c r="J386" s="64" t="n"/>
      <c r="K386" s="64" t="n"/>
      <c r="L386" s="64" t="n"/>
      <c r="M386" s="64" t="n"/>
      <c r="N386" s="64" t="n"/>
      <c r="O386" s="63" t="n"/>
    </row>
    <row r="387" ht="15" customHeight="1">
      <c r="A387" s="76" t="inlineStr">
        <is>
          <t>Ladder / company</t>
        </is>
      </c>
      <c r="B387" s="76" t="inlineStr">
        <is>
          <t>A1</t>
        </is>
      </c>
      <c r="C387" s="76" t="inlineStr">
        <is>
          <t>A2</t>
        </is>
      </c>
      <c r="D387" s="76" t="inlineStr">
        <is>
          <t>A3</t>
        </is>
      </c>
      <c r="E387" s="76" t="inlineStr">
        <is>
          <t>B1</t>
        </is>
      </c>
      <c r="F387" s="76" t="inlineStr">
        <is>
          <t>B2</t>
        </is>
      </c>
      <c r="G387" s="76" t="inlineStr">
        <is>
          <t>B3</t>
        </is>
      </c>
      <c r="H387" s="76" t="inlineStr">
        <is>
          <t>B+</t>
        </is>
      </c>
      <c r="I387" s="76" t="inlineStr">
        <is>
          <t>C1</t>
        </is>
      </c>
      <c r="J387" s="76" t="inlineStr">
        <is>
          <t>C2</t>
        </is>
      </c>
      <c r="K387" s="76" t="inlineStr">
        <is>
          <t>C+</t>
        </is>
      </c>
      <c r="L387" s="76" t="inlineStr">
        <is>
          <t>D1</t>
        </is>
      </c>
      <c r="M387" s="76" t="inlineStr">
        <is>
          <t>D2</t>
        </is>
      </c>
      <c r="N387" s="76" t="inlineStr">
        <is>
          <t>E1</t>
        </is>
      </c>
      <c r="O387" s="76" t="inlineStr">
        <is>
          <t>E2</t>
        </is>
      </c>
    </row>
    <row r="388" ht="54" customHeight="1">
      <c r="A388" s="74" t="inlineStr">
        <is>
          <t>IRIS — IC title</t>
        </is>
      </c>
      <c r="B388" s="42" t="inlineStr">
        <is>
          <t>Intern / Trainee</t>
        </is>
      </c>
      <c r="C388" s="42" t="inlineStr">
        <is>
          <t>Associate</t>
        </is>
      </c>
      <c r="D388" s="42" t="inlineStr">
        <is>
          <t>Senior Associate</t>
        </is>
      </c>
      <c r="E388" s="43" t="inlineStr">
        <is>
          <t>Specialist</t>
        </is>
      </c>
      <c r="F388" s="43" t="inlineStr">
        <is>
          <t>Senior Specialist</t>
        </is>
      </c>
      <c r="G388" s="43" t="inlineStr">
        <is>
          <t>Lead Specialist</t>
        </is>
      </c>
      <c r="H388" s="44" t="inlineStr">
        <is>
          <t>Practice Lead · Player-Coach</t>
        </is>
      </c>
      <c r="I388" s="45" t="inlineStr">
        <is>
          <t>Principal</t>
        </is>
      </c>
      <c r="J388" s="45" t="inlineStr">
        <is>
          <t>Senior Principal / Architect</t>
        </is>
      </c>
      <c r="K388" s="46" t="inlineStr">
        <is>
          <t>Group Head · Player-Coach</t>
        </is>
      </c>
      <c r="L388" s="47" t="inlineStr">
        <is>
          <t>Chief Specialist / Distinguished Principal</t>
        </is>
      </c>
      <c r="M388" s="47" t="inlineStr">
        <is>
          <t>—</t>
        </is>
      </c>
      <c r="N388" s="48" t="inlineStr">
        <is>
          <t>—</t>
        </is>
      </c>
      <c r="O388" s="48" t="inlineStr">
        <is>
          <t>—</t>
        </is>
      </c>
    </row>
    <row r="389" ht="54" customHeight="1">
      <c r="A389" s="74" t="inlineStr">
        <is>
          <t>IRIS — Manager title</t>
        </is>
      </c>
      <c r="B389" s="42" t="n"/>
      <c r="C389" s="42" t="n"/>
      <c r="D389" s="42" t="n"/>
      <c r="E389" s="43" t="inlineStr">
        <is>
          <t>Team Lead</t>
        </is>
      </c>
      <c r="F389" s="43" t="inlineStr">
        <is>
          <t>Manager</t>
        </is>
      </c>
      <c r="G389" s="43" t="inlineStr">
        <is>
          <t>Senior Manager</t>
        </is>
      </c>
      <c r="H389" s="44" t="inlineStr">
        <is>
          <t>Practice Lead · Player-Coach</t>
        </is>
      </c>
      <c r="I389" s="45" t="inlineStr">
        <is>
          <t>Associate Head</t>
        </is>
      </c>
      <c r="J389" s="45" t="inlineStr">
        <is>
          <t>Head of Function</t>
        </is>
      </c>
      <c r="K389" s="46" t="inlineStr">
        <is>
          <t>Group Head · Player-Coach</t>
        </is>
      </c>
      <c r="L389" s="47" t="inlineStr">
        <is>
          <t>Associate Vice President / Business Head</t>
        </is>
      </c>
      <c r="M389" s="47" t="inlineStr">
        <is>
          <t>Vice President</t>
        </is>
      </c>
      <c r="N389" s="48" t="inlineStr">
        <is>
          <t>CXO / President</t>
        </is>
      </c>
      <c r="O389" s="48" t="inlineStr">
        <is>
          <t>Chief Executive Officer</t>
        </is>
      </c>
    </row>
    <row r="390" ht="15" customHeight="1">
      <c r="A390" s="74" t="inlineStr">
        <is>
          <t>IRIS — people at level</t>
        </is>
      </c>
      <c r="B390" s="42" t="n"/>
      <c r="C390" s="42" t="n"/>
      <c r="D390" s="42" t="n">
        <v>7</v>
      </c>
      <c r="E390" s="43" t="n">
        <v>1</v>
      </c>
      <c r="F390" s="43" t="n">
        <v>1</v>
      </c>
      <c r="G390" s="43" t="n"/>
      <c r="H390" s="44" t="n"/>
      <c r="I390" s="45" t="n"/>
      <c r="J390" s="45" t="n"/>
      <c r="K390" s="46" t="n"/>
      <c r="L390" s="47" t="n"/>
      <c r="M390" s="47" t="n"/>
      <c r="N390" s="48" t="n"/>
      <c r="O390" s="48" t="n"/>
    </row>
    <row r="391" ht="28" customHeight="1">
      <c r="A391" s="14" t="inlineStr">
        <is>
          <t>Atlassian company-wide P-levels</t>
        </is>
      </c>
      <c r="B391" s="8" t="n"/>
      <c r="C391" s="8" t="inlineStr">
        <is>
          <t>P30 Analyst</t>
        </is>
      </c>
      <c r="D391" s="8" t="inlineStr">
        <is>
          <t>P40 Analyst</t>
        </is>
      </c>
      <c r="E391" s="8" t="inlineStr">
        <is>
          <t>P40</t>
        </is>
      </c>
      <c r="F391" s="8" t="inlineStr">
        <is>
          <t>P50 Senior Analyst</t>
        </is>
      </c>
      <c r="G391" s="8" t="inlineStr">
        <is>
          <t>P50 / Lead</t>
        </is>
      </c>
      <c r="H391" s="8" t="n"/>
      <c r="I391" s="8" t="inlineStr">
        <is>
          <t>P60 Principal</t>
        </is>
      </c>
      <c r="J391" s="8" t="n"/>
      <c r="K391" s="8" t="n"/>
      <c r="L391" s="8" t="n"/>
      <c r="M391" s="8" t="n"/>
      <c r="N391" s="8" t="n"/>
      <c r="O391" s="8" t="n"/>
    </row>
    <row r="392" ht="41" customHeight="1">
      <c r="A392" s="14" t="inlineStr">
        <is>
          <t>IRIS Vs Competitor Benchmark — data analyst ladder · informed by Radford codes</t>
        </is>
      </c>
      <c r="B392" s="8" t="n"/>
      <c r="C392" s="8" t="inlineStr">
        <is>
          <t>Data Analyst I</t>
        </is>
      </c>
      <c r="D392" s="8" t="inlineStr">
        <is>
          <t>Data Analyst II</t>
        </is>
      </c>
      <c r="E392" s="8" t="inlineStr">
        <is>
          <t>Senior Data Analyst</t>
        </is>
      </c>
      <c r="F392" s="8" t="inlineStr">
        <is>
          <t>Lead Data Analyst</t>
        </is>
      </c>
      <c r="G392" s="8" t="inlineStr">
        <is>
          <t>Principal / Analytics Manager</t>
        </is>
      </c>
      <c r="H392" s="8" t="n"/>
      <c r="I392" s="8" t="inlineStr">
        <is>
          <t>Head of Analytics</t>
        </is>
      </c>
      <c r="J392" s="8" t="n"/>
      <c r="K392" s="8" t="n"/>
      <c r="L392" s="8" t="n"/>
      <c r="M392" s="8" t="n"/>
      <c r="N392" s="8" t="n"/>
      <c r="O392" s="8" t="n"/>
    </row>
    <row r="393" ht="15" customHeight="1"/>
    <row r="394" ht="20" customHeight="1">
      <c r="A394" s="79" t="inlineStr">
        <is>
          <t>Datatech - Outreach — 8 people</t>
        </is>
      </c>
    </row>
    <row r="395" ht="15" customHeight="1">
      <c r="A395" s="61" t="inlineStr">
        <is>
          <t>IRIS Sales &amp; Business Development Vs · Standard: SaaS sales ladder · SDR → AE → Enterprise AE → VP / CRO; MEDDICC-style qualification · 7 here</t>
        </is>
      </c>
      <c r="B395" s="64" t="n"/>
      <c r="C395" s="64" t="n"/>
      <c r="D395" s="64" t="n"/>
      <c r="E395" s="64" t="n"/>
      <c r="F395" s="64" t="n"/>
      <c r="G395" s="64" t="n"/>
      <c r="H395" s="64" t="n"/>
      <c r="I395" s="64" t="n"/>
      <c r="J395" s="64" t="n"/>
      <c r="K395" s="64" t="n"/>
      <c r="L395" s="64" t="n"/>
      <c r="M395" s="64" t="n"/>
      <c r="N395" s="64" t="n"/>
      <c r="O395" s="63" t="n"/>
    </row>
    <row r="396" ht="15" customHeight="1">
      <c r="A396" s="76" t="inlineStr">
        <is>
          <t>Ladder / company</t>
        </is>
      </c>
      <c r="B396" s="76" t="inlineStr">
        <is>
          <t>A1</t>
        </is>
      </c>
      <c r="C396" s="76" t="inlineStr">
        <is>
          <t>A2</t>
        </is>
      </c>
      <c r="D396" s="76" t="inlineStr">
        <is>
          <t>A3</t>
        </is>
      </c>
      <c r="E396" s="76" t="inlineStr">
        <is>
          <t>B1</t>
        </is>
      </c>
      <c r="F396" s="76" t="inlineStr">
        <is>
          <t>B2</t>
        </is>
      </c>
      <c r="G396" s="76" t="inlineStr">
        <is>
          <t>B3</t>
        </is>
      </c>
      <c r="H396" s="76" t="inlineStr">
        <is>
          <t>B+</t>
        </is>
      </c>
      <c r="I396" s="76" t="inlineStr">
        <is>
          <t>C1</t>
        </is>
      </c>
      <c r="J396" s="76" t="inlineStr">
        <is>
          <t>C2</t>
        </is>
      </c>
      <c r="K396" s="76" t="inlineStr">
        <is>
          <t>C+</t>
        </is>
      </c>
      <c r="L396" s="76" t="inlineStr">
        <is>
          <t>D1</t>
        </is>
      </c>
      <c r="M396" s="76" t="inlineStr">
        <is>
          <t>D2</t>
        </is>
      </c>
      <c r="N396" s="76" t="inlineStr">
        <is>
          <t>E1</t>
        </is>
      </c>
      <c r="O396" s="76" t="inlineStr">
        <is>
          <t>E2</t>
        </is>
      </c>
    </row>
    <row r="397" ht="54" customHeight="1">
      <c r="A397" s="74" t="inlineStr">
        <is>
          <t>IRIS — IC title</t>
        </is>
      </c>
      <c r="B397" s="42" t="inlineStr">
        <is>
          <t>Intern / Trainee</t>
        </is>
      </c>
      <c r="C397" s="42" t="inlineStr">
        <is>
          <t>Associate</t>
        </is>
      </c>
      <c r="D397" s="42" t="inlineStr">
        <is>
          <t>Senior Associate</t>
        </is>
      </c>
      <c r="E397" s="43" t="inlineStr">
        <is>
          <t>Specialist</t>
        </is>
      </c>
      <c r="F397" s="43" t="inlineStr">
        <is>
          <t>Senior Specialist</t>
        </is>
      </c>
      <c r="G397" s="43" t="inlineStr">
        <is>
          <t>Lead Specialist</t>
        </is>
      </c>
      <c r="H397" s="44" t="inlineStr">
        <is>
          <t>Practice Lead · Player-Coach</t>
        </is>
      </c>
      <c r="I397" s="45" t="inlineStr">
        <is>
          <t>Principal</t>
        </is>
      </c>
      <c r="J397" s="45" t="inlineStr">
        <is>
          <t>Senior Principal / Architect</t>
        </is>
      </c>
      <c r="K397" s="46" t="inlineStr">
        <is>
          <t>Group Head · Player-Coach</t>
        </is>
      </c>
      <c r="L397" s="47" t="inlineStr">
        <is>
          <t>Chief Specialist / Distinguished Principal</t>
        </is>
      </c>
      <c r="M397" s="47" t="inlineStr">
        <is>
          <t>—</t>
        </is>
      </c>
      <c r="N397" s="48" t="inlineStr">
        <is>
          <t>—</t>
        </is>
      </c>
      <c r="O397" s="48" t="inlineStr">
        <is>
          <t>—</t>
        </is>
      </c>
    </row>
    <row r="398" ht="54" customHeight="1">
      <c r="A398" s="74" t="inlineStr">
        <is>
          <t>IRIS — Manager title</t>
        </is>
      </c>
      <c r="B398" s="42" t="n"/>
      <c r="C398" s="42" t="n"/>
      <c r="D398" s="42" t="n"/>
      <c r="E398" s="43" t="inlineStr">
        <is>
          <t>Team Lead</t>
        </is>
      </c>
      <c r="F398" s="43" t="inlineStr">
        <is>
          <t>Manager</t>
        </is>
      </c>
      <c r="G398" s="43" t="inlineStr">
        <is>
          <t>Senior Manager</t>
        </is>
      </c>
      <c r="H398" s="44" t="inlineStr">
        <is>
          <t>Practice Lead · Player-Coach</t>
        </is>
      </c>
      <c r="I398" s="45" t="inlineStr">
        <is>
          <t>Associate Head</t>
        </is>
      </c>
      <c r="J398" s="45" t="inlineStr">
        <is>
          <t>Head of Function</t>
        </is>
      </c>
      <c r="K398" s="46" t="inlineStr">
        <is>
          <t>Group Head · Player-Coach</t>
        </is>
      </c>
      <c r="L398" s="47" t="inlineStr">
        <is>
          <t>Associate Vice President / Business Head</t>
        </is>
      </c>
      <c r="M398" s="47" t="inlineStr">
        <is>
          <t>Vice President</t>
        </is>
      </c>
      <c r="N398" s="48" t="inlineStr">
        <is>
          <t>CXO / President</t>
        </is>
      </c>
      <c r="O398" s="48" t="inlineStr">
        <is>
          <t>Chief Executive Officer</t>
        </is>
      </c>
    </row>
    <row r="399" ht="15" customHeight="1">
      <c r="A399" s="74" t="inlineStr">
        <is>
          <t>IRIS — people at level</t>
        </is>
      </c>
      <c r="B399" s="42" t="n"/>
      <c r="C399" s="42" t="n">
        <v>2</v>
      </c>
      <c r="D399" s="42" t="n">
        <v>3</v>
      </c>
      <c r="E399" s="43" t="n"/>
      <c r="F399" s="43" t="n">
        <v>2</v>
      </c>
      <c r="G399" s="43" t="n"/>
      <c r="H399" s="44" t="n"/>
      <c r="I399" s="45" t="n"/>
      <c r="J399" s="45" t="n"/>
      <c r="K399" s="46" t="n"/>
      <c r="L399" s="47" t="n"/>
      <c r="M399" s="47" t="n"/>
      <c r="N399" s="48" t="n"/>
      <c r="O399" s="48" t="n"/>
    </row>
    <row r="400" ht="54" customHeight="1">
      <c r="A400" s="14" t="inlineStr">
        <is>
          <t>IRIS Vs Competitor Benchmark — SaaS sales ladder — IC · informed by SaaStr and title guides, C16</t>
        </is>
      </c>
      <c r="B400" s="8" t="n"/>
      <c r="C400" s="8" t="inlineStr">
        <is>
          <t>SDR / BDR</t>
        </is>
      </c>
      <c r="D400" s="8" t="inlineStr">
        <is>
          <t>Senior SDR</t>
        </is>
      </c>
      <c r="E400" s="8" t="inlineStr">
        <is>
          <t>Account Executive · SMB</t>
        </is>
      </c>
      <c r="F400" s="8" t="inlineStr">
        <is>
          <t>Mid-Market AE</t>
        </is>
      </c>
      <c r="G400" s="8" t="inlineStr">
        <is>
          <t>Enterprise AE</t>
        </is>
      </c>
      <c r="H400" s="8" t="n"/>
      <c r="I400" s="8" t="inlineStr">
        <is>
          <t>Strategic / Principal AE</t>
        </is>
      </c>
      <c r="J400" s="8" t="n"/>
      <c r="K400" s="8" t="n"/>
      <c r="L400" s="8" t="n"/>
      <c r="M400" s="8" t="n"/>
      <c r="N400" s="8" t="n"/>
      <c r="O400" s="8" t="n"/>
    </row>
    <row r="401" ht="54" customHeight="1">
      <c r="A401" s="14" t="inlineStr">
        <is>
          <t>Job postings: player-coach sales leaders</t>
        </is>
      </c>
      <c r="B401" s="8" t="n"/>
      <c r="C401" s="8" t="n"/>
      <c r="D401" s="8" t="n"/>
      <c r="E401" s="8" t="n"/>
      <c r="F401" s="8" t="n"/>
      <c r="G401" s="8" t="n"/>
      <c r="H401" s="8" t="inlineStr">
        <is>
          <t>Sales Lead — Player/Coach · carries quota</t>
        </is>
      </c>
      <c r="I401" s="8" t="n"/>
      <c r="J401" s="8" t="n"/>
      <c r="K401" s="8" t="inlineStr">
        <is>
          <t>Head of Revenue — Player/Coach</t>
        </is>
      </c>
      <c r="L401" s="8" t="n"/>
      <c r="M401" s="8" t="n"/>
      <c r="N401" s="8" t="n"/>
      <c r="O401" s="8" t="n"/>
    </row>
    <row r="402" ht="54" customHeight="1">
      <c r="A402" s="14" t="inlineStr">
        <is>
          <t>IRIS Vs Competitor Benchmark — SaaS sales ladder — management · informed by title guides, C16</t>
        </is>
      </c>
      <c r="B402" s="8" t="n"/>
      <c r="C402" s="8" t="n"/>
      <c r="D402" s="8" t="n"/>
      <c r="E402" s="8" t="inlineStr">
        <is>
          <t>SDR Team Lead</t>
        </is>
      </c>
      <c r="F402" s="8" t="inlineStr">
        <is>
          <t>Sales Manager</t>
        </is>
      </c>
      <c r="G402" s="8" t="inlineStr">
        <is>
          <t>Senior Sales Manager</t>
        </is>
      </c>
      <c r="H402" s="8" t="n"/>
      <c r="I402" s="8" t="inlineStr">
        <is>
          <t>Regional Sales Head</t>
        </is>
      </c>
      <c r="J402" s="8" t="inlineStr">
        <is>
          <t>Director of Sales</t>
        </is>
      </c>
      <c r="K402" s="8" t="n"/>
      <c r="L402" s="8" t="inlineStr">
        <is>
          <t>VP Sales</t>
        </is>
      </c>
      <c r="M402" s="8" t="inlineStr">
        <is>
          <t>SVP Sales</t>
        </is>
      </c>
      <c r="N402" s="8" t="inlineStr">
        <is>
          <t>Chief Revenue Officer</t>
        </is>
      </c>
      <c r="O402" s="8" t="n"/>
    </row>
    <row r="403" ht="15" customHeight="1"/>
    <row r="404" ht="15" customHeight="1">
      <c r="A404" s="61" t="inlineStr">
        <is>
          <t>IRIS Data &amp; Analytics Vs · Standard: DAMA-DMBOK · 11 knowledge areas around data governance · 1 here</t>
        </is>
      </c>
      <c r="B404" s="64" t="n"/>
      <c r="C404" s="64" t="n"/>
      <c r="D404" s="64" t="n"/>
      <c r="E404" s="64" t="n"/>
      <c r="F404" s="64" t="n"/>
      <c r="G404" s="64" t="n"/>
      <c r="H404" s="64" t="n"/>
      <c r="I404" s="64" t="n"/>
      <c r="J404" s="64" t="n"/>
      <c r="K404" s="64" t="n"/>
      <c r="L404" s="64" t="n"/>
      <c r="M404" s="64" t="n"/>
      <c r="N404" s="64" t="n"/>
      <c r="O404" s="63" t="n"/>
    </row>
    <row r="405" ht="15" customHeight="1">
      <c r="A405" s="76" t="inlineStr">
        <is>
          <t>Ladder / company</t>
        </is>
      </c>
      <c r="B405" s="76" t="inlineStr">
        <is>
          <t>A1</t>
        </is>
      </c>
      <c r="C405" s="76" t="inlineStr">
        <is>
          <t>A2</t>
        </is>
      </c>
      <c r="D405" s="76" t="inlineStr">
        <is>
          <t>A3</t>
        </is>
      </c>
      <c r="E405" s="76" t="inlineStr">
        <is>
          <t>B1</t>
        </is>
      </c>
      <c r="F405" s="76" t="inlineStr">
        <is>
          <t>B2</t>
        </is>
      </c>
      <c r="G405" s="76" t="inlineStr">
        <is>
          <t>B3</t>
        </is>
      </c>
      <c r="H405" s="76" t="inlineStr">
        <is>
          <t>B+</t>
        </is>
      </c>
      <c r="I405" s="76" t="inlineStr">
        <is>
          <t>C1</t>
        </is>
      </c>
      <c r="J405" s="76" t="inlineStr">
        <is>
          <t>C2</t>
        </is>
      </c>
      <c r="K405" s="76" t="inlineStr">
        <is>
          <t>C+</t>
        </is>
      </c>
      <c r="L405" s="76" t="inlineStr">
        <is>
          <t>D1</t>
        </is>
      </c>
      <c r="M405" s="76" t="inlineStr">
        <is>
          <t>D2</t>
        </is>
      </c>
      <c r="N405" s="76" t="inlineStr">
        <is>
          <t>E1</t>
        </is>
      </c>
      <c r="O405" s="76" t="inlineStr">
        <is>
          <t>E2</t>
        </is>
      </c>
    </row>
    <row r="406" ht="54" customHeight="1">
      <c r="A406" s="74" t="inlineStr">
        <is>
          <t>IRIS — IC title</t>
        </is>
      </c>
      <c r="B406" s="42" t="inlineStr">
        <is>
          <t>Intern / Trainee</t>
        </is>
      </c>
      <c r="C406" s="42" t="inlineStr">
        <is>
          <t>Associate</t>
        </is>
      </c>
      <c r="D406" s="42" t="inlineStr">
        <is>
          <t>Senior Associate</t>
        </is>
      </c>
      <c r="E406" s="43" t="inlineStr">
        <is>
          <t>Specialist</t>
        </is>
      </c>
      <c r="F406" s="43" t="inlineStr">
        <is>
          <t>Senior Specialist</t>
        </is>
      </c>
      <c r="G406" s="43" t="inlineStr">
        <is>
          <t>Lead Specialist</t>
        </is>
      </c>
      <c r="H406" s="44" t="inlineStr">
        <is>
          <t>Practice Lead · Player-Coach</t>
        </is>
      </c>
      <c r="I406" s="45" t="inlineStr">
        <is>
          <t>Principal</t>
        </is>
      </c>
      <c r="J406" s="45" t="inlineStr">
        <is>
          <t>Senior Principal / Architect</t>
        </is>
      </c>
      <c r="K406" s="46" t="inlineStr">
        <is>
          <t>Group Head · Player-Coach</t>
        </is>
      </c>
      <c r="L406" s="47" t="inlineStr">
        <is>
          <t>Chief Specialist / Distinguished Principal</t>
        </is>
      </c>
      <c r="M406" s="47" t="inlineStr">
        <is>
          <t>—</t>
        </is>
      </c>
      <c r="N406" s="48" t="inlineStr">
        <is>
          <t>—</t>
        </is>
      </c>
      <c r="O406" s="48" t="inlineStr">
        <is>
          <t>—</t>
        </is>
      </c>
    </row>
    <row r="407" ht="54" customHeight="1">
      <c r="A407" s="74" t="inlineStr">
        <is>
          <t>IRIS — Manager title</t>
        </is>
      </c>
      <c r="B407" s="42" t="n"/>
      <c r="C407" s="42" t="n"/>
      <c r="D407" s="42" t="n"/>
      <c r="E407" s="43" t="inlineStr">
        <is>
          <t>Team Lead</t>
        </is>
      </c>
      <c r="F407" s="43" t="inlineStr">
        <is>
          <t>Manager</t>
        </is>
      </c>
      <c r="G407" s="43" t="inlineStr">
        <is>
          <t>Senior Manager</t>
        </is>
      </c>
      <c r="H407" s="44" t="inlineStr">
        <is>
          <t>Practice Lead · Player-Coach</t>
        </is>
      </c>
      <c r="I407" s="45" t="inlineStr">
        <is>
          <t>Associate Head</t>
        </is>
      </c>
      <c r="J407" s="45" t="inlineStr">
        <is>
          <t>Head of Function</t>
        </is>
      </c>
      <c r="K407" s="46" t="inlineStr">
        <is>
          <t>Group Head · Player-Coach</t>
        </is>
      </c>
      <c r="L407" s="47" t="inlineStr">
        <is>
          <t>Associate Vice President / Business Head</t>
        </is>
      </c>
      <c r="M407" s="47" t="inlineStr">
        <is>
          <t>Vice President</t>
        </is>
      </c>
      <c r="N407" s="48" t="inlineStr">
        <is>
          <t>CXO / President</t>
        </is>
      </c>
      <c r="O407" s="48" t="inlineStr">
        <is>
          <t>Chief Executive Officer</t>
        </is>
      </c>
    </row>
    <row r="408" ht="15" customHeight="1">
      <c r="A408" s="74" t="inlineStr">
        <is>
          <t>IRIS — people at level</t>
        </is>
      </c>
      <c r="B408" s="42" t="n"/>
      <c r="C408" s="42" t="n">
        <v>1</v>
      </c>
      <c r="D408" s="42" t="n"/>
      <c r="E408" s="43" t="n"/>
      <c r="F408" s="43" t="n"/>
      <c r="G408" s="43" t="n"/>
      <c r="H408" s="44" t="n"/>
      <c r="I408" s="45" t="n"/>
      <c r="J408" s="45" t="n"/>
      <c r="K408" s="46" t="n"/>
      <c r="L408" s="47" t="n"/>
      <c r="M408" s="47" t="n"/>
      <c r="N408" s="48" t="n"/>
      <c r="O408" s="48" t="n"/>
    </row>
    <row r="409" ht="28" customHeight="1">
      <c r="A409" s="14" t="inlineStr">
        <is>
          <t>Atlassian company-wide P-levels</t>
        </is>
      </c>
      <c r="B409" s="8" t="n"/>
      <c r="C409" s="8" t="inlineStr">
        <is>
          <t>P30 Analyst</t>
        </is>
      </c>
      <c r="D409" s="8" t="inlineStr">
        <is>
          <t>P40 Analyst</t>
        </is>
      </c>
      <c r="E409" s="8" t="inlineStr">
        <is>
          <t>P40</t>
        </is>
      </c>
      <c r="F409" s="8" t="inlineStr">
        <is>
          <t>P50 Senior Analyst</t>
        </is>
      </c>
      <c r="G409" s="8" t="inlineStr">
        <is>
          <t>P50 / Lead</t>
        </is>
      </c>
      <c r="H409" s="8" t="n"/>
      <c r="I409" s="8" t="inlineStr">
        <is>
          <t>P60 Principal</t>
        </is>
      </c>
      <c r="J409" s="8" t="n"/>
      <c r="K409" s="8" t="n"/>
      <c r="L409" s="8" t="n"/>
      <c r="M409" s="8" t="n"/>
      <c r="N409" s="8" t="n"/>
      <c r="O409" s="8" t="n"/>
    </row>
    <row r="410" ht="41" customHeight="1">
      <c r="A410" s="14" t="inlineStr">
        <is>
          <t>IRIS Vs Competitor Benchmark — data analyst ladder · informed by Radford codes</t>
        </is>
      </c>
      <c r="B410" s="8" t="n"/>
      <c r="C410" s="8" t="inlineStr">
        <is>
          <t>Data Analyst I</t>
        </is>
      </c>
      <c r="D410" s="8" t="inlineStr">
        <is>
          <t>Data Analyst II</t>
        </is>
      </c>
      <c r="E410" s="8" t="inlineStr">
        <is>
          <t>Senior Data Analyst</t>
        </is>
      </c>
      <c r="F410" s="8" t="inlineStr">
        <is>
          <t>Lead Data Analyst</t>
        </is>
      </c>
      <c r="G410" s="8" t="inlineStr">
        <is>
          <t>Principal / Analytics Manager</t>
        </is>
      </c>
      <c r="H410" s="8" t="n"/>
      <c r="I410" s="8" t="inlineStr">
        <is>
          <t>Head of Analytics</t>
        </is>
      </c>
      <c r="J410" s="8" t="n"/>
      <c r="K410" s="8" t="n"/>
      <c r="L410" s="8" t="n"/>
      <c r="M410" s="8" t="n"/>
      <c r="N410" s="8" t="n"/>
      <c r="O410" s="8" t="n"/>
    </row>
    <row r="411" ht="15" customHeight="1"/>
    <row r="412" ht="20" customHeight="1">
      <c r="A412" s="79" t="inlineStr">
        <is>
          <t>HR — 8 people</t>
        </is>
      </c>
    </row>
    <row r="413" ht="15" customHeight="1">
      <c r="A413" s="61" t="inlineStr">
        <is>
          <t>IRIS Human Resources Vs · Standard: SHRM BASK · SHRM-CP → SHRM-SCP; CIPD Profession Map · 8 here</t>
        </is>
      </c>
      <c r="B413" s="64" t="n"/>
      <c r="C413" s="64" t="n"/>
      <c r="D413" s="64" t="n"/>
      <c r="E413" s="64" t="n"/>
      <c r="F413" s="64" t="n"/>
      <c r="G413" s="64" t="n"/>
      <c r="H413" s="64" t="n"/>
      <c r="I413" s="64" t="n"/>
      <c r="J413" s="64" t="n"/>
      <c r="K413" s="64" t="n"/>
      <c r="L413" s="64" t="n"/>
      <c r="M413" s="64" t="n"/>
      <c r="N413" s="64" t="n"/>
      <c r="O413" s="63" t="n"/>
    </row>
    <row r="414" ht="15" customHeight="1">
      <c r="A414" s="76" t="inlineStr">
        <is>
          <t>Ladder / company</t>
        </is>
      </c>
      <c r="B414" s="76" t="inlineStr">
        <is>
          <t>A1</t>
        </is>
      </c>
      <c r="C414" s="76" t="inlineStr">
        <is>
          <t>A2</t>
        </is>
      </c>
      <c r="D414" s="76" t="inlineStr">
        <is>
          <t>A3</t>
        </is>
      </c>
      <c r="E414" s="76" t="inlineStr">
        <is>
          <t>B1</t>
        </is>
      </c>
      <c r="F414" s="76" t="inlineStr">
        <is>
          <t>B2</t>
        </is>
      </c>
      <c r="G414" s="76" t="inlineStr">
        <is>
          <t>B3</t>
        </is>
      </c>
      <c r="H414" s="76" t="inlineStr">
        <is>
          <t>B+</t>
        </is>
      </c>
      <c r="I414" s="76" t="inlineStr">
        <is>
          <t>C1</t>
        </is>
      </c>
      <c r="J414" s="76" t="inlineStr">
        <is>
          <t>C2</t>
        </is>
      </c>
      <c r="K414" s="76" t="inlineStr">
        <is>
          <t>C+</t>
        </is>
      </c>
      <c r="L414" s="76" t="inlineStr">
        <is>
          <t>D1</t>
        </is>
      </c>
      <c r="M414" s="76" t="inlineStr">
        <is>
          <t>D2</t>
        </is>
      </c>
      <c r="N414" s="76" t="inlineStr">
        <is>
          <t>E1</t>
        </is>
      </c>
      <c r="O414" s="76" t="inlineStr">
        <is>
          <t>E2</t>
        </is>
      </c>
    </row>
    <row r="415" ht="54" customHeight="1">
      <c r="A415" s="74" t="inlineStr">
        <is>
          <t>IRIS — IC title</t>
        </is>
      </c>
      <c r="B415" s="42" t="inlineStr">
        <is>
          <t>Intern / Trainee</t>
        </is>
      </c>
      <c r="C415" s="42" t="inlineStr">
        <is>
          <t>Associate</t>
        </is>
      </c>
      <c r="D415" s="42" t="inlineStr">
        <is>
          <t>Senior Associate</t>
        </is>
      </c>
      <c r="E415" s="43" t="inlineStr">
        <is>
          <t>Specialist</t>
        </is>
      </c>
      <c r="F415" s="43" t="inlineStr">
        <is>
          <t>Senior Specialist</t>
        </is>
      </c>
      <c r="G415" s="43" t="inlineStr">
        <is>
          <t>Lead Specialist</t>
        </is>
      </c>
      <c r="H415" s="44" t="inlineStr">
        <is>
          <t>Practice Lead · Player-Coach</t>
        </is>
      </c>
      <c r="I415" s="45" t="inlineStr">
        <is>
          <t>Principal</t>
        </is>
      </c>
      <c r="J415" s="45" t="inlineStr">
        <is>
          <t>Senior Principal / Architect</t>
        </is>
      </c>
      <c r="K415" s="46" t="inlineStr">
        <is>
          <t>Group Head · Player-Coach</t>
        </is>
      </c>
      <c r="L415" s="47" t="inlineStr">
        <is>
          <t>Chief Specialist / Distinguished Principal</t>
        </is>
      </c>
      <c r="M415" s="47" t="inlineStr">
        <is>
          <t>—</t>
        </is>
      </c>
      <c r="N415" s="48" t="inlineStr">
        <is>
          <t>—</t>
        </is>
      </c>
      <c r="O415" s="48" t="inlineStr">
        <is>
          <t>—</t>
        </is>
      </c>
    </row>
    <row r="416" ht="54" customHeight="1">
      <c r="A416" s="74" t="inlineStr">
        <is>
          <t>IRIS — Manager title</t>
        </is>
      </c>
      <c r="B416" s="42" t="n"/>
      <c r="C416" s="42" t="n"/>
      <c r="D416" s="42" t="n"/>
      <c r="E416" s="43" t="inlineStr">
        <is>
          <t>Team Lead</t>
        </is>
      </c>
      <c r="F416" s="43" t="inlineStr">
        <is>
          <t>Manager</t>
        </is>
      </c>
      <c r="G416" s="43" t="inlineStr">
        <is>
          <t>Senior Manager</t>
        </is>
      </c>
      <c r="H416" s="44" t="inlineStr">
        <is>
          <t>Practice Lead · Player-Coach</t>
        </is>
      </c>
      <c r="I416" s="45" t="inlineStr">
        <is>
          <t>Associate Head</t>
        </is>
      </c>
      <c r="J416" s="45" t="inlineStr">
        <is>
          <t>Head of Function</t>
        </is>
      </c>
      <c r="K416" s="46" t="inlineStr">
        <is>
          <t>Group Head · Player-Coach</t>
        </is>
      </c>
      <c r="L416" s="47" t="inlineStr">
        <is>
          <t>Associate Vice President / Business Head</t>
        </is>
      </c>
      <c r="M416" s="47" t="inlineStr">
        <is>
          <t>Vice President</t>
        </is>
      </c>
      <c r="N416" s="48" t="inlineStr">
        <is>
          <t>CXO / President</t>
        </is>
      </c>
      <c r="O416" s="48" t="inlineStr">
        <is>
          <t>Chief Executive Officer</t>
        </is>
      </c>
    </row>
    <row r="417" ht="15" customHeight="1">
      <c r="A417" s="74" t="inlineStr">
        <is>
          <t>IRIS — people at level</t>
        </is>
      </c>
      <c r="B417" s="42" t="n"/>
      <c r="C417" s="42" t="n">
        <v>1</v>
      </c>
      <c r="D417" s="42" t="n">
        <v>2</v>
      </c>
      <c r="E417" s="43" t="n">
        <v>2</v>
      </c>
      <c r="F417" s="43" t="n">
        <v>1</v>
      </c>
      <c r="G417" s="43" t="n">
        <v>1</v>
      </c>
      <c r="H417" s="44" t="n"/>
      <c r="I417" s="45" t="n"/>
      <c r="J417" s="45" t="n"/>
      <c r="K417" s="46" t="n"/>
      <c r="L417" s="47" t="n"/>
      <c r="M417" s="47" t="n">
        <v>1</v>
      </c>
      <c r="N417" s="48" t="n"/>
      <c r="O417" s="48" t="n"/>
    </row>
    <row r="418" ht="41" customHeight="1">
      <c r="A418" s="14" t="inlineStr">
        <is>
          <t>IRIS Vs Competitor Benchmark — HR ladder · informed by Radford codes, SHRM</t>
        </is>
      </c>
      <c r="B418" s="8" t="n"/>
      <c r="C418" s="8" t="inlineStr">
        <is>
          <t>HR Executive</t>
        </is>
      </c>
      <c r="D418" s="8" t="inlineStr">
        <is>
          <t>Senior HR Executive · SHRM-CP</t>
        </is>
      </c>
      <c r="E418" s="8" t="inlineStr">
        <is>
          <t>HR Specialist / HRBP</t>
        </is>
      </c>
      <c r="F418" s="8" t="inlineStr">
        <is>
          <t>HR Manager / Senior HRBP</t>
        </is>
      </c>
      <c r="G418" s="8" t="inlineStr">
        <is>
          <t>Senior HR Manager · SHRM-SCP</t>
        </is>
      </c>
      <c r="H418" s="8" t="n"/>
      <c r="I418" s="8" t="inlineStr">
        <is>
          <t>Head of CoE</t>
        </is>
      </c>
      <c r="J418" s="8" t="inlineStr">
        <is>
          <t>Head of HR</t>
        </is>
      </c>
      <c r="K418" s="8" t="n"/>
      <c r="L418" s="8" t="n"/>
      <c r="M418" s="8" t="inlineStr">
        <is>
          <t>VP HR</t>
        </is>
      </c>
      <c r="N418" s="8" t="inlineStr">
        <is>
          <t>CHRO</t>
        </is>
      </c>
      <c r="O418" s="8" t="n"/>
    </row>
    <row r="419" ht="15" customHeight="1"/>
    <row r="420" ht="20" customHeight="1">
      <c r="A420" s="79" t="inlineStr">
        <is>
          <t>Administration — 6 people</t>
        </is>
      </c>
    </row>
    <row r="421" ht="15" customHeight="1">
      <c r="A421" s="61" t="inlineStr">
        <is>
          <t>IRIS Administration, Legal &amp; Secretarial Vs · Standard: ICSI · Company Secretary; Companies Act 2013; IFMA · facilities; CIPS · procurement · 6 here</t>
        </is>
      </c>
      <c r="B421" s="64" t="n"/>
      <c r="C421" s="64" t="n"/>
      <c r="D421" s="64" t="n"/>
      <c r="E421" s="64" t="n"/>
      <c r="F421" s="64" t="n"/>
      <c r="G421" s="64" t="n"/>
      <c r="H421" s="64" t="n"/>
      <c r="I421" s="64" t="n"/>
      <c r="J421" s="64" t="n"/>
      <c r="K421" s="64" t="n"/>
      <c r="L421" s="64" t="n"/>
      <c r="M421" s="64" t="n"/>
      <c r="N421" s="64" t="n"/>
      <c r="O421" s="63" t="n"/>
    </row>
    <row r="422" ht="15" customHeight="1">
      <c r="A422" s="76" t="inlineStr">
        <is>
          <t>Ladder / company</t>
        </is>
      </c>
      <c r="B422" s="76" t="inlineStr">
        <is>
          <t>A1</t>
        </is>
      </c>
      <c r="C422" s="76" t="inlineStr">
        <is>
          <t>A2</t>
        </is>
      </c>
      <c r="D422" s="76" t="inlineStr">
        <is>
          <t>A3</t>
        </is>
      </c>
      <c r="E422" s="76" t="inlineStr">
        <is>
          <t>B1</t>
        </is>
      </c>
      <c r="F422" s="76" t="inlineStr">
        <is>
          <t>B2</t>
        </is>
      </c>
      <c r="G422" s="76" t="inlineStr">
        <is>
          <t>B3</t>
        </is>
      </c>
      <c r="H422" s="76" t="inlineStr">
        <is>
          <t>B+</t>
        </is>
      </c>
      <c r="I422" s="76" t="inlineStr">
        <is>
          <t>C1</t>
        </is>
      </c>
      <c r="J422" s="76" t="inlineStr">
        <is>
          <t>C2</t>
        </is>
      </c>
      <c r="K422" s="76" t="inlineStr">
        <is>
          <t>C+</t>
        </is>
      </c>
      <c r="L422" s="76" t="inlineStr">
        <is>
          <t>D1</t>
        </is>
      </c>
      <c r="M422" s="76" t="inlineStr">
        <is>
          <t>D2</t>
        </is>
      </c>
      <c r="N422" s="76" t="inlineStr">
        <is>
          <t>E1</t>
        </is>
      </c>
      <c r="O422" s="76" t="inlineStr">
        <is>
          <t>E2</t>
        </is>
      </c>
    </row>
    <row r="423" ht="54" customHeight="1">
      <c r="A423" s="74" t="inlineStr">
        <is>
          <t>IRIS — IC title</t>
        </is>
      </c>
      <c r="B423" s="42" t="inlineStr">
        <is>
          <t>Intern / Trainee</t>
        </is>
      </c>
      <c r="C423" s="42" t="inlineStr">
        <is>
          <t>Associate</t>
        </is>
      </c>
      <c r="D423" s="42" t="inlineStr">
        <is>
          <t>Senior Associate</t>
        </is>
      </c>
      <c r="E423" s="43" t="inlineStr">
        <is>
          <t>Specialist</t>
        </is>
      </c>
      <c r="F423" s="43" t="inlineStr">
        <is>
          <t>Senior Specialist</t>
        </is>
      </c>
      <c r="G423" s="43" t="inlineStr">
        <is>
          <t>Lead Specialist</t>
        </is>
      </c>
      <c r="H423" s="44" t="inlineStr">
        <is>
          <t>Practice Lead · Player-Coach</t>
        </is>
      </c>
      <c r="I423" s="45" t="inlineStr">
        <is>
          <t>Principal</t>
        </is>
      </c>
      <c r="J423" s="45" t="inlineStr">
        <is>
          <t>Senior Principal / Architect</t>
        </is>
      </c>
      <c r="K423" s="46" t="inlineStr">
        <is>
          <t>Group Head · Player-Coach</t>
        </is>
      </c>
      <c r="L423" s="47" t="inlineStr">
        <is>
          <t>Chief Specialist / Distinguished Principal</t>
        </is>
      </c>
      <c r="M423" s="47" t="inlineStr">
        <is>
          <t>—</t>
        </is>
      </c>
      <c r="N423" s="48" t="inlineStr">
        <is>
          <t>—</t>
        </is>
      </c>
      <c r="O423" s="48" t="inlineStr">
        <is>
          <t>—</t>
        </is>
      </c>
    </row>
    <row r="424" ht="54" customHeight="1">
      <c r="A424" s="74" t="inlineStr">
        <is>
          <t>IRIS — Manager title</t>
        </is>
      </c>
      <c r="B424" s="42" t="n"/>
      <c r="C424" s="42" t="n"/>
      <c r="D424" s="42" t="n"/>
      <c r="E424" s="43" t="inlineStr">
        <is>
          <t>Team Lead</t>
        </is>
      </c>
      <c r="F424" s="43" t="inlineStr">
        <is>
          <t>Manager</t>
        </is>
      </c>
      <c r="G424" s="43" t="inlineStr">
        <is>
          <t>Senior Manager</t>
        </is>
      </c>
      <c r="H424" s="44" t="inlineStr">
        <is>
          <t>Practice Lead · Player-Coach</t>
        </is>
      </c>
      <c r="I424" s="45" t="inlineStr">
        <is>
          <t>Associate Head</t>
        </is>
      </c>
      <c r="J424" s="45" t="inlineStr">
        <is>
          <t>Head of Function</t>
        </is>
      </c>
      <c r="K424" s="46" t="inlineStr">
        <is>
          <t>Group Head · Player-Coach</t>
        </is>
      </c>
      <c r="L424" s="47" t="inlineStr">
        <is>
          <t>Associate Vice President / Business Head</t>
        </is>
      </c>
      <c r="M424" s="47" t="inlineStr">
        <is>
          <t>Vice President</t>
        </is>
      </c>
      <c r="N424" s="48" t="inlineStr">
        <is>
          <t>CXO / President</t>
        </is>
      </c>
      <c r="O424" s="48" t="inlineStr">
        <is>
          <t>Chief Executive Officer</t>
        </is>
      </c>
    </row>
    <row r="425" ht="15" customHeight="1">
      <c r="A425" s="74" t="inlineStr">
        <is>
          <t>IRIS — people at level</t>
        </is>
      </c>
      <c r="B425" s="42" t="n"/>
      <c r="C425" s="42" t="n"/>
      <c r="D425" s="42" t="n">
        <v>4</v>
      </c>
      <c r="E425" s="43" t="n"/>
      <c r="F425" s="43" t="n">
        <v>1</v>
      </c>
      <c r="G425" s="43" t="n"/>
      <c r="H425" s="44" t="n"/>
      <c r="I425" s="45" t="n"/>
      <c r="J425" s="45" t="n"/>
      <c r="K425" s="46" t="n"/>
      <c r="L425" s="47" t="n"/>
      <c r="M425" s="47" t="n"/>
      <c r="N425" s="48" t="n"/>
      <c r="O425" s="48" t="n"/>
    </row>
    <row r="426" ht="41" customHeight="1">
      <c r="A426" s="14" t="inlineStr">
        <is>
          <t>IRIS Vs Competitor Benchmark — corporate services ladder · informed by ICSI, IFMA</t>
        </is>
      </c>
      <c r="B426" s="8" t="inlineStr">
        <is>
          <t>Trainee</t>
        </is>
      </c>
      <c r="C426" s="8" t="inlineStr">
        <is>
          <t>Executive</t>
        </is>
      </c>
      <c r="D426" s="8" t="inlineStr">
        <is>
          <t>Senior Executive</t>
        </is>
      </c>
      <c r="E426" s="8" t="inlineStr">
        <is>
          <t>Specialist / Asst. Company Secretary</t>
        </is>
      </c>
      <c r="F426" s="8" t="inlineStr">
        <is>
          <t>Manager</t>
        </is>
      </c>
      <c r="G426" s="8" t="inlineStr">
        <is>
          <t>Senior Manager</t>
        </is>
      </c>
      <c r="H426" s="8" t="n"/>
      <c r="I426" s="8" t="inlineStr">
        <is>
          <t>Company Secretary</t>
        </is>
      </c>
      <c r="J426" s="8" t="inlineStr">
        <is>
          <t>Head — Legal &amp; Secretarial</t>
        </is>
      </c>
      <c r="K426" s="8" t="n"/>
      <c r="L426" s="8" t="inlineStr">
        <is>
          <t>General Counsel</t>
        </is>
      </c>
      <c r="M426" s="8" t="n"/>
      <c r="N426" s="8" t="n"/>
      <c r="O426" s="8" t="n"/>
    </row>
    <row r="427" ht="15" customHeight="1"/>
    <row r="428" ht="20" customHeight="1">
      <c r="A428" s="79" t="inlineStr">
        <is>
          <t>Secretarial &amp; Legal — 3 people</t>
        </is>
      </c>
    </row>
    <row r="429" ht="15" customHeight="1">
      <c r="A429" s="61" t="inlineStr">
        <is>
          <t>IRIS Administration, Legal &amp; Secretarial Vs · Standard: ICSI · Company Secretary; Companies Act 2013; IFMA · facilities; CIPS · procurement · 3 here</t>
        </is>
      </c>
      <c r="B429" s="64" t="n"/>
      <c r="C429" s="64" t="n"/>
      <c r="D429" s="64" t="n"/>
      <c r="E429" s="64" t="n"/>
      <c r="F429" s="64" t="n"/>
      <c r="G429" s="64" t="n"/>
      <c r="H429" s="64" t="n"/>
      <c r="I429" s="64" t="n"/>
      <c r="J429" s="64" t="n"/>
      <c r="K429" s="64" t="n"/>
      <c r="L429" s="64" t="n"/>
      <c r="M429" s="64" t="n"/>
      <c r="N429" s="64" t="n"/>
      <c r="O429" s="63" t="n"/>
    </row>
    <row r="430" ht="15" customHeight="1">
      <c r="A430" s="76" t="inlineStr">
        <is>
          <t>Ladder / company</t>
        </is>
      </c>
      <c r="B430" s="76" t="inlineStr">
        <is>
          <t>A1</t>
        </is>
      </c>
      <c r="C430" s="76" t="inlineStr">
        <is>
          <t>A2</t>
        </is>
      </c>
      <c r="D430" s="76" t="inlineStr">
        <is>
          <t>A3</t>
        </is>
      </c>
      <c r="E430" s="76" t="inlineStr">
        <is>
          <t>B1</t>
        </is>
      </c>
      <c r="F430" s="76" t="inlineStr">
        <is>
          <t>B2</t>
        </is>
      </c>
      <c r="G430" s="76" t="inlineStr">
        <is>
          <t>B3</t>
        </is>
      </c>
      <c r="H430" s="76" t="inlineStr">
        <is>
          <t>B+</t>
        </is>
      </c>
      <c r="I430" s="76" t="inlineStr">
        <is>
          <t>C1</t>
        </is>
      </c>
      <c r="J430" s="76" t="inlineStr">
        <is>
          <t>C2</t>
        </is>
      </c>
      <c r="K430" s="76" t="inlineStr">
        <is>
          <t>C+</t>
        </is>
      </c>
      <c r="L430" s="76" t="inlineStr">
        <is>
          <t>D1</t>
        </is>
      </c>
      <c r="M430" s="76" t="inlineStr">
        <is>
          <t>D2</t>
        </is>
      </c>
      <c r="N430" s="76" t="inlineStr">
        <is>
          <t>E1</t>
        </is>
      </c>
      <c r="O430" s="76" t="inlineStr">
        <is>
          <t>E2</t>
        </is>
      </c>
    </row>
    <row r="431" ht="54" customHeight="1">
      <c r="A431" s="74" t="inlineStr">
        <is>
          <t>IRIS — IC title</t>
        </is>
      </c>
      <c r="B431" s="42" t="inlineStr">
        <is>
          <t>Intern / Trainee</t>
        </is>
      </c>
      <c r="C431" s="42" t="inlineStr">
        <is>
          <t>Associate</t>
        </is>
      </c>
      <c r="D431" s="42" t="inlineStr">
        <is>
          <t>Senior Associate</t>
        </is>
      </c>
      <c r="E431" s="43" t="inlineStr">
        <is>
          <t>Specialist</t>
        </is>
      </c>
      <c r="F431" s="43" t="inlineStr">
        <is>
          <t>Senior Specialist</t>
        </is>
      </c>
      <c r="G431" s="43" t="inlineStr">
        <is>
          <t>Lead Specialist</t>
        </is>
      </c>
      <c r="H431" s="44" t="inlineStr">
        <is>
          <t>Practice Lead · Player-Coach</t>
        </is>
      </c>
      <c r="I431" s="45" t="inlineStr">
        <is>
          <t>Principal</t>
        </is>
      </c>
      <c r="J431" s="45" t="inlineStr">
        <is>
          <t>Senior Principal / Architect</t>
        </is>
      </c>
      <c r="K431" s="46" t="inlineStr">
        <is>
          <t>Group Head · Player-Coach</t>
        </is>
      </c>
      <c r="L431" s="47" t="inlineStr">
        <is>
          <t>Chief Specialist / Distinguished Principal</t>
        </is>
      </c>
      <c r="M431" s="47" t="inlineStr">
        <is>
          <t>—</t>
        </is>
      </c>
      <c r="N431" s="48" t="inlineStr">
        <is>
          <t>—</t>
        </is>
      </c>
      <c r="O431" s="48" t="inlineStr">
        <is>
          <t>—</t>
        </is>
      </c>
    </row>
    <row r="432" ht="54" customHeight="1">
      <c r="A432" s="74" t="inlineStr">
        <is>
          <t>IRIS — Manager title</t>
        </is>
      </c>
      <c r="B432" s="42" t="n"/>
      <c r="C432" s="42" t="n"/>
      <c r="D432" s="42" t="n"/>
      <c r="E432" s="43" t="inlineStr">
        <is>
          <t>Team Lead</t>
        </is>
      </c>
      <c r="F432" s="43" t="inlineStr">
        <is>
          <t>Manager</t>
        </is>
      </c>
      <c r="G432" s="43" t="inlineStr">
        <is>
          <t>Senior Manager</t>
        </is>
      </c>
      <c r="H432" s="44" t="inlineStr">
        <is>
          <t>Practice Lead · Player-Coach</t>
        </is>
      </c>
      <c r="I432" s="45" t="inlineStr">
        <is>
          <t>Associate Head</t>
        </is>
      </c>
      <c r="J432" s="45" t="inlineStr">
        <is>
          <t>Head of Function</t>
        </is>
      </c>
      <c r="K432" s="46" t="inlineStr">
        <is>
          <t>Group Head · Player-Coach</t>
        </is>
      </c>
      <c r="L432" s="47" t="inlineStr">
        <is>
          <t>Associate Vice President / Business Head</t>
        </is>
      </c>
      <c r="M432" s="47" t="inlineStr">
        <is>
          <t>Vice President</t>
        </is>
      </c>
      <c r="N432" s="48" t="inlineStr">
        <is>
          <t>CXO / President</t>
        </is>
      </c>
      <c r="O432" s="48" t="inlineStr">
        <is>
          <t>Chief Executive Officer</t>
        </is>
      </c>
    </row>
    <row r="433" ht="15" customHeight="1">
      <c r="A433" s="74" t="inlineStr">
        <is>
          <t>IRIS — people at level</t>
        </is>
      </c>
      <c r="B433" s="42" t="n">
        <v>1</v>
      </c>
      <c r="C433" s="42" t="n"/>
      <c r="D433" s="42" t="n">
        <v>1</v>
      </c>
      <c r="E433" s="43" t="n"/>
      <c r="F433" s="43" t="n"/>
      <c r="G433" s="43" t="n"/>
      <c r="H433" s="44" t="n"/>
      <c r="I433" s="45" t="n">
        <v>1</v>
      </c>
      <c r="J433" s="45" t="n"/>
      <c r="K433" s="46" t="n"/>
      <c r="L433" s="47" t="n"/>
      <c r="M433" s="47" t="n"/>
      <c r="N433" s="48" t="n"/>
      <c r="O433" s="48" t="n"/>
    </row>
    <row r="434" ht="41" customHeight="1">
      <c r="A434" s="14" t="inlineStr">
        <is>
          <t>IRIS Vs Competitor Benchmark — corporate services ladder · informed by ICSI, IFMA</t>
        </is>
      </c>
      <c r="B434" s="8" t="inlineStr">
        <is>
          <t>Trainee</t>
        </is>
      </c>
      <c r="C434" s="8" t="inlineStr">
        <is>
          <t>Executive</t>
        </is>
      </c>
      <c r="D434" s="8" t="inlineStr">
        <is>
          <t>Senior Executive</t>
        </is>
      </c>
      <c r="E434" s="8" t="inlineStr">
        <is>
          <t>Specialist / Asst. Company Secretary</t>
        </is>
      </c>
      <c r="F434" s="8" t="inlineStr">
        <is>
          <t>Manager</t>
        </is>
      </c>
      <c r="G434" s="8" t="inlineStr">
        <is>
          <t>Senior Manager</t>
        </is>
      </c>
      <c r="H434" s="8" t="n"/>
      <c r="I434" s="8" t="inlineStr">
        <is>
          <t>Company Secretary</t>
        </is>
      </c>
      <c r="J434" s="8" t="inlineStr">
        <is>
          <t>Head — Legal &amp; Secretarial</t>
        </is>
      </c>
      <c r="K434" s="8" t="n"/>
      <c r="L434" s="8" t="inlineStr">
        <is>
          <t>General Counsel</t>
        </is>
      </c>
      <c r="M434" s="8" t="n"/>
      <c r="N434" s="8" t="n"/>
      <c r="O434" s="8" t="n"/>
    </row>
    <row r="435" ht="15" customHeight="1"/>
    <row r="436" ht="20" customHeight="1">
      <c r="A436" s="79" t="inlineStr">
        <is>
          <t>Design — 2 people</t>
        </is>
      </c>
    </row>
    <row r="437" ht="15" customHeight="1">
      <c r="A437" s="61" t="inlineStr">
        <is>
          <t>IRIS Engineering &amp; Development Vs · Standard: SFIA 9 · software development, programming; OWASP secure coding; cloud vendor certifications · 2 here</t>
        </is>
      </c>
      <c r="B437" s="64" t="n"/>
      <c r="C437" s="64" t="n"/>
      <c r="D437" s="64" t="n"/>
      <c r="E437" s="64" t="n"/>
      <c r="F437" s="64" t="n"/>
      <c r="G437" s="64" t="n"/>
      <c r="H437" s="64" t="n"/>
      <c r="I437" s="64" t="n"/>
      <c r="J437" s="64" t="n"/>
      <c r="K437" s="64" t="n"/>
      <c r="L437" s="64" t="n"/>
      <c r="M437" s="64" t="n"/>
      <c r="N437" s="64" t="n"/>
      <c r="O437" s="63" t="n"/>
    </row>
    <row r="438" ht="15" customHeight="1">
      <c r="A438" s="76" t="inlineStr">
        <is>
          <t>Ladder / company</t>
        </is>
      </c>
      <c r="B438" s="76" t="inlineStr">
        <is>
          <t>A1</t>
        </is>
      </c>
      <c r="C438" s="76" t="inlineStr">
        <is>
          <t>A2</t>
        </is>
      </c>
      <c r="D438" s="76" t="inlineStr">
        <is>
          <t>A3</t>
        </is>
      </c>
      <c r="E438" s="76" t="inlineStr">
        <is>
          <t>B1</t>
        </is>
      </c>
      <c r="F438" s="76" t="inlineStr">
        <is>
          <t>B2</t>
        </is>
      </c>
      <c r="G438" s="76" t="inlineStr">
        <is>
          <t>B3</t>
        </is>
      </c>
      <c r="H438" s="76" t="inlineStr">
        <is>
          <t>B+</t>
        </is>
      </c>
      <c r="I438" s="76" t="inlineStr">
        <is>
          <t>C1</t>
        </is>
      </c>
      <c r="J438" s="76" t="inlineStr">
        <is>
          <t>C2</t>
        </is>
      </c>
      <c r="K438" s="76" t="inlineStr">
        <is>
          <t>C+</t>
        </is>
      </c>
      <c r="L438" s="76" t="inlineStr">
        <is>
          <t>D1</t>
        </is>
      </c>
      <c r="M438" s="76" t="inlineStr">
        <is>
          <t>D2</t>
        </is>
      </c>
      <c r="N438" s="76" t="inlineStr">
        <is>
          <t>E1</t>
        </is>
      </c>
      <c r="O438" s="76" t="inlineStr">
        <is>
          <t>E2</t>
        </is>
      </c>
    </row>
    <row r="439" ht="54" customHeight="1">
      <c r="A439" s="74" t="inlineStr">
        <is>
          <t>IRIS — IC title</t>
        </is>
      </c>
      <c r="B439" s="42" t="inlineStr">
        <is>
          <t>Intern / Trainee</t>
        </is>
      </c>
      <c r="C439" s="42" t="inlineStr">
        <is>
          <t>Associate</t>
        </is>
      </c>
      <c r="D439" s="42" t="inlineStr">
        <is>
          <t>Senior Associate</t>
        </is>
      </c>
      <c r="E439" s="43" t="inlineStr">
        <is>
          <t>Specialist</t>
        </is>
      </c>
      <c r="F439" s="43" t="inlineStr">
        <is>
          <t>Senior Specialist</t>
        </is>
      </c>
      <c r="G439" s="43" t="inlineStr">
        <is>
          <t>Lead Specialist</t>
        </is>
      </c>
      <c r="H439" s="44" t="inlineStr">
        <is>
          <t>Practice Lead · Player-Coach</t>
        </is>
      </c>
      <c r="I439" s="45" t="inlineStr">
        <is>
          <t>Principal</t>
        </is>
      </c>
      <c r="J439" s="45" t="inlineStr">
        <is>
          <t>Senior Principal / Architect</t>
        </is>
      </c>
      <c r="K439" s="46" t="inlineStr">
        <is>
          <t>Group Head · Player-Coach</t>
        </is>
      </c>
      <c r="L439" s="47" t="inlineStr">
        <is>
          <t>Chief Specialist / Distinguished Principal</t>
        </is>
      </c>
      <c r="M439" s="47" t="inlineStr">
        <is>
          <t>—</t>
        </is>
      </c>
      <c r="N439" s="48" t="inlineStr">
        <is>
          <t>—</t>
        </is>
      </c>
      <c r="O439" s="48" t="inlineStr">
        <is>
          <t>—</t>
        </is>
      </c>
    </row>
    <row r="440" ht="54" customHeight="1">
      <c r="A440" s="74" t="inlineStr">
        <is>
          <t>IRIS — Manager title</t>
        </is>
      </c>
      <c r="B440" s="42" t="n"/>
      <c r="C440" s="42" t="n"/>
      <c r="D440" s="42" t="n"/>
      <c r="E440" s="43" t="inlineStr">
        <is>
          <t>Team Lead</t>
        </is>
      </c>
      <c r="F440" s="43" t="inlineStr">
        <is>
          <t>Manager</t>
        </is>
      </c>
      <c r="G440" s="43" t="inlineStr">
        <is>
          <t>Senior Manager</t>
        </is>
      </c>
      <c r="H440" s="44" t="inlineStr">
        <is>
          <t>Practice Lead · Player-Coach</t>
        </is>
      </c>
      <c r="I440" s="45" t="inlineStr">
        <is>
          <t>Associate Head</t>
        </is>
      </c>
      <c r="J440" s="45" t="inlineStr">
        <is>
          <t>Head of Function</t>
        </is>
      </c>
      <c r="K440" s="46" t="inlineStr">
        <is>
          <t>Group Head · Player-Coach</t>
        </is>
      </c>
      <c r="L440" s="47" t="inlineStr">
        <is>
          <t>Associate Vice President / Business Head</t>
        </is>
      </c>
      <c r="M440" s="47" t="inlineStr">
        <is>
          <t>Vice President</t>
        </is>
      </c>
      <c r="N440" s="48" t="inlineStr">
        <is>
          <t>CXO / President</t>
        </is>
      </c>
      <c r="O440" s="48" t="inlineStr">
        <is>
          <t>Chief Executive Officer</t>
        </is>
      </c>
    </row>
    <row r="441" ht="15" customHeight="1">
      <c r="A441" s="74" t="inlineStr">
        <is>
          <t>IRIS — people at level</t>
        </is>
      </c>
      <c r="B441" s="42" t="n"/>
      <c r="C441" s="42" t="n"/>
      <c r="D441" s="42" t="n">
        <v>1</v>
      </c>
      <c r="E441" s="43" t="n">
        <v>1</v>
      </c>
      <c r="F441" s="43" t="n"/>
      <c r="G441" s="43" t="n"/>
      <c r="H441" s="44" t="n"/>
      <c r="I441" s="45" t="n"/>
      <c r="J441" s="45" t="n"/>
      <c r="K441" s="46" t="n"/>
      <c r="L441" s="47" t="n"/>
      <c r="M441" s="47" t="n"/>
      <c r="N441" s="48" t="n"/>
      <c r="O441" s="48" t="n"/>
    </row>
    <row r="442" ht="28" customHeight="1">
      <c r="A442" s="14" t="inlineStr">
        <is>
          <t>Workiva</t>
        </is>
      </c>
      <c r="B442" s="8" t="n"/>
      <c r="C442" s="8" t="inlineStr">
        <is>
          <t>Associate SE</t>
        </is>
      </c>
      <c r="D442" s="8" t="inlineStr">
        <is>
          <t>SE</t>
        </is>
      </c>
      <c r="E442" s="8" t="inlineStr">
        <is>
          <t>SE / Senior SE</t>
        </is>
      </c>
      <c r="F442" s="8" t="inlineStr">
        <is>
          <t>Senior SE</t>
        </is>
      </c>
      <c r="G442" s="8" t="inlineStr">
        <is>
          <t>Staff SE</t>
        </is>
      </c>
      <c r="H442" s="8" t="n"/>
      <c r="I442" s="8" t="n"/>
      <c r="J442" s="8" t="n"/>
      <c r="K442" s="8" t="n"/>
      <c r="L442" s="8" t="n"/>
      <c r="M442" s="8" t="n"/>
      <c r="N442" s="8" t="n"/>
      <c r="O442" s="8" t="n"/>
    </row>
    <row r="443" ht="28" customHeight="1">
      <c r="A443" s="14" t="inlineStr">
        <is>
          <t>Broadridge India</t>
        </is>
      </c>
      <c r="B443" s="8" t="n"/>
      <c r="C443" s="8" t="inlineStr">
        <is>
          <t>SE</t>
        </is>
      </c>
      <c r="D443" s="8" t="inlineStr">
        <is>
          <t>SE</t>
        </is>
      </c>
      <c r="E443" s="8" t="inlineStr">
        <is>
          <t>Senior SE</t>
        </is>
      </c>
      <c r="F443" s="8" t="inlineStr">
        <is>
          <t>Lead SE</t>
        </is>
      </c>
      <c r="G443" s="8" t="inlineStr">
        <is>
          <t>Senior Lead SE</t>
        </is>
      </c>
      <c r="H443" s="8" t="n"/>
      <c r="I443" s="8" t="n"/>
      <c r="J443" s="8" t="n"/>
      <c r="K443" s="8" t="n"/>
      <c r="L443" s="8" t="n"/>
      <c r="M443" s="8" t="n"/>
      <c r="N443" s="8" t="n"/>
      <c r="O443" s="8" t="n"/>
    </row>
    <row r="444" ht="15" customHeight="1">
      <c r="A444" s="14" t="inlineStr">
        <is>
          <t>Nasdaq / AxiomSL</t>
        </is>
      </c>
      <c r="B444" s="8" t="n"/>
      <c r="C444" s="8" t="inlineStr">
        <is>
          <t>SE</t>
        </is>
      </c>
      <c r="D444" s="8" t="inlineStr">
        <is>
          <t>SE</t>
        </is>
      </c>
      <c r="E444" s="8" t="inlineStr">
        <is>
          <t>Senior SE</t>
        </is>
      </c>
      <c r="F444" s="8" t="inlineStr">
        <is>
          <t>Senior SE</t>
        </is>
      </c>
      <c r="G444" s="8" t="inlineStr">
        <is>
          <t>Lead SE</t>
        </is>
      </c>
      <c r="H444" s="8" t="n"/>
      <c r="I444" s="8" t="inlineStr">
        <is>
          <t>Principal SE</t>
        </is>
      </c>
      <c r="J444" s="8" t="n"/>
      <c r="K444" s="8" t="n"/>
      <c r="L444" s="8" t="n"/>
      <c r="M444" s="8" t="n"/>
      <c r="N444" s="8" t="n"/>
      <c r="O444" s="8" t="n"/>
    </row>
    <row r="445" ht="41" customHeight="1">
      <c r="A445" s="14" t="inlineStr">
        <is>
          <t>Salesforce</t>
        </is>
      </c>
      <c r="B445" s="8" t="n"/>
      <c r="C445" s="8" t="inlineStr">
        <is>
          <t>AMTS</t>
        </is>
      </c>
      <c r="D445" s="8" t="inlineStr">
        <is>
          <t>MTS</t>
        </is>
      </c>
      <c r="E445" s="8" t="inlineStr">
        <is>
          <t>MTS</t>
        </is>
      </c>
      <c r="F445" s="8" t="inlineStr">
        <is>
          <t>SMTS</t>
        </is>
      </c>
      <c r="G445" s="8" t="inlineStr">
        <is>
          <t>LMTS</t>
        </is>
      </c>
      <c r="H445" s="8" t="n"/>
      <c r="I445" s="8" t="inlineStr">
        <is>
          <t>PMTS</t>
        </is>
      </c>
      <c r="J445" s="8" t="inlineStr">
        <is>
          <t>Architect / Principal Architect</t>
        </is>
      </c>
      <c r="K445" s="8" t="n"/>
      <c r="L445" s="8" t="inlineStr">
        <is>
          <t>Distinguished Engineer</t>
        </is>
      </c>
      <c r="M445" s="8" t="n"/>
      <c r="N445" s="8" t="n"/>
      <c r="O445" s="8" t="n"/>
    </row>
    <row r="446" ht="28" customHeight="1">
      <c r="A446" s="14" t="inlineStr">
        <is>
          <t>Atlassian</t>
        </is>
      </c>
      <c r="B446" s="8" t="n"/>
      <c r="C446" s="8" t="inlineStr">
        <is>
          <t>P30 Junior · 0–2 yrs</t>
        </is>
      </c>
      <c r="D446" s="8" t="inlineStr">
        <is>
          <t>P40 · 3–7 yrs</t>
        </is>
      </c>
      <c r="E446" s="8" t="inlineStr">
        <is>
          <t>P40</t>
        </is>
      </c>
      <c r="F446" s="8" t="inlineStr">
        <is>
          <t>P50 Senior · 6–12 yrs</t>
        </is>
      </c>
      <c r="G446" s="8" t="inlineStr">
        <is>
          <t>P50 Senior</t>
        </is>
      </c>
      <c r="H446" s="8" t="n"/>
      <c r="I446" s="8" t="inlineStr">
        <is>
          <t>P60 Principal · 10+ yrs</t>
        </is>
      </c>
      <c r="J446" s="8" t="inlineStr">
        <is>
          <t>P70</t>
        </is>
      </c>
      <c r="K446" s="8" t="n"/>
      <c r="L446" s="8" t="n"/>
      <c r="M446" s="8" t="n"/>
      <c r="N446" s="8" t="n"/>
      <c r="O446" s="8" t="n"/>
    </row>
    <row r="447" ht="28" customHeight="1">
      <c r="A447" s="14" t="inlineStr">
        <is>
          <t>Freshworks</t>
        </is>
      </c>
      <c r="B447" s="8" t="n"/>
      <c r="C447" s="8" t="inlineStr">
        <is>
          <t>SE</t>
        </is>
      </c>
      <c r="D447" s="8" t="inlineStr">
        <is>
          <t>Senior SE</t>
        </is>
      </c>
      <c r="E447" s="8" t="inlineStr">
        <is>
          <t>Senior SE</t>
        </is>
      </c>
      <c r="F447" s="8" t="inlineStr">
        <is>
          <t>Lead SE</t>
        </is>
      </c>
      <c r="G447" s="8" t="inlineStr">
        <is>
          <t>Staff SE</t>
        </is>
      </c>
      <c r="H447" s="8" t="n"/>
      <c r="I447" s="8" t="inlineStr">
        <is>
          <t>Senior Staff SE</t>
        </is>
      </c>
      <c r="J447" s="8" t="inlineStr">
        <is>
          <t>Principal Engineer</t>
        </is>
      </c>
      <c r="K447" s="8" t="n"/>
      <c r="L447" s="8" t="n"/>
      <c r="M447" s="8" t="n"/>
      <c r="N447" s="8" t="n"/>
      <c r="O447" s="8" t="n"/>
    </row>
    <row r="448" ht="28" customHeight="1">
      <c r="A448" s="14" t="inlineStr">
        <is>
          <t>Clear · C14; unverified</t>
        </is>
      </c>
      <c r="B448" s="8" t="n"/>
      <c r="C448" s="8" t="inlineStr">
        <is>
          <t>SDE1</t>
        </is>
      </c>
      <c r="D448" s="8" t="inlineStr">
        <is>
          <t>SDE2</t>
        </is>
      </c>
      <c r="E448" s="8" t="inlineStr">
        <is>
          <t>SDE2</t>
        </is>
      </c>
      <c r="F448" s="8" t="inlineStr">
        <is>
          <t>SDE3 / Senior</t>
        </is>
      </c>
      <c r="G448" s="8" t="inlineStr">
        <is>
          <t>Staff</t>
        </is>
      </c>
      <c r="H448" s="8" t="n"/>
      <c r="I448" s="8" t="n"/>
      <c r="J448" s="8" t="n"/>
      <c r="K448" s="8" t="n"/>
      <c r="L448" s="8" t="n"/>
      <c r="M448" s="8" t="n"/>
      <c r="N448" s="8" t="n"/>
      <c r="O448" s="8" t="n"/>
    </row>
    <row r="449" ht="28" customHeight="1">
      <c r="A449" s="14" t="inlineStr">
        <is>
          <t>Google Tech Lead Manager</t>
        </is>
      </c>
      <c r="B449" s="8" t="n"/>
      <c r="C449" s="8" t="n"/>
      <c r="D449" s="8" t="n"/>
      <c r="E449" s="8" t="n"/>
      <c r="F449" s="8" t="n"/>
      <c r="G449" s="8" t="n"/>
      <c r="H449" s="8" t="inlineStr">
        <is>
          <t>Tech Lead Manager · TLM</t>
        </is>
      </c>
      <c r="I449" s="8" t="n"/>
      <c r="J449" s="8" t="n"/>
      <c r="K449" s="8" t="inlineStr">
        <is>
          <t>Senior TLM / Director</t>
        </is>
      </c>
      <c r="L449" s="8" t="n"/>
      <c r="M449" s="8" t="n"/>
      <c r="N449" s="8" t="n"/>
      <c r="O449" s="8" t="n"/>
    </row>
    <row r="450" ht="54" customHeight="1">
      <c r="A450" s="14" t="inlineStr">
        <is>
          <t>IRIS Vs Competitor Benchmark — engineering managers · informed by Freshworks, GitLab; C12, C20</t>
        </is>
      </c>
      <c r="B450" s="8" t="n"/>
      <c r="C450" s="8" t="n"/>
      <c r="D450" s="8" t="n"/>
      <c r="E450" s="8" t="n"/>
      <c r="F450" s="8" t="inlineStr">
        <is>
          <t>Engineering Manager</t>
        </is>
      </c>
      <c r="G450" s="8" t="inlineStr">
        <is>
          <t>Senior EM</t>
        </is>
      </c>
      <c r="H450" s="8" t="n"/>
      <c r="I450" s="8" t="inlineStr">
        <is>
          <t>Senior EM / Director</t>
        </is>
      </c>
      <c r="J450" s="8" t="inlineStr">
        <is>
          <t>Director Engineering</t>
        </is>
      </c>
      <c r="K450" s="8" t="n"/>
      <c r="L450" s="8" t="inlineStr">
        <is>
          <t>Senior Director</t>
        </is>
      </c>
      <c r="M450" s="8" t="inlineStr">
        <is>
          <t>VP Engineering</t>
        </is>
      </c>
      <c r="N450" s="8" t="inlineStr">
        <is>
          <t>CTO</t>
        </is>
      </c>
      <c r="O450" s="8" t="n"/>
    </row>
    <row r="451" ht="15" customHeight="1"/>
    <row r="452" ht="20" customHeight="1">
      <c r="A452" s="79" t="inlineStr">
        <is>
          <t>Not provided · HRIS — 2 people</t>
        </is>
      </c>
    </row>
    <row r="453" ht="15" customHeight="1">
      <c r="A453" s="61" t="inlineStr">
        <is>
          <t>IRIS Unassigned Vs · Standard: — · 2 here</t>
        </is>
      </c>
      <c r="B453" s="64" t="n"/>
      <c r="C453" s="64" t="n"/>
      <c r="D453" s="64" t="n"/>
      <c r="E453" s="64" t="n"/>
      <c r="F453" s="64" t="n"/>
      <c r="G453" s="64" t="n"/>
      <c r="H453" s="64" t="n"/>
      <c r="I453" s="64" t="n"/>
      <c r="J453" s="64" t="n"/>
      <c r="K453" s="64" t="n"/>
      <c r="L453" s="64" t="n"/>
      <c r="M453" s="64" t="n"/>
      <c r="N453" s="64" t="n"/>
      <c r="O453" s="63" t="n"/>
    </row>
    <row r="454" ht="15" customHeight="1">
      <c r="A454" s="76" t="inlineStr">
        <is>
          <t>Ladder / company</t>
        </is>
      </c>
      <c r="B454" s="76" t="inlineStr">
        <is>
          <t>A1</t>
        </is>
      </c>
      <c r="C454" s="76" t="inlineStr">
        <is>
          <t>A2</t>
        </is>
      </c>
      <c r="D454" s="76" t="inlineStr">
        <is>
          <t>A3</t>
        </is>
      </c>
      <c r="E454" s="76" t="inlineStr">
        <is>
          <t>B1</t>
        </is>
      </c>
      <c r="F454" s="76" t="inlineStr">
        <is>
          <t>B2</t>
        </is>
      </c>
      <c r="G454" s="76" t="inlineStr">
        <is>
          <t>B3</t>
        </is>
      </c>
      <c r="H454" s="76" t="inlineStr">
        <is>
          <t>B+</t>
        </is>
      </c>
      <c r="I454" s="76" t="inlineStr">
        <is>
          <t>C1</t>
        </is>
      </c>
      <c r="J454" s="76" t="inlineStr">
        <is>
          <t>C2</t>
        </is>
      </c>
      <c r="K454" s="76" t="inlineStr">
        <is>
          <t>C+</t>
        </is>
      </c>
      <c r="L454" s="76" t="inlineStr">
        <is>
          <t>D1</t>
        </is>
      </c>
      <c r="M454" s="76" t="inlineStr">
        <is>
          <t>D2</t>
        </is>
      </c>
      <c r="N454" s="76" t="inlineStr">
        <is>
          <t>E1</t>
        </is>
      </c>
      <c r="O454" s="76" t="inlineStr">
        <is>
          <t>E2</t>
        </is>
      </c>
    </row>
    <row r="455" ht="54" customHeight="1">
      <c r="A455" s="74" t="inlineStr">
        <is>
          <t>IRIS — IC title</t>
        </is>
      </c>
      <c r="B455" s="42" t="inlineStr">
        <is>
          <t>Intern / Trainee</t>
        </is>
      </c>
      <c r="C455" s="42" t="inlineStr">
        <is>
          <t>Associate</t>
        </is>
      </c>
      <c r="D455" s="42" t="inlineStr">
        <is>
          <t>Senior Associate</t>
        </is>
      </c>
      <c r="E455" s="43" t="inlineStr">
        <is>
          <t>Specialist</t>
        </is>
      </c>
      <c r="F455" s="43" t="inlineStr">
        <is>
          <t>Senior Specialist</t>
        </is>
      </c>
      <c r="G455" s="43" t="inlineStr">
        <is>
          <t>Lead Specialist</t>
        </is>
      </c>
      <c r="H455" s="44" t="inlineStr">
        <is>
          <t>Practice Lead · Player-Coach</t>
        </is>
      </c>
      <c r="I455" s="45" t="inlineStr">
        <is>
          <t>Principal</t>
        </is>
      </c>
      <c r="J455" s="45" t="inlineStr">
        <is>
          <t>Senior Principal / Architect</t>
        </is>
      </c>
      <c r="K455" s="46" t="inlineStr">
        <is>
          <t>Group Head · Player-Coach</t>
        </is>
      </c>
      <c r="L455" s="47" t="inlineStr">
        <is>
          <t>Chief Specialist / Distinguished Principal</t>
        </is>
      </c>
      <c r="M455" s="47" t="inlineStr">
        <is>
          <t>—</t>
        </is>
      </c>
      <c r="N455" s="48" t="inlineStr">
        <is>
          <t>—</t>
        </is>
      </c>
      <c r="O455" s="48" t="inlineStr">
        <is>
          <t>—</t>
        </is>
      </c>
    </row>
    <row r="456" ht="54" customHeight="1">
      <c r="A456" s="74" t="inlineStr">
        <is>
          <t>IRIS — Manager title</t>
        </is>
      </c>
      <c r="B456" s="42" t="n"/>
      <c r="C456" s="42" t="n"/>
      <c r="D456" s="42" t="n"/>
      <c r="E456" s="43" t="inlineStr">
        <is>
          <t>Team Lead</t>
        </is>
      </c>
      <c r="F456" s="43" t="inlineStr">
        <is>
          <t>Manager</t>
        </is>
      </c>
      <c r="G456" s="43" t="inlineStr">
        <is>
          <t>Senior Manager</t>
        </is>
      </c>
      <c r="H456" s="44" t="inlineStr">
        <is>
          <t>Practice Lead · Player-Coach</t>
        </is>
      </c>
      <c r="I456" s="45" t="inlineStr">
        <is>
          <t>Associate Head</t>
        </is>
      </c>
      <c r="J456" s="45" t="inlineStr">
        <is>
          <t>Head of Function</t>
        </is>
      </c>
      <c r="K456" s="46" t="inlineStr">
        <is>
          <t>Group Head · Player-Coach</t>
        </is>
      </c>
      <c r="L456" s="47" t="inlineStr">
        <is>
          <t>Associate Vice President / Business Head</t>
        </is>
      </c>
      <c r="M456" s="47" t="inlineStr">
        <is>
          <t>Vice President</t>
        </is>
      </c>
      <c r="N456" s="48" t="inlineStr">
        <is>
          <t>CXO / President</t>
        </is>
      </c>
      <c r="O456" s="48" t="inlineStr">
        <is>
          <t>Chief Executive Officer</t>
        </is>
      </c>
    </row>
    <row r="457" ht="15" customHeight="1">
      <c r="A457" s="74" t="inlineStr">
        <is>
          <t>IRIS — people at level</t>
        </is>
      </c>
      <c r="B457" s="42" t="n"/>
      <c r="C457" s="42" t="n"/>
      <c r="D457" s="42" t="n"/>
      <c r="E457" s="43" t="n"/>
      <c r="F457" s="43" t="n"/>
      <c r="G457" s="43" t="n"/>
      <c r="H457" s="44" t="n"/>
      <c r="I457" s="45" t="n"/>
      <c r="J457" s="45" t="n"/>
      <c r="K457" s="46" t="n"/>
      <c r="L457" s="47" t="n"/>
      <c r="M457" s="47" t="n"/>
      <c r="N457" s="48" t="n"/>
      <c r="O457" s="48" t="n"/>
    </row>
    <row r="458" ht="15" customHeight="1"/>
    <row r="459" ht="20" customHeight="1">
      <c r="A459" s="79" t="inlineStr">
        <is>
          <t>Management — 2 people</t>
        </is>
      </c>
    </row>
    <row r="460" ht="15" customHeight="1">
      <c r="A460" s="61" t="inlineStr">
        <is>
          <t>IRIS Executive Leadership Vs · Standard: Aon Radford executive levels E1–E6; Mercer ET1–ET3; Korn Ferry Leadership Architect · 2 here</t>
        </is>
      </c>
      <c r="B460" s="64" t="n"/>
      <c r="C460" s="64" t="n"/>
      <c r="D460" s="64" t="n"/>
      <c r="E460" s="64" t="n"/>
      <c r="F460" s="64" t="n"/>
      <c r="G460" s="64" t="n"/>
      <c r="H460" s="64" t="n"/>
      <c r="I460" s="64" t="n"/>
      <c r="J460" s="64" t="n"/>
      <c r="K460" s="64" t="n"/>
      <c r="L460" s="64" t="n"/>
      <c r="M460" s="64" t="n"/>
      <c r="N460" s="64" t="n"/>
      <c r="O460" s="63" t="n"/>
    </row>
    <row r="461" ht="15" customHeight="1">
      <c r="A461" s="76" t="inlineStr">
        <is>
          <t>Ladder / company</t>
        </is>
      </c>
      <c r="B461" s="76" t="inlineStr">
        <is>
          <t>A1</t>
        </is>
      </c>
      <c r="C461" s="76" t="inlineStr">
        <is>
          <t>A2</t>
        </is>
      </c>
      <c r="D461" s="76" t="inlineStr">
        <is>
          <t>A3</t>
        </is>
      </c>
      <c r="E461" s="76" t="inlineStr">
        <is>
          <t>B1</t>
        </is>
      </c>
      <c r="F461" s="76" t="inlineStr">
        <is>
          <t>B2</t>
        </is>
      </c>
      <c r="G461" s="76" t="inlineStr">
        <is>
          <t>B3</t>
        </is>
      </c>
      <c r="H461" s="76" t="inlineStr">
        <is>
          <t>B+</t>
        </is>
      </c>
      <c r="I461" s="76" t="inlineStr">
        <is>
          <t>C1</t>
        </is>
      </c>
      <c r="J461" s="76" t="inlineStr">
        <is>
          <t>C2</t>
        </is>
      </c>
      <c r="K461" s="76" t="inlineStr">
        <is>
          <t>C+</t>
        </is>
      </c>
      <c r="L461" s="76" t="inlineStr">
        <is>
          <t>D1</t>
        </is>
      </c>
      <c r="M461" s="76" t="inlineStr">
        <is>
          <t>D2</t>
        </is>
      </c>
      <c r="N461" s="76" t="inlineStr">
        <is>
          <t>E1</t>
        </is>
      </c>
      <c r="O461" s="76" t="inlineStr">
        <is>
          <t>E2</t>
        </is>
      </c>
    </row>
    <row r="462" ht="41" customHeight="1">
      <c r="A462" s="74" t="inlineStr">
        <is>
          <t>IRIS — IC title</t>
        </is>
      </c>
      <c r="B462" s="42" t="inlineStr">
        <is>
          <t>Intern / Trainee</t>
        </is>
      </c>
      <c r="C462" s="42" t="inlineStr">
        <is>
          <t>Associate</t>
        </is>
      </c>
      <c r="D462" s="42" t="inlineStr">
        <is>
          <t>Senior Associate</t>
        </is>
      </c>
      <c r="E462" s="43" t="inlineStr">
        <is>
          <t>Specialist</t>
        </is>
      </c>
      <c r="F462" s="43" t="inlineStr">
        <is>
          <t>Senior Specialist</t>
        </is>
      </c>
      <c r="G462" s="43" t="inlineStr">
        <is>
          <t>Lead Specialist</t>
        </is>
      </c>
      <c r="H462" s="44" t="inlineStr">
        <is>
          <t>Practice Lead · Player-Coach</t>
        </is>
      </c>
      <c r="I462" s="45" t="inlineStr">
        <is>
          <t>Principal</t>
        </is>
      </c>
      <c r="J462" s="45" t="inlineStr">
        <is>
          <t>Senior Principal / Architect</t>
        </is>
      </c>
      <c r="K462" s="46" t="inlineStr">
        <is>
          <t>Group Head · Player-Coach</t>
        </is>
      </c>
      <c r="L462" s="47" t="inlineStr">
        <is>
          <t>—</t>
        </is>
      </c>
      <c r="M462" s="47" t="inlineStr">
        <is>
          <t>—</t>
        </is>
      </c>
      <c r="N462" s="48" t="inlineStr">
        <is>
          <t>—</t>
        </is>
      </c>
      <c r="O462" s="48" t="inlineStr">
        <is>
          <t>—</t>
        </is>
      </c>
    </row>
    <row r="463" ht="41" customHeight="1">
      <c r="A463" s="74" t="inlineStr">
        <is>
          <t>IRIS — Manager title</t>
        </is>
      </c>
      <c r="B463" s="42" t="n"/>
      <c r="C463" s="42" t="n"/>
      <c r="D463" s="42" t="n"/>
      <c r="E463" s="43" t="inlineStr">
        <is>
          <t>Team Lead</t>
        </is>
      </c>
      <c r="F463" s="43" t="inlineStr">
        <is>
          <t>Manager</t>
        </is>
      </c>
      <c r="G463" s="43" t="inlineStr">
        <is>
          <t>Senior Manager</t>
        </is>
      </c>
      <c r="H463" s="44" t="inlineStr">
        <is>
          <t>Practice Lead · Player-Coach</t>
        </is>
      </c>
      <c r="I463" s="45" t="inlineStr">
        <is>
          <t>Associate Head</t>
        </is>
      </c>
      <c r="J463" s="45" t="inlineStr">
        <is>
          <t>Head of Function</t>
        </is>
      </c>
      <c r="K463" s="46" t="inlineStr">
        <is>
          <t>Group Head · Player-Coach</t>
        </is>
      </c>
      <c r="L463" s="47" t="inlineStr">
        <is>
          <t>Business Head</t>
        </is>
      </c>
      <c r="M463" s="47" t="inlineStr">
        <is>
          <t>Vice President</t>
        </is>
      </c>
      <c r="N463" s="48" t="inlineStr">
        <is>
          <t>CXO / President</t>
        </is>
      </c>
      <c r="O463" s="48" t="inlineStr">
        <is>
          <t>Chief Executive Officer</t>
        </is>
      </c>
    </row>
    <row r="464" ht="15" customHeight="1">
      <c r="A464" s="74" t="inlineStr">
        <is>
          <t>IRIS — people at level</t>
        </is>
      </c>
      <c r="B464" s="42" t="n"/>
      <c r="C464" s="42" t="n"/>
      <c r="D464" s="42" t="n"/>
      <c r="E464" s="43" t="n"/>
      <c r="F464" s="43" t="n"/>
      <c r="G464" s="43" t="n"/>
      <c r="H464" s="44" t="n"/>
      <c r="I464" s="45" t="n"/>
      <c r="J464" s="45" t="n"/>
      <c r="K464" s="46" t="n"/>
      <c r="L464" s="47" t="n"/>
      <c r="M464" s="47" t="n"/>
      <c r="N464" s="48" t="n">
        <v>1</v>
      </c>
      <c r="O464" s="48" t="n">
        <v>1</v>
      </c>
    </row>
    <row r="465" ht="41" customHeight="1">
      <c r="A465" s="14" t="inlineStr">
        <is>
          <t>IRIS Vs Market Benchmark — Aon Radford / Mercer executive codes</t>
        </is>
      </c>
      <c r="B465" s="8" t="n"/>
      <c r="C465" s="8" t="n"/>
      <c r="D465" s="8" t="n"/>
      <c r="E465" s="8" t="n"/>
      <c r="F465" s="8" t="n"/>
      <c r="G465" s="8" t="n"/>
      <c r="H465" s="8" t="n"/>
      <c r="I465" s="8" t="n"/>
      <c r="J465" s="8" t="n"/>
      <c r="K465" s="8" t="n"/>
      <c r="L465" s="8" t="inlineStr">
        <is>
          <t>E1–E2 VP / Business Head</t>
        </is>
      </c>
      <c r="M465" s="8" t="inlineStr">
        <is>
          <t>E3–E4 SVP</t>
        </is>
      </c>
      <c r="N465" s="8" t="inlineStr">
        <is>
          <t>E5 C-level · functional</t>
        </is>
      </c>
      <c r="O465" s="8" t="inlineStr">
        <is>
          <t>E6 CEO</t>
        </is>
      </c>
    </row>
    <row r="466" ht="41" customHeight="1">
      <c r="A466" s="14" t="inlineStr">
        <is>
          <t>IRIS Vs Competitor Benchmark — regtech / SaaS executive titles</t>
        </is>
      </c>
      <c r="B466" s="8" t="n"/>
      <c r="C466" s="8" t="n"/>
      <c r="D466" s="8" t="n"/>
      <c r="E466" s="8" t="n"/>
      <c r="F466" s="8" t="n"/>
      <c r="G466" s="8" t="n"/>
      <c r="H466" s="8" t="n"/>
      <c r="I466" s="8" t="n"/>
      <c r="J466" s="8" t="n"/>
      <c r="K466" s="8" t="n"/>
      <c r="L466" s="8" t="inlineStr">
        <is>
          <t>General Manager / VP</t>
        </is>
      </c>
      <c r="M466" s="8" t="inlineStr">
        <is>
          <t>SVP</t>
        </is>
      </c>
      <c r="N466" s="8" t="inlineStr">
        <is>
          <t>CTO · CFO · CRO · CCO · COO</t>
        </is>
      </c>
      <c r="O466" s="8" t="inlineStr">
        <is>
          <t>CEO</t>
        </is>
      </c>
    </row>
    <row r="467" ht="15" customHeight="1"/>
    <row r="468" ht="20" customHeight="1">
      <c r="A468" s="79" t="inlineStr">
        <is>
          <t>CARBON Business Head — 1 person</t>
        </is>
      </c>
    </row>
    <row r="469" ht="15" customHeight="1">
      <c r="A469" s="61" t="inlineStr">
        <is>
          <t>IRIS Executive Leadership Vs · Standard: Aon Radford executive levels E1–E6; Mercer ET1–ET3; Korn Ferry Leadership Architect · 1 here</t>
        </is>
      </c>
      <c r="B469" s="64" t="n"/>
      <c r="C469" s="64" t="n"/>
      <c r="D469" s="64" t="n"/>
      <c r="E469" s="64" t="n"/>
      <c r="F469" s="64" t="n"/>
      <c r="G469" s="64" t="n"/>
      <c r="H469" s="64" t="n"/>
      <c r="I469" s="64" t="n"/>
      <c r="J469" s="64" t="n"/>
      <c r="K469" s="64" t="n"/>
      <c r="L469" s="64" t="n"/>
      <c r="M469" s="64" t="n"/>
      <c r="N469" s="64" t="n"/>
      <c r="O469" s="63" t="n"/>
    </row>
    <row r="470" ht="15" customHeight="1">
      <c r="A470" s="76" t="inlineStr">
        <is>
          <t>Ladder / company</t>
        </is>
      </c>
      <c r="B470" s="76" t="inlineStr">
        <is>
          <t>A1</t>
        </is>
      </c>
      <c r="C470" s="76" t="inlineStr">
        <is>
          <t>A2</t>
        </is>
      </c>
      <c r="D470" s="76" t="inlineStr">
        <is>
          <t>A3</t>
        </is>
      </c>
      <c r="E470" s="76" t="inlineStr">
        <is>
          <t>B1</t>
        </is>
      </c>
      <c r="F470" s="76" t="inlineStr">
        <is>
          <t>B2</t>
        </is>
      </c>
      <c r="G470" s="76" t="inlineStr">
        <is>
          <t>B3</t>
        </is>
      </c>
      <c r="H470" s="76" t="inlineStr">
        <is>
          <t>B+</t>
        </is>
      </c>
      <c r="I470" s="76" t="inlineStr">
        <is>
          <t>C1</t>
        </is>
      </c>
      <c r="J470" s="76" t="inlineStr">
        <is>
          <t>C2</t>
        </is>
      </c>
      <c r="K470" s="76" t="inlineStr">
        <is>
          <t>C+</t>
        </is>
      </c>
      <c r="L470" s="76" t="inlineStr">
        <is>
          <t>D1</t>
        </is>
      </c>
      <c r="M470" s="76" t="inlineStr">
        <is>
          <t>D2</t>
        </is>
      </c>
      <c r="N470" s="76" t="inlineStr">
        <is>
          <t>E1</t>
        </is>
      </c>
      <c r="O470" s="76" t="inlineStr">
        <is>
          <t>E2</t>
        </is>
      </c>
    </row>
    <row r="471" ht="41" customHeight="1">
      <c r="A471" s="74" t="inlineStr">
        <is>
          <t>IRIS — IC title</t>
        </is>
      </c>
      <c r="B471" s="42" t="inlineStr">
        <is>
          <t>Intern / Trainee</t>
        </is>
      </c>
      <c r="C471" s="42" t="inlineStr">
        <is>
          <t>Associate</t>
        </is>
      </c>
      <c r="D471" s="42" t="inlineStr">
        <is>
          <t>Senior Associate</t>
        </is>
      </c>
      <c r="E471" s="43" t="inlineStr">
        <is>
          <t>Specialist</t>
        </is>
      </c>
      <c r="F471" s="43" t="inlineStr">
        <is>
          <t>Senior Specialist</t>
        </is>
      </c>
      <c r="G471" s="43" t="inlineStr">
        <is>
          <t>Lead Specialist</t>
        </is>
      </c>
      <c r="H471" s="44" t="inlineStr">
        <is>
          <t>Practice Lead · Player-Coach</t>
        </is>
      </c>
      <c r="I471" s="45" t="inlineStr">
        <is>
          <t>Principal</t>
        </is>
      </c>
      <c r="J471" s="45" t="inlineStr">
        <is>
          <t>Senior Principal / Architect</t>
        </is>
      </c>
      <c r="K471" s="46" t="inlineStr">
        <is>
          <t>Group Head · Player-Coach</t>
        </is>
      </c>
      <c r="L471" s="47" t="inlineStr">
        <is>
          <t>—</t>
        </is>
      </c>
      <c r="M471" s="47" t="inlineStr">
        <is>
          <t>—</t>
        </is>
      </c>
      <c r="N471" s="48" t="inlineStr">
        <is>
          <t>—</t>
        </is>
      </c>
      <c r="O471" s="48" t="inlineStr">
        <is>
          <t>—</t>
        </is>
      </c>
    </row>
    <row r="472" ht="41" customHeight="1">
      <c r="A472" s="74" t="inlineStr">
        <is>
          <t>IRIS — Manager title</t>
        </is>
      </c>
      <c r="B472" s="42" t="n"/>
      <c r="C472" s="42" t="n"/>
      <c r="D472" s="42" t="n"/>
      <c r="E472" s="43" t="inlineStr">
        <is>
          <t>Team Lead</t>
        </is>
      </c>
      <c r="F472" s="43" t="inlineStr">
        <is>
          <t>Manager</t>
        </is>
      </c>
      <c r="G472" s="43" t="inlineStr">
        <is>
          <t>Senior Manager</t>
        </is>
      </c>
      <c r="H472" s="44" t="inlineStr">
        <is>
          <t>Practice Lead · Player-Coach</t>
        </is>
      </c>
      <c r="I472" s="45" t="inlineStr">
        <is>
          <t>Associate Head</t>
        </is>
      </c>
      <c r="J472" s="45" t="inlineStr">
        <is>
          <t>Head of Function</t>
        </is>
      </c>
      <c r="K472" s="46" t="inlineStr">
        <is>
          <t>Group Head · Player-Coach</t>
        </is>
      </c>
      <c r="L472" s="47" t="inlineStr">
        <is>
          <t>Business Head</t>
        </is>
      </c>
      <c r="M472" s="47" t="inlineStr">
        <is>
          <t>Vice President</t>
        </is>
      </c>
      <c r="N472" s="48" t="inlineStr">
        <is>
          <t>CXO / President</t>
        </is>
      </c>
      <c r="O472" s="48" t="inlineStr">
        <is>
          <t>Chief Executive Officer</t>
        </is>
      </c>
    </row>
    <row r="473" ht="15" customHeight="1">
      <c r="A473" s="74" t="inlineStr">
        <is>
          <t>IRIS — people at level</t>
        </is>
      </c>
      <c r="B473" s="42" t="n"/>
      <c r="C473" s="42" t="n"/>
      <c r="D473" s="42" t="n"/>
      <c r="E473" s="43" t="n"/>
      <c r="F473" s="43" t="n"/>
      <c r="G473" s="43" t="n"/>
      <c r="H473" s="44" t="n"/>
      <c r="I473" s="45" t="n"/>
      <c r="J473" s="45" t="n"/>
      <c r="K473" s="46" t="n"/>
      <c r="L473" s="47" t="n"/>
      <c r="M473" s="47" t="n">
        <v>1</v>
      </c>
      <c r="N473" s="48" t="n"/>
      <c r="O473" s="48" t="n"/>
    </row>
    <row r="474" ht="41" customHeight="1">
      <c r="A474" s="14" t="inlineStr">
        <is>
          <t>IRIS Vs Market Benchmark — Aon Radford / Mercer executive codes</t>
        </is>
      </c>
      <c r="B474" s="8" t="n"/>
      <c r="C474" s="8" t="n"/>
      <c r="D474" s="8" t="n"/>
      <c r="E474" s="8" t="n"/>
      <c r="F474" s="8" t="n"/>
      <c r="G474" s="8" t="n"/>
      <c r="H474" s="8" t="n"/>
      <c r="I474" s="8" t="n"/>
      <c r="J474" s="8" t="n"/>
      <c r="K474" s="8" t="n"/>
      <c r="L474" s="8" t="inlineStr">
        <is>
          <t>E1–E2 VP / Business Head</t>
        </is>
      </c>
      <c r="M474" s="8" t="inlineStr">
        <is>
          <t>E3–E4 SVP</t>
        </is>
      </c>
      <c r="N474" s="8" t="inlineStr">
        <is>
          <t>E5 C-level · functional</t>
        </is>
      </c>
      <c r="O474" s="8" t="inlineStr">
        <is>
          <t>E6 CEO</t>
        </is>
      </c>
    </row>
    <row r="475" ht="41" customHeight="1">
      <c r="A475" s="14" t="inlineStr">
        <is>
          <t>IRIS Vs Competitor Benchmark — regtech / SaaS executive titles</t>
        </is>
      </c>
      <c r="B475" s="8" t="n"/>
      <c r="C475" s="8" t="n"/>
      <c r="D475" s="8" t="n"/>
      <c r="E475" s="8" t="n"/>
      <c r="F475" s="8" t="n"/>
      <c r="G475" s="8" t="n"/>
      <c r="H475" s="8" t="n"/>
      <c r="I475" s="8" t="n"/>
      <c r="J475" s="8" t="n"/>
      <c r="K475" s="8" t="n"/>
      <c r="L475" s="8" t="inlineStr">
        <is>
          <t>General Manager / VP</t>
        </is>
      </c>
      <c r="M475" s="8" t="inlineStr">
        <is>
          <t>SVP</t>
        </is>
      </c>
      <c r="N475" s="8" t="inlineStr">
        <is>
          <t>CTO · CFO · CRO · CCO · COO</t>
        </is>
      </c>
      <c r="O475" s="8" t="inlineStr">
        <is>
          <t>CEO</t>
        </is>
      </c>
    </row>
    <row r="476" ht="15" customHeight="1"/>
    <row r="477" ht="20" customHeight="1">
      <c r="A477" s="79" t="inlineStr">
        <is>
          <t>CRO - Carbon — 1 person</t>
        </is>
      </c>
    </row>
    <row r="478" ht="15" customHeight="1">
      <c r="A478" s="61" t="inlineStr">
        <is>
          <t>IRIS Executive Leadership Vs · Standard: Aon Radford executive levels E1–E6; Mercer ET1–ET3; Korn Ferry Leadership Architect · 1 here</t>
        </is>
      </c>
      <c r="B478" s="64" t="n"/>
      <c r="C478" s="64" t="n"/>
      <c r="D478" s="64" t="n"/>
      <c r="E478" s="64" t="n"/>
      <c r="F478" s="64" t="n"/>
      <c r="G478" s="64" t="n"/>
      <c r="H478" s="64" t="n"/>
      <c r="I478" s="64" t="n"/>
      <c r="J478" s="64" t="n"/>
      <c r="K478" s="64" t="n"/>
      <c r="L478" s="64" t="n"/>
      <c r="M478" s="64" t="n"/>
      <c r="N478" s="64" t="n"/>
      <c r="O478" s="63" t="n"/>
    </row>
    <row r="479" ht="15" customHeight="1">
      <c r="A479" s="76" t="inlineStr">
        <is>
          <t>Ladder / company</t>
        </is>
      </c>
      <c r="B479" s="76" t="inlineStr">
        <is>
          <t>A1</t>
        </is>
      </c>
      <c r="C479" s="76" t="inlineStr">
        <is>
          <t>A2</t>
        </is>
      </c>
      <c r="D479" s="76" t="inlineStr">
        <is>
          <t>A3</t>
        </is>
      </c>
      <c r="E479" s="76" t="inlineStr">
        <is>
          <t>B1</t>
        </is>
      </c>
      <c r="F479" s="76" t="inlineStr">
        <is>
          <t>B2</t>
        </is>
      </c>
      <c r="G479" s="76" t="inlineStr">
        <is>
          <t>B3</t>
        </is>
      </c>
      <c r="H479" s="76" t="inlineStr">
        <is>
          <t>B+</t>
        </is>
      </c>
      <c r="I479" s="76" t="inlineStr">
        <is>
          <t>C1</t>
        </is>
      </c>
      <c r="J479" s="76" t="inlineStr">
        <is>
          <t>C2</t>
        </is>
      </c>
      <c r="K479" s="76" t="inlineStr">
        <is>
          <t>C+</t>
        </is>
      </c>
      <c r="L479" s="76" t="inlineStr">
        <is>
          <t>D1</t>
        </is>
      </c>
      <c r="M479" s="76" t="inlineStr">
        <is>
          <t>D2</t>
        </is>
      </c>
      <c r="N479" s="76" t="inlineStr">
        <is>
          <t>E1</t>
        </is>
      </c>
      <c r="O479" s="76" t="inlineStr">
        <is>
          <t>E2</t>
        </is>
      </c>
    </row>
    <row r="480" ht="41" customHeight="1">
      <c r="A480" s="74" t="inlineStr">
        <is>
          <t>IRIS — IC title</t>
        </is>
      </c>
      <c r="B480" s="42" t="inlineStr">
        <is>
          <t>Intern / Trainee</t>
        </is>
      </c>
      <c r="C480" s="42" t="inlineStr">
        <is>
          <t>Associate</t>
        </is>
      </c>
      <c r="D480" s="42" t="inlineStr">
        <is>
          <t>Senior Associate</t>
        </is>
      </c>
      <c r="E480" s="43" t="inlineStr">
        <is>
          <t>Specialist</t>
        </is>
      </c>
      <c r="F480" s="43" t="inlineStr">
        <is>
          <t>Senior Specialist</t>
        </is>
      </c>
      <c r="G480" s="43" t="inlineStr">
        <is>
          <t>Lead Specialist</t>
        </is>
      </c>
      <c r="H480" s="44" t="inlineStr">
        <is>
          <t>Practice Lead · Player-Coach</t>
        </is>
      </c>
      <c r="I480" s="45" t="inlineStr">
        <is>
          <t>Principal</t>
        </is>
      </c>
      <c r="J480" s="45" t="inlineStr">
        <is>
          <t>Senior Principal / Architect</t>
        </is>
      </c>
      <c r="K480" s="46" t="inlineStr">
        <is>
          <t>Group Head · Player-Coach</t>
        </is>
      </c>
      <c r="L480" s="47" t="inlineStr">
        <is>
          <t>—</t>
        </is>
      </c>
      <c r="M480" s="47" t="inlineStr">
        <is>
          <t>—</t>
        </is>
      </c>
      <c r="N480" s="48" t="inlineStr">
        <is>
          <t>—</t>
        </is>
      </c>
      <c r="O480" s="48" t="inlineStr">
        <is>
          <t>—</t>
        </is>
      </c>
    </row>
    <row r="481" ht="41" customHeight="1">
      <c r="A481" s="74" t="inlineStr">
        <is>
          <t>IRIS — Manager title</t>
        </is>
      </c>
      <c r="B481" s="42" t="n"/>
      <c r="C481" s="42" t="n"/>
      <c r="D481" s="42" t="n"/>
      <c r="E481" s="43" t="inlineStr">
        <is>
          <t>Team Lead</t>
        </is>
      </c>
      <c r="F481" s="43" t="inlineStr">
        <is>
          <t>Manager</t>
        </is>
      </c>
      <c r="G481" s="43" t="inlineStr">
        <is>
          <t>Senior Manager</t>
        </is>
      </c>
      <c r="H481" s="44" t="inlineStr">
        <is>
          <t>Practice Lead · Player-Coach</t>
        </is>
      </c>
      <c r="I481" s="45" t="inlineStr">
        <is>
          <t>Associate Head</t>
        </is>
      </c>
      <c r="J481" s="45" t="inlineStr">
        <is>
          <t>Head of Function</t>
        </is>
      </c>
      <c r="K481" s="46" t="inlineStr">
        <is>
          <t>Group Head · Player-Coach</t>
        </is>
      </c>
      <c r="L481" s="47" t="inlineStr">
        <is>
          <t>Business Head</t>
        </is>
      </c>
      <c r="M481" s="47" t="inlineStr">
        <is>
          <t>Vice President</t>
        </is>
      </c>
      <c r="N481" s="48" t="inlineStr">
        <is>
          <t>CXO / President</t>
        </is>
      </c>
      <c r="O481" s="48" t="inlineStr">
        <is>
          <t>Chief Executive Officer</t>
        </is>
      </c>
    </row>
    <row r="482" ht="15" customHeight="1">
      <c r="A482" s="74" t="inlineStr">
        <is>
          <t>IRIS — people at level</t>
        </is>
      </c>
      <c r="B482" s="42" t="n"/>
      <c r="C482" s="42" t="n"/>
      <c r="D482" s="42" t="n"/>
      <c r="E482" s="43" t="n"/>
      <c r="F482" s="43" t="n"/>
      <c r="G482" s="43" t="n"/>
      <c r="H482" s="44" t="n"/>
      <c r="I482" s="45" t="n"/>
      <c r="J482" s="45" t="n"/>
      <c r="K482" s="46" t="n"/>
      <c r="L482" s="47" t="n"/>
      <c r="M482" s="47" t="n"/>
      <c r="N482" s="48" t="n">
        <v>1</v>
      </c>
      <c r="O482" s="48" t="n"/>
    </row>
    <row r="483" ht="41" customHeight="1">
      <c r="A483" s="14" t="inlineStr">
        <is>
          <t>IRIS Vs Market Benchmark — Aon Radford / Mercer executive codes</t>
        </is>
      </c>
      <c r="B483" s="8" t="n"/>
      <c r="C483" s="8" t="n"/>
      <c r="D483" s="8" t="n"/>
      <c r="E483" s="8" t="n"/>
      <c r="F483" s="8" t="n"/>
      <c r="G483" s="8" t="n"/>
      <c r="H483" s="8" t="n"/>
      <c r="I483" s="8" t="n"/>
      <c r="J483" s="8" t="n"/>
      <c r="K483" s="8" t="n"/>
      <c r="L483" s="8" t="inlineStr">
        <is>
          <t>E1–E2 VP / Business Head</t>
        </is>
      </c>
      <c r="M483" s="8" t="inlineStr">
        <is>
          <t>E3–E4 SVP</t>
        </is>
      </c>
      <c r="N483" s="8" t="inlineStr">
        <is>
          <t>E5 C-level · functional</t>
        </is>
      </c>
      <c r="O483" s="8" t="inlineStr">
        <is>
          <t>E6 CEO</t>
        </is>
      </c>
    </row>
    <row r="484" ht="41" customHeight="1">
      <c r="A484" s="14" t="inlineStr">
        <is>
          <t>IRIS Vs Competitor Benchmark — regtech / SaaS executive titles</t>
        </is>
      </c>
      <c r="B484" s="8" t="n"/>
      <c r="C484" s="8" t="n"/>
      <c r="D484" s="8" t="n"/>
      <c r="E484" s="8" t="n"/>
      <c r="F484" s="8" t="n"/>
      <c r="G484" s="8" t="n"/>
      <c r="H484" s="8" t="n"/>
      <c r="I484" s="8" t="n"/>
      <c r="J484" s="8" t="n"/>
      <c r="K484" s="8" t="n"/>
      <c r="L484" s="8" t="inlineStr">
        <is>
          <t>General Manager / VP</t>
        </is>
      </c>
      <c r="M484" s="8" t="inlineStr">
        <is>
          <t>SVP</t>
        </is>
      </c>
      <c r="N484" s="8" t="inlineStr">
        <is>
          <t>CTO · CFO · CRO · CCO · COO</t>
        </is>
      </c>
      <c r="O484" s="8" t="inlineStr">
        <is>
          <t>CEO</t>
        </is>
      </c>
    </row>
    <row r="485" ht="15" customHeight="1"/>
    <row r="486" ht="20" customHeight="1">
      <c r="A486" s="79" t="inlineStr">
        <is>
          <t>Customer Experience — 1 person</t>
        </is>
      </c>
    </row>
    <row r="487" ht="15" customHeight="1">
      <c r="A487" s="61" t="inlineStr">
        <is>
          <t>IRIS Executive Leadership Vs · Standard: Aon Radford executive levels E1–E6; Mercer ET1–ET3; Korn Ferry Leadership Architect · 1 here</t>
        </is>
      </c>
      <c r="B487" s="64" t="n"/>
      <c r="C487" s="64" t="n"/>
      <c r="D487" s="64" t="n"/>
      <c r="E487" s="64" t="n"/>
      <c r="F487" s="64" t="n"/>
      <c r="G487" s="64" t="n"/>
      <c r="H487" s="64" t="n"/>
      <c r="I487" s="64" t="n"/>
      <c r="J487" s="64" t="n"/>
      <c r="K487" s="64" t="n"/>
      <c r="L487" s="64" t="n"/>
      <c r="M487" s="64" t="n"/>
      <c r="N487" s="64" t="n"/>
      <c r="O487" s="63" t="n"/>
    </row>
    <row r="488" ht="15" customHeight="1">
      <c r="A488" s="76" t="inlineStr">
        <is>
          <t>Ladder / company</t>
        </is>
      </c>
      <c r="B488" s="76" t="inlineStr">
        <is>
          <t>A1</t>
        </is>
      </c>
      <c r="C488" s="76" t="inlineStr">
        <is>
          <t>A2</t>
        </is>
      </c>
      <c r="D488" s="76" t="inlineStr">
        <is>
          <t>A3</t>
        </is>
      </c>
      <c r="E488" s="76" t="inlineStr">
        <is>
          <t>B1</t>
        </is>
      </c>
      <c r="F488" s="76" t="inlineStr">
        <is>
          <t>B2</t>
        </is>
      </c>
      <c r="G488" s="76" t="inlineStr">
        <is>
          <t>B3</t>
        </is>
      </c>
      <c r="H488" s="76" t="inlineStr">
        <is>
          <t>B+</t>
        </is>
      </c>
      <c r="I488" s="76" t="inlineStr">
        <is>
          <t>C1</t>
        </is>
      </c>
      <c r="J488" s="76" t="inlineStr">
        <is>
          <t>C2</t>
        </is>
      </c>
      <c r="K488" s="76" t="inlineStr">
        <is>
          <t>C+</t>
        </is>
      </c>
      <c r="L488" s="76" t="inlineStr">
        <is>
          <t>D1</t>
        </is>
      </c>
      <c r="M488" s="76" t="inlineStr">
        <is>
          <t>D2</t>
        </is>
      </c>
      <c r="N488" s="76" t="inlineStr">
        <is>
          <t>E1</t>
        </is>
      </c>
      <c r="O488" s="76" t="inlineStr">
        <is>
          <t>E2</t>
        </is>
      </c>
    </row>
    <row r="489" ht="41" customHeight="1">
      <c r="A489" s="74" t="inlineStr">
        <is>
          <t>IRIS — IC title</t>
        </is>
      </c>
      <c r="B489" s="42" t="inlineStr">
        <is>
          <t>Intern / Trainee</t>
        </is>
      </c>
      <c r="C489" s="42" t="inlineStr">
        <is>
          <t>Associate</t>
        </is>
      </c>
      <c r="D489" s="42" t="inlineStr">
        <is>
          <t>Senior Associate</t>
        </is>
      </c>
      <c r="E489" s="43" t="inlineStr">
        <is>
          <t>Specialist</t>
        </is>
      </c>
      <c r="F489" s="43" t="inlineStr">
        <is>
          <t>Senior Specialist</t>
        </is>
      </c>
      <c r="G489" s="43" t="inlineStr">
        <is>
          <t>Lead Specialist</t>
        </is>
      </c>
      <c r="H489" s="44" t="inlineStr">
        <is>
          <t>Practice Lead · Player-Coach</t>
        </is>
      </c>
      <c r="I489" s="45" t="inlineStr">
        <is>
          <t>Principal</t>
        </is>
      </c>
      <c r="J489" s="45" t="inlineStr">
        <is>
          <t>Senior Principal / Architect</t>
        </is>
      </c>
      <c r="K489" s="46" t="inlineStr">
        <is>
          <t>Group Head · Player-Coach</t>
        </is>
      </c>
      <c r="L489" s="47" t="inlineStr">
        <is>
          <t>—</t>
        </is>
      </c>
      <c r="M489" s="47" t="inlineStr">
        <is>
          <t>—</t>
        </is>
      </c>
      <c r="N489" s="48" t="inlineStr">
        <is>
          <t>—</t>
        </is>
      </c>
      <c r="O489" s="48" t="inlineStr">
        <is>
          <t>—</t>
        </is>
      </c>
    </row>
    <row r="490" ht="41" customHeight="1">
      <c r="A490" s="74" t="inlineStr">
        <is>
          <t>IRIS — Manager title</t>
        </is>
      </c>
      <c r="B490" s="42" t="n"/>
      <c r="C490" s="42" t="n"/>
      <c r="D490" s="42" t="n"/>
      <c r="E490" s="43" t="inlineStr">
        <is>
          <t>Team Lead</t>
        </is>
      </c>
      <c r="F490" s="43" t="inlineStr">
        <is>
          <t>Manager</t>
        </is>
      </c>
      <c r="G490" s="43" t="inlineStr">
        <is>
          <t>Senior Manager</t>
        </is>
      </c>
      <c r="H490" s="44" t="inlineStr">
        <is>
          <t>Practice Lead · Player-Coach</t>
        </is>
      </c>
      <c r="I490" s="45" t="inlineStr">
        <is>
          <t>Associate Head</t>
        </is>
      </c>
      <c r="J490" s="45" t="inlineStr">
        <is>
          <t>Head of Function</t>
        </is>
      </c>
      <c r="K490" s="46" t="inlineStr">
        <is>
          <t>Group Head · Player-Coach</t>
        </is>
      </c>
      <c r="L490" s="47" t="inlineStr">
        <is>
          <t>Business Head</t>
        </is>
      </c>
      <c r="M490" s="47" t="inlineStr">
        <is>
          <t>Vice President</t>
        </is>
      </c>
      <c r="N490" s="48" t="inlineStr">
        <is>
          <t>CXO / President</t>
        </is>
      </c>
      <c r="O490" s="48" t="inlineStr">
        <is>
          <t>Chief Executive Officer</t>
        </is>
      </c>
    </row>
    <row r="491" ht="15" customHeight="1">
      <c r="A491" s="74" t="inlineStr">
        <is>
          <t>IRIS — people at level</t>
        </is>
      </c>
      <c r="B491" s="42" t="n"/>
      <c r="C491" s="42" t="n"/>
      <c r="D491" s="42" t="n"/>
      <c r="E491" s="43" t="n"/>
      <c r="F491" s="43" t="n"/>
      <c r="G491" s="43" t="n"/>
      <c r="H491" s="44" t="n"/>
      <c r="I491" s="45" t="n"/>
      <c r="J491" s="45" t="n"/>
      <c r="K491" s="46" t="n"/>
      <c r="L491" s="47" t="n">
        <v>1</v>
      </c>
      <c r="M491" s="47" t="n"/>
      <c r="N491" s="48" t="n"/>
      <c r="O491" s="48" t="n"/>
    </row>
    <row r="492" ht="41" customHeight="1">
      <c r="A492" s="14" t="inlineStr">
        <is>
          <t>IRIS Vs Market Benchmark — Aon Radford / Mercer executive codes</t>
        </is>
      </c>
      <c r="B492" s="8" t="n"/>
      <c r="C492" s="8" t="n"/>
      <c r="D492" s="8" t="n"/>
      <c r="E492" s="8" t="n"/>
      <c r="F492" s="8" t="n"/>
      <c r="G492" s="8" t="n"/>
      <c r="H492" s="8" t="n"/>
      <c r="I492" s="8" t="n"/>
      <c r="J492" s="8" t="n"/>
      <c r="K492" s="8" t="n"/>
      <c r="L492" s="8" t="inlineStr">
        <is>
          <t>E1–E2 VP / Business Head</t>
        </is>
      </c>
      <c r="M492" s="8" t="inlineStr">
        <is>
          <t>E3–E4 SVP</t>
        </is>
      </c>
      <c r="N492" s="8" t="inlineStr">
        <is>
          <t>E5 C-level · functional</t>
        </is>
      </c>
      <c r="O492" s="8" t="inlineStr">
        <is>
          <t>E6 CEO</t>
        </is>
      </c>
    </row>
    <row r="493" ht="41" customHeight="1">
      <c r="A493" s="14" t="inlineStr">
        <is>
          <t>IRIS Vs Competitor Benchmark — regtech / SaaS executive titles</t>
        </is>
      </c>
      <c r="B493" s="8" t="n"/>
      <c r="C493" s="8" t="n"/>
      <c r="D493" s="8" t="n"/>
      <c r="E493" s="8" t="n"/>
      <c r="F493" s="8" t="n"/>
      <c r="G493" s="8" t="n"/>
      <c r="H493" s="8" t="n"/>
      <c r="I493" s="8" t="n"/>
      <c r="J493" s="8" t="n"/>
      <c r="K493" s="8" t="n"/>
      <c r="L493" s="8" t="inlineStr">
        <is>
          <t>General Manager / VP</t>
        </is>
      </c>
      <c r="M493" s="8" t="inlineStr">
        <is>
          <t>SVP</t>
        </is>
      </c>
      <c r="N493" s="8" t="inlineStr">
        <is>
          <t>CTO · CFO · CRO · CCO · COO</t>
        </is>
      </c>
      <c r="O493" s="8" t="inlineStr">
        <is>
          <t>CEO</t>
        </is>
      </c>
    </row>
    <row r="494" ht="15" customHeight="1"/>
    <row r="495" ht="20" customHeight="1">
      <c r="A495" s="79" t="inlineStr">
        <is>
          <t>iDEAL Business Head — 1 person</t>
        </is>
      </c>
    </row>
    <row r="496" ht="15" customHeight="1">
      <c r="A496" s="61" t="inlineStr">
        <is>
          <t>IRIS Executive Leadership Vs · Standard: Aon Radford executive levels E1–E6; Mercer ET1–ET3; Korn Ferry Leadership Architect · 1 here</t>
        </is>
      </c>
      <c r="B496" s="64" t="n"/>
      <c r="C496" s="64" t="n"/>
      <c r="D496" s="64" t="n"/>
      <c r="E496" s="64" t="n"/>
      <c r="F496" s="64" t="n"/>
      <c r="G496" s="64" t="n"/>
      <c r="H496" s="64" t="n"/>
      <c r="I496" s="64" t="n"/>
      <c r="J496" s="64" t="n"/>
      <c r="K496" s="64" t="n"/>
      <c r="L496" s="64" t="n"/>
      <c r="M496" s="64" t="n"/>
      <c r="N496" s="64" t="n"/>
      <c r="O496" s="63" t="n"/>
    </row>
    <row r="497" ht="15" customHeight="1">
      <c r="A497" s="76" t="inlineStr">
        <is>
          <t>Ladder / company</t>
        </is>
      </c>
      <c r="B497" s="76" t="inlineStr">
        <is>
          <t>A1</t>
        </is>
      </c>
      <c r="C497" s="76" t="inlineStr">
        <is>
          <t>A2</t>
        </is>
      </c>
      <c r="D497" s="76" t="inlineStr">
        <is>
          <t>A3</t>
        </is>
      </c>
      <c r="E497" s="76" t="inlineStr">
        <is>
          <t>B1</t>
        </is>
      </c>
      <c r="F497" s="76" t="inlineStr">
        <is>
          <t>B2</t>
        </is>
      </c>
      <c r="G497" s="76" t="inlineStr">
        <is>
          <t>B3</t>
        </is>
      </c>
      <c r="H497" s="76" t="inlineStr">
        <is>
          <t>B+</t>
        </is>
      </c>
      <c r="I497" s="76" t="inlineStr">
        <is>
          <t>C1</t>
        </is>
      </c>
      <c r="J497" s="76" t="inlineStr">
        <is>
          <t>C2</t>
        </is>
      </c>
      <c r="K497" s="76" t="inlineStr">
        <is>
          <t>C+</t>
        </is>
      </c>
      <c r="L497" s="76" t="inlineStr">
        <is>
          <t>D1</t>
        </is>
      </c>
      <c r="M497" s="76" t="inlineStr">
        <is>
          <t>D2</t>
        </is>
      </c>
      <c r="N497" s="76" t="inlineStr">
        <is>
          <t>E1</t>
        </is>
      </c>
      <c r="O497" s="76" t="inlineStr">
        <is>
          <t>E2</t>
        </is>
      </c>
    </row>
    <row r="498" ht="41" customHeight="1">
      <c r="A498" s="74" t="inlineStr">
        <is>
          <t>IRIS — IC title</t>
        </is>
      </c>
      <c r="B498" s="42" t="inlineStr">
        <is>
          <t>Intern / Trainee</t>
        </is>
      </c>
      <c r="C498" s="42" t="inlineStr">
        <is>
          <t>Associate</t>
        </is>
      </c>
      <c r="D498" s="42" t="inlineStr">
        <is>
          <t>Senior Associate</t>
        </is>
      </c>
      <c r="E498" s="43" t="inlineStr">
        <is>
          <t>Specialist</t>
        </is>
      </c>
      <c r="F498" s="43" t="inlineStr">
        <is>
          <t>Senior Specialist</t>
        </is>
      </c>
      <c r="G498" s="43" t="inlineStr">
        <is>
          <t>Lead Specialist</t>
        </is>
      </c>
      <c r="H498" s="44" t="inlineStr">
        <is>
          <t>Practice Lead · Player-Coach</t>
        </is>
      </c>
      <c r="I498" s="45" t="inlineStr">
        <is>
          <t>Principal</t>
        </is>
      </c>
      <c r="J498" s="45" t="inlineStr">
        <is>
          <t>Senior Principal / Architect</t>
        </is>
      </c>
      <c r="K498" s="46" t="inlineStr">
        <is>
          <t>Group Head · Player-Coach</t>
        </is>
      </c>
      <c r="L498" s="47" t="inlineStr">
        <is>
          <t>—</t>
        </is>
      </c>
      <c r="M498" s="47" t="inlineStr">
        <is>
          <t>—</t>
        </is>
      </c>
      <c r="N498" s="48" t="inlineStr">
        <is>
          <t>—</t>
        </is>
      </c>
      <c r="O498" s="48" t="inlineStr">
        <is>
          <t>—</t>
        </is>
      </c>
    </row>
    <row r="499" ht="41" customHeight="1">
      <c r="A499" s="74" t="inlineStr">
        <is>
          <t>IRIS — Manager title</t>
        </is>
      </c>
      <c r="B499" s="42" t="n"/>
      <c r="C499" s="42" t="n"/>
      <c r="D499" s="42" t="n"/>
      <c r="E499" s="43" t="inlineStr">
        <is>
          <t>Team Lead</t>
        </is>
      </c>
      <c r="F499" s="43" t="inlineStr">
        <is>
          <t>Manager</t>
        </is>
      </c>
      <c r="G499" s="43" t="inlineStr">
        <is>
          <t>Senior Manager</t>
        </is>
      </c>
      <c r="H499" s="44" t="inlineStr">
        <is>
          <t>Practice Lead · Player-Coach</t>
        </is>
      </c>
      <c r="I499" s="45" t="inlineStr">
        <is>
          <t>Associate Head</t>
        </is>
      </c>
      <c r="J499" s="45" t="inlineStr">
        <is>
          <t>Head of Function</t>
        </is>
      </c>
      <c r="K499" s="46" t="inlineStr">
        <is>
          <t>Group Head · Player-Coach</t>
        </is>
      </c>
      <c r="L499" s="47" t="inlineStr">
        <is>
          <t>Business Head</t>
        </is>
      </c>
      <c r="M499" s="47" t="inlineStr">
        <is>
          <t>Vice President</t>
        </is>
      </c>
      <c r="N499" s="48" t="inlineStr">
        <is>
          <t>CXO / President</t>
        </is>
      </c>
      <c r="O499" s="48" t="inlineStr">
        <is>
          <t>Chief Executive Officer</t>
        </is>
      </c>
    </row>
    <row r="500" ht="15" customHeight="1">
      <c r="A500" s="74" t="inlineStr">
        <is>
          <t>IRIS — people at level</t>
        </is>
      </c>
      <c r="B500" s="42" t="n"/>
      <c r="C500" s="42" t="n"/>
      <c r="D500" s="42" t="n"/>
      <c r="E500" s="43" t="n"/>
      <c r="F500" s="43" t="n"/>
      <c r="G500" s="43" t="n"/>
      <c r="H500" s="44" t="n"/>
      <c r="I500" s="45" t="n"/>
      <c r="J500" s="45" t="n"/>
      <c r="K500" s="46" t="n"/>
      <c r="L500" s="47" t="n">
        <v>1</v>
      </c>
      <c r="M500" s="47" t="n"/>
      <c r="N500" s="48" t="n"/>
      <c r="O500" s="48" t="n"/>
    </row>
    <row r="501" ht="41" customHeight="1">
      <c r="A501" s="14" t="inlineStr">
        <is>
          <t>IRIS Vs Market Benchmark — Aon Radford / Mercer executive codes</t>
        </is>
      </c>
      <c r="B501" s="8" t="n"/>
      <c r="C501" s="8" t="n"/>
      <c r="D501" s="8" t="n"/>
      <c r="E501" s="8" t="n"/>
      <c r="F501" s="8" t="n"/>
      <c r="G501" s="8" t="n"/>
      <c r="H501" s="8" t="n"/>
      <c r="I501" s="8" t="n"/>
      <c r="J501" s="8" t="n"/>
      <c r="K501" s="8" t="n"/>
      <c r="L501" s="8" t="inlineStr">
        <is>
          <t>E1–E2 VP / Business Head</t>
        </is>
      </c>
      <c r="M501" s="8" t="inlineStr">
        <is>
          <t>E3–E4 SVP</t>
        </is>
      </c>
      <c r="N501" s="8" t="inlineStr">
        <is>
          <t>E5 C-level · functional</t>
        </is>
      </c>
      <c r="O501" s="8" t="inlineStr">
        <is>
          <t>E6 CEO</t>
        </is>
      </c>
    </row>
    <row r="502" ht="41" customHeight="1">
      <c r="A502" s="14" t="inlineStr">
        <is>
          <t>IRIS Vs Competitor Benchmark — regtech / SaaS executive titles</t>
        </is>
      </c>
      <c r="B502" s="8" t="n"/>
      <c r="C502" s="8" t="n"/>
      <c r="D502" s="8" t="n"/>
      <c r="E502" s="8" t="n"/>
      <c r="F502" s="8" t="n"/>
      <c r="G502" s="8" t="n"/>
      <c r="H502" s="8" t="n"/>
      <c r="I502" s="8" t="n"/>
      <c r="J502" s="8" t="n"/>
      <c r="K502" s="8" t="n"/>
      <c r="L502" s="8" t="inlineStr">
        <is>
          <t>General Manager / VP</t>
        </is>
      </c>
      <c r="M502" s="8" t="inlineStr">
        <is>
          <t>SVP</t>
        </is>
      </c>
      <c r="N502" s="8" t="inlineStr">
        <is>
          <t>CTO · CFO · CRO · CCO · COO</t>
        </is>
      </c>
      <c r="O502" s="8" t="inlineStr">
        <is>
          <t>CEO</t>
        </is>
      </c>
    </row>
    <row r="503" ht="15" customHeight="1"/>
    <row r="504" ht="20" customHeight="1">
      <c r="A504" s="79" t="inlineStr">
        <is>
          <t>Datatech Business Head — 1 person</t>
        </is>
      </c>
    </row>
    <row r="505" ht="15" customHeight="1">
      <c r="A505" s="61" t="inlineStr">
        <is>
          <t>IRIS Executive Leadership Vs · Standard: Aon Radford executive levels E1–E6; Mercer ET1–ET3; Korn Ferry Leadership Architect · 1 here</t>
        </is>
      </c>
      <c r="B505" s="64" t="n"/>
      <c r="C505" s="64" t="n"/>
      <c r="D505" s="64" t="n"/>
      <c r="E505" s="64" t="n"/>
      <c r="F505" s="64" t="n"/>
      <c r="G505" s="64" t="n"/>
      <c r="H505" s="64" t="n"/>
      <c r="I505" s="64" t="n"/>
      <c r="J505" s="64" t="n"/>
      <c r="K505" s="64" t="n"/>
      <c r="L505" s="64" t="n"/>
      <c r="M505" s="64" t="n"/>
      <c r="N505" s="64" t="n"/>
      <c r="O505" s="63" t="n"/>
    </row>
    <row r="506" ht="15" customHeight="1">
      <c r="A506" s="76" t="inlineStr">
        <is>
          <t>Ladder / company</t>
        </is>
      </c>
      <c r="B506" s="76" t="inlineStr">
        <is>
          <t>A1</t>
        </is>
      </c>
      <c r="C506" s="76" t="inlineStr">
        <is>
          <t>A2</t>
        </is>
      </c>
      <c r="D506" s="76" t="inlineStr">
        <is>
          <t>A3</t>
        </is>
      </c>
      <c r="E506" s="76" t="inlineStr">
        <is>
          <t>B1</t>
        </is>
      </c>
      <c r="F506" s="76" t="inlineStr">
        <is>
          <t>B2</t>
        </is>
      </c>
      <c r="G506" s="76" t="inlineStr">
        <is>
          <t>B3</t>
        </is>
      </c>
      <c r="H506" s="76" t="inlineStr">
        <is>
          <t>B+</t>
        </is>
      </c>
      <c r="I506" s="76" t="inlineStr">
        <is>
          <t>C1</t>
        </is>
      </c>
      <c r="J506" s="76" t="inlineStr">
        <is>
          <t>C2</t>
        </is>
      </c>
      <c r="K506" s="76" t="inlineStr">
        <is>
          <t>C+</t>
        </is>
      </c>
      <c r="L506" s="76" t="inlineStr">
        <is>
          <t>D1</t>
        </is>
      </c>
      <c r="M506" s="76" t="inlineStr">
        <is>
          <t>D2</t>
        </is>
      </c>
      <c r="N506" s="76" t="inlineStr">
        <is>
          <t>E1</t>
        </is>
      </c>
      <c r="O506" s="76" t="inlineStr">
        <is>
          <t>E2</t>
        </is>
      </c>
    </row>
    <row r="507" ht="41" customHeight="1">
      <c r="A507" s="74" t="inlineStr">
        <is>
          <t>IRIS — IC title</t>
        </is>
      </c>
      <c r="B507" s="42" t="inlineStr">
        <is>
          <t>Intern / Trainee</t>
        </is>
      </c>
      <c r="C507" s="42" t="inlineStr">
        <is>
          <t>Associate</t>
        </is>
      </c>
      <c r="D507" s="42" t="inlineStr">
        <is>
          <t>Senior Associate</t>
        </is>
      </c>
      <c r="E507" s="43" t="inlineStr">
        <is>
          <t>Specialist</t>
        </is>
      </c>
      <c r="F507" s="43" t="inlineStr">
        <is>
          <t>Senior Specialist</t>
        </is>
      </c>
      <c r="G507" s="43" t="inlineStr">
        <is>
          <t>Lead Specialist</t>
        </is>
      </c>
      <c r="H507" s="44" t="inlineStr">
        <is>
          <t>Practice Lead · Player-Coach</t>
        </is>
      </c>
      <c r="I507" s="45" t="inlineStr">
        <is>
          <t>Principal</t>
        </is>
      </c>
      <c r="J507" s="45" t="inlineStr">
        <is>
          <t>Senior Principal / Architect</t>
        </is>
      </c>
      <c r="K507" s="46" t="inlineStr">
        <is>
          <t>Group Head · Player-Coach</t>
        </is>
      </c>
      <c r="L507" s="47" t="inlineStr">
        <is>
          <t>—</t>
        </is>
      </c>
      <c r="M507" s="47" t="inlineStr">
        <is>
          <t>—</t>
        </is>
      </c>
      <c r="N507" s="48" t="inlineStr">
        <is>
          <t>—</t>
        </is>
      </c>
      <c r="O507" s="48" t="inlineStr">
        <is>
          <t>—</t>
        </is>
      </c>
    </row>
    <row r="508" ht="41" customHeight="1">
      <c r="A508" s="74" t="inlineStr">
        <is>
          <t>IRIS — Manager title</t>
        </is>
      </c>
      <c r="B508" s="42" t="n"/>
      <c r="C508" s="42" t="n"/>
      <c r="D508" s="42" t="n"/>
      <c r="E508" s="43" t="inlineStr">
        <is>
          <t>Team Lead</t>
        </is>
      </c>
      <c r="F508" s="43" t="inlineStr">
        <is>
          <t>Manager</t>
        </is>
      </c>
      <c r="G508" s="43" t="inlineStr">
        <is>
          <t>Senior Manager</t>
        </is>
      </c>
      <c r="H508" s="44" t="inlineStr">
        <is>
          <t>Practice Lead · Player-Coach</t>
        </is>
      </c>
      <c r="I508" s="45" t="inlineStr">
        <is>
          <t>Associate Head</t>
        </is>
      </c>
      <c r="J508" s="45" t="inlineStr">
        <is>
          <t>Head of Function</t>
        </is>
      </c>
      <c r="K508" s="46" t="inlineStr">
        <is>
          <t>Group Head · Player-Coach</t>
        </is>
      </c>
      <c r="L508" s="47" t="inlineStr">
        <is>
          <t>Business Head</t>
        </is>
      </c>
      <c r="M508" s="47" t="inlineStr">
        <is>
          <t>Vice President</t>
        </is>
      </c>
      <c r="N508" s="48" t="inlineStr">
        <is>
          <t>CXO / President</t>
        </is>
      </c>
      <c r="O508" s="48" t="inlineStr">
        <is>
          <t>Chief Executive Officer</t>
        </is>
      </c>
    </row>
    <row r="509" ht="15" customHeight="1">
      <c r="A509" s="74" t="inlineStr">
        <is>
          <t>IRIS — people at level</t>
        </is>
      </c>
      <c r="B509" s="42" t="n"/>
      <c r="C509" s="42" t="n"/>
      <c r="D509" s="42" t="n"/>
      <c r="E509" s="43" t="n"/>
      <c r="F509" s="43" t="n"/>
      <c r="G509" s="43" t="n"/>
      <c r="H509" s="44" t="n"/>
      <c r="I509" s="45" t="n"/>
      <c r="J509" s="45" t="n"/>
      <c r="K509" s="46" t="n"/>
      <c r="L509" s="47" t="n"/>
      <c r="M509" s="47" t="n">
        <v>1</v>
      </c>
      <c r="N509" s="48" t="n"/>
      <c r="O509" s="48" t="n"/>
    </row>
    <row r="510" ht="41" customHeight="1">
      <c r="A510" s="14" t="inlineStr">
        <is>
          <t>IRIS Vs Market Benchmark — Aon Radford / Mercer executive codes</t>
        </is>
      </c>
      <c r="B510" s="8" t="n"/>
      <c r="C510" s="8" t="n"/>
      <c r="D510" s="8" t="n"/>
      <c r="E510" s="8" t="n"/>
      <c r="F510" s="8" t="n"/>
      <c r="G510" s="8" t="n"/>
      <c r="H510" s="8" t="n"/>
      <c r="I510" s="8" t="n"/>
      <c r="J510" s="8" t="n"/>
      <c r="K510" s="8" t="n"/>
      <c r="L510" s="8" t="inlineStr">
        <is>
          <t>E1–E2 VP / Business Head</t>
        </is>
      </c>
      <c r="M510" s="8" t="inlineStr">
        <is>
          <t>E3–E4 SVP</t>
        </is>
      </c>
      <c r="N510" s="8" t="inlineStr">
        <is>
          <t>E5 C-level · functional</t>
        </is>
      </c>
      <c r="O510" s="8" t="inlineStr">
        <is>
          <t>E6 CEO</t>
        </is>
      </c>
    </row>
    <row r="511" ht="41" customHeight="1">
      <c r="A511" s="14" t="inlineStr">
        <is>
          <t>IRIS Vs Competitor Benchmark — regtech / SaaS executive titles</t>
        </is>
      </c>
      <c r="B511" s="8" t="n"/>
      <c r="C511" s="8" t="n"/>
      <c r="D511" s="8" t="n"/>
      <c r="E511" s="8" t="n"/>
      <c r="F511" s="8" t="n"/>
      <c r="G511" s="8" t="n"/>
      <c r="H511" s="8" t="n"/>
      <c r="I511" s="8" t="n"/>
      <c r="J511" s="8" t="n"/>
      <c r="K511" s="8" t="n"/>
      <c r="L511" s="8" t="inlineStr">
        <is>
          <t>General Manager / VP</t>
        </is>
      </c>
      <c r="M511" s="8" t="inlineStr">
        <is>
          <t>SVP</t>
        </is>
      </c>
      <c r="N511" s="8" t="inlineStr">
        <is>
          <t>CTO · CFO · CRO · CCO · COO</t>
        </is>
      </c>
      <c r="O511" s="8" t="inlineStr">
        <is>
          <t>CEO</t>
        </is>
      </c>
    </row>
    <row r="512" ht="15" customHeight="1"/>
    <row r="513" ht="20" customHeight="1">
      <c r="A513" s="6" t="inlineStr">
        <is>
          <t>R4. Levelling and market databases used</t>
        </is>
      </c>
    </row>
    <row r="514" ht="15" customHeight="1">
      <c r="A514" s="7" t="inlineStr">
        <is>
          <t>Database / method</t>
        </is>
      </c>
      <c r="B514" s="64" t="n"/>
      <c r="C514" s="63" t="n"/>
      <c r="D514" s="7" t="inlineStr">
        <is>
          <t>What it gave</t>
        </is>
      </c>
      <c r="E514" s="64" t="n"/>
      <c r="F514" s="64" t="n"/>
      <c r="G514" s="64" t="n"/>
      <c r="H514" s="64" t="n"/>
      <c r="I514" s="63" t="n"/>
      <c r="J514" s="7" t="inlineStr">
        <is>
          <t>Site</t>
        </is>
      </c>
      <c r="K514" s="64" t="n"/>
      <c r="L514" s="64" t="n"/>
      <c r="M514" s="63" t="n"/>
      <c r="N514" s="7" t="inlineStr">
        <is>
          <t>Status</t>
        </is>
      </c>
      <c r="O514" s="63" t="n"/>
    </row>
    <row r="515" ht="28" customHeight="1">
      <c r="A515" s="14" t="inlineStr">
        <is>
          <t>Aon Radford · Global Technology Survey</t>
        </is>
      </c>
      <c r="B515" s="64" t="n"/>
      <c r="C515" s="63" t="n"/>
      <c r="D515" s="9" t="inlineStr">
        <is>
          <t>Survey levels P1–P7 / M1–M6 / E1–E6 used on every IRIS level</t>
        </is>
      </c>
      <c r="E515" s="64" t="n"/>
      <c r="F515" s="64" t="n"/>
      <c r="G515" s="64" t="n"/>
      <c r="H515" s="64" t="n"/>
      <c r="I515" s="63" t="n"/>
      <c r="J515" s="9" t="inlineStr">
        <is>
          <t>https://radford.aon.com</t>
        </is>
      </c>
      <c r="K515" s="64" t="n"/>
      <c r="L515" s="64" t="n"/>
      <c r="M515" s="63" t="n"/>
      <c r="N515" s="9" t="inlineStr">
        <is>
          <t>Used — codes; pay data to buy</t>
        </is>
      </c>
      <c r="O515" s="63" t="n"/>
    </row>
    <row r="516" ht="28" customHeight="1">
      <c r="A516" s="14" t="inlineStr">
        <is>
          <t>Mercer TRS / Mercer IPE</t>
        </is>
      </c>
      <c r="B516" s="64" t="n"/>
      <c r="C516" s="63" t="n"/>
      <c r="D516" s="9" t="inlineStr">
        <is>
          <t>Career levels and position evaluation</t>
        </is>
      </c>
      <c r="E516" s="64" t="n"/>
      <c r="F516" s="64" t="n"/>
      <c r="G516" s="64" t="n"/>
      <c r="H516" s="64" t="n"/>
      <c r="I516" s="63" t="n"/>
      <c r="J516" s="9" t="inlineStr">
        <is>
          <t>https://www.mercer.com</t>
        </is>
      </c>
      <c r="K516" s="64" t="n"/>
      <c r="L516" s="64" t="n"/>
      <c r="M516" s="63" t="n"/>
      <c r="N516" s="9" t="inlineStr">
        <is>
          <t>Used — method; pay data to buy</t>
        </is>
      </c>
      <c r="O516" s="63" t="n"/>
    </row>
    <row r="517" ht="15" customHeight="1">
      <c r="A517" s="14" t="inlineStr">
        <is>
          <t>WTW Global Grading System</t>
        </is>
      </c>
      <c r="B517" s="64" t="n"/>
      <c r="C517" s="63" t="n"/>
      <c r="D517" s="9" t="inlineStr">
        <is>
          <t>Banding-then-grading logic</t>
        </is>
      </c>
      <c r="E517" s="64" t="n"/>
      <c r="F517" s="64" t="n"/>
      <c r="G517" s="64" t="n"/>
      <c r="H517" s="64" t="n"/>
      <c r="I517" s="63" t="n"/>
      <c r="J517" s="9" t="inlineStr">
        <is>
          <t>https://www.wtwco.com</t>
        </is>
      </c>
      <c r="K517" s="64" t="n"/>
      <c r="L517" s="64" t="n"/>
      <c r="M517" s="63" t="n"/>
      <c r="N517" s="9" t="inlineStr">
        <is>
          <t>Used — method</t>
        </is>
      </c>
      <c r="O517" s="63" t="n"/>
    </row>
    <row r="518" ht="15" customHeight="1">
      <c r="A518" s="14" t="inlineStr">
        <is>
          <t>Korn Ferry Hay Guide Chart-Profile</t>
        </is>
      </c>
      <c r="B518" s="64" t="n"/>
      <c r="C518" s="63" t="n"/>
      <c r="D518" s="9" t="inlineStr">
        <is>
          <t>Factors and A / L / P profiles</t>
        </is>
      </c>
      <c r="E518" s="64" t="n"/>
      <c r="F518" s="64" t="n"/>
      <c r="G518" s="64" t="n"/>
      <c r="H518" s="64" t="n"/>
      <c r="I518" s="63" t="n"/>
      <c r="J518" s="9" t="inlineStr">
        <is>
          <t>https://www.kornferry.com</t>
        </is>
      </c>
      <c r="K518" s="64" t="n"/>
      <c r="L518" s="64" t="n"/>
      <c r="M518" s="63" t="n"/>
      <c r="N518" s="9" t="inlineStr">
        <is>
          <t>Used — method</t>
        </is>
      </c>
      <c r="O518" s="63" t="n"/>
    </row>
    <row r="519" ht="15" customHeight="1">
      <c r="A519" s="14" t="inlineStr">
        <is>
          <t>Pave</t>
        </is>
      </c>
      <c r="B519" s="64" t="n"/>
      <c r="C519" s="63" t="n"/>
      <c r="D519" s="9" t="inlineStr">
        <is>
          <t>Radford / Mercer level crosswalk</t>
        </is>
      </c>
      <c r="E519" s="64" t="n"/>
      <c r="F519" s="64" t="n"/>
      <c r="G519" s="64" t="n"/>
      <c r="H519" s="64" t="n"/>
      <c r="I519" s="63" t="n"/>
      <c r="J519" s="9" t="inlineStr">
        <is>
          <t>https://support.pave.com</t>
        </is>
      </c>
      <c r="K519" s="64" t="n"/>
      <c r="L519" s="64" t="n"/>
      <c r="M519" s="63" t="n"/>
      <c r="N519" s="9" t="inlineStr">
        <is>
          <t>Used</t>
        </is>
      </c>
      <c r="O519" s="63" t="n"/>
    </row>
    <row r="520" ht="67" customHeight="1">
      <c r="A520" s="14" t="inlineStr">
        <is>
          <t>Levels.fyi</t>
        </is>
      </c>
      <c r="B520" s="64" t="n"/>
      <c r="C520" s="63" t="n"/>
      <c r="D520" s="9" t="inlineStr">
        <is>
          <t>Company level ladders · Workiva, Broadridge, Nasdaq, Freshworks, Zoho, Clear, Atlassian</t>
        </is>
      </c>
      <c r="E520" s="64" t="n"/>
      <c r="F520" s="64" t="n"/>
      <c r="G520" s="64" t="n"/>
      <c r="H520" s="64" t="n"/>
      <c r="I520" s="63" t="n"/>
      <c r="J520" s="9" t="inlineStr">
        <is>
          <t>https://www.levels.fyi</t>
        </is>
      </c>
      <c r="K520" s="64" t="n"/>
      <c r="L520" s="64" t="n"/>
      <c r="M520" s="63" t="n"/>
      <c r="N520" s="9" t="inlineStr">
        <is>
          <t>Used — titles and levels only, not pay; pages did not load in the October 2026 source check, so unverified</t>
        </is>
      </c>
      <c r="O520" s="63" t="n"/>
    </row>
    <row r="521" ht="15" customHeight="1">
      <c r="A521" s="14" t="inlineStr">
        <is>
          <t>SFIA Foundation</t>
        </is>
      </c>
      <c r="B521" s="64" t="n"/>
      <c r="C521" s="63" t="n"/>
      <c r="D521" s="9" t="inlineStr">
        <is>
          <t>Levels of responsibility; skills</t>
        </is>
      </c>
      <c r="E521" s="64" t="n"/>
      <c r="F521" s="64" t="n"/>
      <c r="G521" s="64" t="n"/>
      <c r="H521" s="64" t="n"/>
      <c r="I521" s="63" t="n"/>
      <c r="J521" s="9" t="inlineStr">
        <is>
          <t>https://sfia-online.org</t>
        </is>
      </c>
      <c r="K521" s="64" t="n"/>
      <c r="L521" s="64" t="n"/>
      <c r="M521" s="63" t="n"/>
      <c r="N521" s="9" t="inlineStr">
        <is>
          <t>Used</t>
        </is>
      </c>
      <c r="O521" s="63" t="n"/>
    </row>
    <row r="522" ht="28" customHeight="1">
      <c r="A522" s="14" t="inlineStr">
        <is>
          <t>Built In / company career sites / Personio</t>
        </is>
      </c>
      <c r="B522" s="64" t="n"/>
      <c r="C522" s="63" t="n"/>
      <c r="D522" s="9" t="inlineStr">
        <is>
          <r>
            <rPr>
              <rFont val="Calibri"/>
              <b val="1"/>
              <sz val="10"/>
            </rPr>
            <t>Job postings:</t>
          </r>
          <r>
            <rPr>
              <rFont val="Calibri"/>
              <sz val="10"/>
            </rPr>
            <t xml:space="preserve"> Workiva, DFIN, Toppan Merrill, Regnology, Gainsight</t>
          </r>
        </is>
      </c>
      <c r="E522" s="64" t="n"/>
      <c r="F522" s="64" t="n"/>
      <c r="G522" s="64" t="n"/>
      <c r="H522" s="64" t="n"/>
      <c r="I522" s="63" t="n"/>
      <c r="J522" s="9" t="inlineStr">
        <is>
          <t>https://builtin.com ; https://www.regnology.net/en/careers</t>
        </is>
      </c>
      <c r="K522" s="64" t="n"/>
      <c r="L522" s="64" t="n"/>
      <c r="M522" s="63" t="n"/>
      <c r="N522" s="9" t="inlineStr">
        <is>
          <t>Used — titles and requirements</t>
        </is>
      </c>
      <c r="O522" s="63" t="n"/>
    </row>
    <row r="523" ht="28" customHeight="1">
      <c r="A523" s="14" t="inlineStr">
        <is>
          <t>Chartis RiskTech100, Central Banking awards, CFO Shortlist</t>
        </is>
      </c>
      <c r="B523" s="64" t="n"/>
      <c r="C523" s="63" t="n"/>
      <c r="D523" s="9" t="inlineStr">
        <is>
          <t>Regtech and disclosure-management market leadership</t>
        </is>
      </c>
      <c r="E523" s="64" t="n"/>
      <c r="F523" s="64" t="n"/>
      <c r="G523" s="64" t="n"/>
      <c r="H523" s="64" t="n"/>
      <c r="I523" s="63" t="n"/>
      <c r="J523" s="9" t="inlineStr">
        <is>
          <t>https://www.centralbanking.com ; https://www.cfoshortlist.com</t>
        </is>
      </c>
      <c r="K523" s="64" t="n"/>
      <c r="L523" s="64" t="n"/>
      <c r="M523" s="63" t="n"/>
      <c r="N523" s="9" t="inlineStr">
        <is>
          <t>Used — peer selection</t>
        </is>
      </c>
      <c r="O523" s="63" t="n"/>
    </row>
    <row r="524" ht="15" customHeight="1"/>
    <row r="525" ht="20" customHeight="1">
      <c r="A525" s="6" t="inlineStr">
        <is>
          <t>R5. Full source register · also in the Master, M16</t>
        </is>
      </c>
    </row>
    <row r="526" ht="41" customHeight="1">
      <c r="A526" s="12" t="inlineStr">
        <is>
          <r>
            <rPr>
              <rFont val="Calibri"/>
              <b val="1"/>
              <i val="1"/>
              <color rgb="00595959"/>
              <sz val="10"/>
            </rPr>
            <t>About the references:</t>
          </r>
          <r>
            <rPr>
              <rFont val="Calibri"/>
              <i val="1"/>
              <color rgb="00595959"/>
              <sz val="10"/>
            </rPr>
            <t xml:space="preserve"> each row names the source, what kind of source it is, what it contributed to the IRIS job architecture and where to find it. Grade: Primary = the original publisher or official document; Secondary = a summary, guide or third-party copy of the original; Indicative = used for direction only; Job postings = live adverts used as examples; Internal = IRIS data. S46–S72 were added in v1.12 for the default weights, the Experience and Business Impact evidence, and the title decisions: no Director, and the two D1 specialist-title options.</t>
          </r>
        </is>
      </c>
    </row>
    <row r="527" ht="15" customHeight="1">
      <c r="A527" s="7" t="inlineStr">
        <is>
          <t>ID</t>
        </is>
      </c>
      <c r="B527" s="7" t="inlineStr">
        <is>
          <t>Source</t>
        </is>
      </c>
      <c r="C527" s="64" t="n"/>
      <c r="D527" s="63" t="n"/>
      <c r="E527" s="7" t="inlineStr">
        <is>
          <t>Type</t>
        </is>
      </c>
      <c r="F527" s="63" t="n"/>
      <c r="G527" s="7" t="inlineStr">
        <is>
          <t>What it contributed</t>
        </is>
      </c>
      <c r="H527" s="64" t="n"/>
      <c r="I527" s="64" t="n"/>
      <c r="J527" s="63" t="n"/>
      <c r="K527" s="7" t="inlineStr">
        <is>
          <t>Link / where</t>
        </is>
      </c>
      <c r="L527" s="64" t="n"/>
      <c r="M527" s="64" t="n"/>
      <c r="N527" s="63" t="n"/>
      <c r="O527" s="7" t="inlineStr">
        <is>
          <t>Grade</t>
        </is>
      </c>
    </row>
    <row r="528" ht="28" customHeight="1">
      <c r="A528" s="14" t="inlineStr">
        <is>
          <t>S01</t>
        </is>
      </c>
      <c r="B528" s="9" t="inlineStr">
        <is>
          <t>Aon Radford — Global Job Architecture &amp; Leveling</t>
        </is>
      </c>
      <c r="C528" s="64" t="n"/>
      <c r="D528" s="63" t="n"/>
      <c r="E528" s="9" t="inlineStr">
        <is>
          <t>Salary-survey levelling system</t>
        </is>
      </c>
      <c r="F528" s="63" t="n"/>
      <c r="G528" s="9" t="inlineStr">
        <is>
          <t>P1–P7 / M1–M6 / E1–E6 market codes on every IRIS level; dual IC / management streams</t>
        </is>
      </c>
      <c r="H528" s="64" t="n"/>
      <c r="I528" s="64" t="n"/>
      <c r="J528" s="63" t="n"/>
      <c r="K528" s="9" t="inlineStr">
        <is>
          <t>https://radford.aon.com/en-us/products/release-notes/2021/radford-job-architecture-leveling</t>
        </is>
      </c>
      <c r="L528" s="64" t="n"/>
      <c r="M528" s="64" t="n"/>
      <c r="N528" s="63" t="n"/>
      <c r="O528" s="9" t="inlineStr">
        <is>
          <t>Primary</t>
        </is>
      </c>
    </row>
    <row r="529" ht="41" customHeight="1">
      <c r="A529" s="14" t="inlineStr">
        <is>
          <t>S02</t>
        </is>
      </c>
      <c r="B529" s="9" t="inlineStr">
        <is>
          <t>Pave — job levels and Radford / Mercer crosswalk</t>
        </is>
      </c>
      <c r="C529" s="64" t="n"/>
      <c r="D529" s="63" t="n"/>
      <c r="E529" s="9" t="inlineStr">
        <is>
          <t>Compensation platform</t>
        </is>
      </c>
      <c r="F529" s="63" t="n"/>
      <c r="G529" s="9" t="inlineStr">
        <is>
          <t>Level names · P1 Entry, P2 Developing, P3 Career, P4 Senior, P5 Expert, P6 Principal; M3 Manager … M6 Senior Director and the Radford ↔ Mercer mapping</t>
        </is>
      </c>
      <c r="H529" s="64" t="n"/>
      <c r="I529" s="64" t="n"/>
      <c r="J529" s="63" t="n"/>
      <c r="K529" s="9" t="inlineStr">
        <is>
          <t>https://support.pave.com/articles/understand-job-levels-SiKTjMHZtr.md</t>
        </is>
      </c>
      <c r="L529" s="64" t="n"/>
      <c r="M529" s="64" t="n"/>
      <c r="N529" s="63" t="n"/>
      <c r="O529" s="9" t="inlineStr">
        <is>
          <t>Primary</t>
        </is>
      </c>
    </row>
    <row r="530" ht="67" customHeight="1">
      <c r="A530" s="14" t="inlineStr">
        <is>
          <t>S03</t>
        </is>
      </c>
      <c r="B530" s="9" t="inlineStr">
        <is>
          <t>Mercer career levels · Executive, Management, Professional, Para-professional</t>
        </is>
      </c>
      <c r="C530" s="64" t="n"/>
      <c r="D530" s="63" t="n"/>
      <c r="E530" s="9" t="inlineStr">
        <is>
          <t>Survey levelling system</t>
        </is>
      </c>
      <c r="F530" s="63" t="n"/>
      <c r="G530" s="9" t="inlineStr">
        <is>
          <t>Management · M3+ = more time managing others' work than doing own work; M2 can be a team lead who also does the work; Mercer team-leader roles lead 2+ professionals → IRIS track rules · the 3-report manager threshold is IRIS's own rule</t>
        </is>
      </c>
      <c r="H530" s="64" t="n"/>
      <c r="I530" s="64" t="n"/>
      <c r="J530" s="63" t="n"/>
      <c r="K530" s="9" t="inlineStr">
        <is>
          <t>https://help.figures.hr/en/articles/389223-mercer-levels ; https://info.mercer.com/rs/521-DEV-513/images/MLS-Job-Catalogue.pdf</t>
        </is>
      </c>
      <c r="L530" s="64" t="n"/>
      <c r="M530" s="64" t="n"/>
      <c r="N530" s="63" t="n"/>
      <c r="O530" s="9" t="inlineStr">
        <is>
          <t>Secondary</t>
        </is>
      </c>
    </row>
    <row r="531" ht="41" customHeight="1">
      <c r="A531" s="14" t="inlineStr">
        <is>
          <t>S04</t>
        </is>
      </c>
      <c r="B531" s="9" t="inlineStr">
        <is>
          <t>Mercer IPE · International Position Evaluation</t>
        </is>
      </c>
      <c r="C531" s="64" t="n"/>
      <c r="D531" s="63" t="n"/>
      <c r="E531" s="9" t="inlineStr">
        <is>
          <t>Job-evaluation method</t>
        </is>
      </c>
      <c r="F531" s="63" t="n"/>
      <c r="G531" s="9" t="inlineStr">
        <is>
          <t>Factors Impact, Communication, Innovation, Knowledge · plus Effort &amp; Working Conditions, not used by IRIS → mapped to the IRIS six factors</t>
        </is>
      </c>
      <c r="H531" s="64" t="n"/>
      <c r="I531" s="64" t="n"/>
      <c r="J531" s="63" t="n"/>
      <c r="K531" s="9" t="inlineStr">
        <is>
          <t>https://www.mercer.com/en-in/solutions/talent-and-rewards/job-architecture/job-evaluation-ipe/</t>
        </is>
      </c>
      <c r="L531" s="64" t="n"/>
      <c r="M531" s="64" t="n"/>
      <c r="N531" s="63" t="n"/>
      <c r="O531" s="9" t="inlineStr">
        <is>
          <t>Primary</t>
        </is>
      </c>
    </row>
    <row r="532" ht="67" customHeight="1">
      <c r="A532" s="14" t="inlineStr">
        <is>
          <t>S05</t>
        </is>
      </c>
      <c r="B532" s="9" t="inlineStr">
        <is>
          <t>Korn Ferry Hay Guide Chart-Profile method</t>
        </is>
      </c>
      <c r="C532" s="64" t="n"/>
      <c r="D532" s="63" t="n"/>
      <c r="E532" s="9" t="inlineStr">
        <is>
          <t>Job-evaluation method</t>
        </is>
      </c>
      <c r="F532" s="63" t="n"/>
      <c r="G532" s="9" t="inlineStr">
        <is>
          <t>Factors Know-How, Problem Solving, Accountability · plus Working Conditions where it applies; used by 5,000+ private and public organisations</t>
        </is>
      </c>
      <c r="H532" s="64" t="n"/>
      <c r="I532" s="64" t="n"/>
      <c r="J532" s="63" t="n"/>
      <c r="K532" s="9" t="inlineStr">
        <is>
          <t>https://www.gov.nl.ca/exec/tbs/department/branches/classification/what-is-the-korn-ferry-hay-group-guide-chart-profile-method-of-job-evaluation/ ; https://www.uwo.ca/humanresources/wjec/docs/hay_method_overview.pdf</t>
        </is>
      </c>
      <c r="L532" s="64" t="n"/>
      <c r="M532" s="64" t="n"/>
      <c r="N532" s="63" t="n"/>
      <c r="O532" s="9" t="inlineStr">
        <is>
          <t>Primary</t>
        </is>
      </c>
    </row>
    <row r="533" ht="67" customHeight="1">
      <c r="A533" s="14" t="inlineStr">
        <is>
          <t>S06</t>
        </is>
      </c>
      <c r="B533" s="9" t="inlineStr">
        <is>
          <t>Hay short profile · A / L / P</t>
        </is>
      </c>
      <c r="C533" s="64" t="n"/>
      <c r="D533" s="63" t="n"/>
      <c r="E533" s="9" t="inlineStr">
        <is>
          <t>Job-evaluation method</t>
        </is>
      </c>
      <c r="F533" s="63" t="n"/>
      <c r="G533" s="9" t="inlineStr">
        <is>
          <t>A-profile = accountability exceeds problem solving · line, results-led; L = problem solving equals accountability · level profile; P = problem solving exceeds accountability · research, thinking-led → IRIS work-type tilts</t>
        </is>
      </c>
      <c r="H533" s="64" t="n"/>
      <c r="I533" s="64" t="n"/>
      <c r="J533" s="63" t="n"/>
      <c r="K533" s="9" t="inlineStr">
        <is>
          <t>https://peoplecentre.wordpress.com/2016/10/02/hay-job-evaluation-methodology-the-short-profile/</t>
        </is>
      </c>
      <c r="L533" s="64" t="n"/>
      <c r="M533" s="64" t="n"/>
      <c r="N533" s="63" t="n"/>
      <c r="O533" s="9" t="inlineStr">
        <is>
          <t>Secondary</t>
        </is>
      </c>
    </row>
    <row r="534" ht="41" customHeight="1">
      <c r="A534" s="14" t="inlineStr">
        <is>
          <t>S07</t>
        </is>
      </c>
      <c r="B534" s="9" t="inlineStr">
        <is>
          <t>WTW Global Grading System</t>
        </is>
      </c>
      <c r="C534" s="64" t="n"/>
      <c r="D534" s="63" t="n"/>
      <c r="E534" s="9" t="inlineStr">
        <is>
          <t>Job-levelling method</t>
        </is>
      </c>
      <c r="F534" s="63" t="n"/>
      <c r="G534" s="9" t="inlineStr">
        <is>
          <t>Two-step banding then grading; separate management and IC paths; 16–25 grades by organisation size → IRIS band-then-level design</t>
        </is>
      </c>
      <c r="H534" s="64" t="n"/>
      <c r="I534" s="64" t="n"/>
      <c r="J534" s="63" t="n"/>
      <c r="K534" s="9" t="inlineStr">
        <is>
          <t>https://assets.publishing.service.gov.uk/media/66a370440808eaf43b50d7b2/WTW_OME-STRB_Job_Levelling_FOR_PUBLICATION.pdf</t>
        </is>
      </c>
      <c r="L534" s="64" t="n"/>
      <c r="M534" s="64" t="n"/>
      <c r="N534" s="63" t="n"/>
      <c r="O534" s="9" t="inlineStr">
        <is>
          <t>Primary</t>
        </is>
      </c>
    </row>
    <row r="535" ht="54" customHeight="1">
      <c r="A535" s="14" t="inlineStr">
        <is>
          <t>S08</t>
        </is>
      </c>
      <c r="B535" s="9" t="inlineStr">
        <is>
          <t>SFIA 9 — levels of responsibility</t>
        </is>
      </c>
      <c r="C535" s="64" t="n"/>
      <c r="D535" s="63" t="n"/>
      <c r="E535" s="9" t="inlineStr">
        <is>
          <t>Skills framework</t>
        </is>
      </c>
      <c r="F535" s="63" t="n"/>
      <c r="G535" s="9" t="inlineStr">
        <is>
          <t>7 levels · Follow, Assist, Apply, Enable, Ensure/advise, Initiate/influence, Set strategy defined by autonomy, influence, complexity → factor anchors and the 1–5 proficiency scale</t>
        </is>
      </c>
      <c r="H535" s="64" t="n"/>
      <c r="I535" s="64" t="n"/>
      <c r="J535" s="63" t="n"/>
      <c r="K535" s="9" t="inlineStr">
        <is>
          <t>https://sfia-online.org/en/about-sfia/how-sfia-works</t>
        </is>
      </c>
      <c r="L535" s="64" t="n"/>
      <c r="M535" s="64" t="n"/>
      <c r="N535" s="63" t="n"/>
      <c r="O535" s="9" t="inlineStr">
        <is>
          <t>Primary</t>
        </is>
      </c>
    </row>
    <row r="536" ht="54" customHeight="1">
      <c r="A536" s="14" t="inlineStr">
        <is>
          <t>S09</t>
        </is>
      </c>
      <c r="B536" s="9" t="inlineStr">
        <is>
          <t>McKinsey — spans of control archetypes</t>
        </is>
      </c>
      <c r="C536" s="64" t="n"/>
      <c r="D536" s="63" t="n"/>
      <c r="E536" s="9" t="inlineStr">
        <is>
          <t>Organisation-design research</t>
        </is>
      </c>
      <c r="F536" s="63" t="n"/>
      <c r="G536" s="9" t="inlineStr">
        <is>
          <t>Player/coach 3–5, coach 6–7, supervisor 8–10, facilitator 11–15, coordinator 15+ → IRIS span norms</t>
        </is>
      </c>
      <c r="H536" s="64" t="n"/>
      <c r="I536" s="64" t="n"/>
      <c r="J536" s="63" t="n"/>
      <c r="K536" s="9" t="inlineStr">
        <is>
          <t>https://www.mckinsey.com/capabilities/people-and-organizational-performance/our-insights/how-to-identify-the-right-spans-of-control-for-your-organization</t>
        </is>
      </c>
      <c r="L536" s="64" t="n"/>
      <c r="M536" s="64" t="n"/>
      <c r="N536" s="63" t="n"/>
      <c r="O536" s="9" t="inlineStr">
        <is>
          <t>Primary</t>
        </is>
      </c>
    </row>
    <row r="537" ht="28" customHeight="1">
      <c r="A537" s="14" t="inlineStr">
        <is>
          <t>S10</t>
        </is>
      </c>
      <c r="B537" s="9" t="inlineStr">
        <is>
          <t>Levelling guides · Ravio, CareerBird, Careerminds</t>
        </is>
      </c>
      <c r="C537" s="64" t="n"/>
      <c r="D537" s="63" t="n"/>
      <c r="E537" s="9" t="inlineStr">
        <is>
          <t>Published guidance</t>
        </is>
      </c>
      <c r="F537" s="63" t="n"/>
      <c r="G537" s="9" t="inlineStr">
        <is>
          <t>≈ 12 levels suit 500–1,500 people → IRIS uses 12 employee levels</t>
        </is>
      </c>
      <c r="H537" s="64" t="n"/>
      <c r="I537" s="64" t="n"/>
      <c r="J537" s="63" t="n"/>
      <c r="K537" s="9" t="inlineStr">
        <is>
          <t>Public web guides</t>
        </is>
      </c>
      <c r="L537" s="64" t="n"/>
      <c r="M537" s="64" t="n"/>
      <c r="N537" s="63" t="n"/>
      <c r="O537" s="9" t="inlineStr">
        <is>
          <t>Secondary</t>
        </is>
      </c>
    </row>
    <row r="538" ht="54" customHeight="1">
      <c r="A538" s="14" t="inlineStr">
        <is>
          <t>S11</t>
        </is>
      </c>
      <c r="B538" s="9" t="inlineStr">
        <is>
          <t>WorldatWork — salary structure policies and practices</t>
        </is>
      </c>
      <c r="C538" s="64" t="n"/>
      <c r="D538" s="63" t="n"/>
      <c r="E538" s="9" t="inlineStr">
        <is>
          <t>Pay-structure research</t>
        </is>
      </c>
      <c r="F538" s="63" t="n"/>
      <c r="G538" s="9" t="inlineStr">
        <is>
          <t>Graded salary structures, range spread and midpoint concepts. It does not give range spreads by level: the spreads and midpoint steps in M14 are IRIS working assumptions until a pay survey is bought</t>
        </is>
      </c>
      <c r="H538" s="64" t="n"/>
      <c r="I538" s="64" t="n"/>
      <c r="J538" s="63" t="n"/>
      <c r="K538" s="9" t="inlineStr">
        <is>
          <t>https://worldatwork.org/media/CDN/dist/CDN2/documents/pdf/resources/research/Salary-Structure-Policies-Practices-2012.pdf</t>
        </is>
      </c>
      <c r="L538" s="64" t="n"/>
      <c r="M538" s="64" t="n"/>
      <c r="N538" s="63" t="n"/>
      <c r="O538" s="9" t="inlineStr">
        <is>
          <t>Secondary</t>
        </is>
      </c>
    </row>
    <row r="539" ht="54" customHeight="1">
      <c r="A539" s="14" t="inlineStr">
        <is>
          <t>S12</t>
        </is>
      </c>
      <c r="B539" s="9" t="inlineStr">
        <is>
          <t>World Economic Forum — Future of Jobs Report 2025</t>
        </is>
      </c>
      <c r="C539" s="64" t="n"/>
      <c r="D539" s="63" t="n"/>
      <c r="E539" s="9" t="inlineStr">
        <is>
          <t>Skills outlook</t>
        </is>
      </c>
      <c r="F539" s="63" t="n"/>
      <c r="G539" s="9" t="inlineStr">
        <is>
          <r>
            <rPr>
              <rFont val="Calibri"/>
              <b val="1"/>
              <sz val="10"/>
            </rPr>
            <t>Fastest-growing skills:</t>
          </r>
          <r>
            <rPr>
              <rFont val="Calibri"/>
              <sz val="10"/>
            </rPr>
            <t xml:space="preserve"> AI &amp; big data, networks &amp; cybersecurity, technological literacy; creative thinking and resilience rising in importance alongside them → Future-ready cluster</t>
          </r>
        </is>
      </c>
      <c r="H539" s="64" t="n"/>
      <c r="I539" s="64" t="n"/>
      <c r="J539" s="63" t="n"/>
      <c r="K539" s="9" t="inlineStr">
        <is>
          <t>https://www.weforum.org/publications/the-future-of-jobs-report-2025/digest/</t>
        </is>
      </c>
      <c r="L539" s="64" t="n"/>
      <c r="M539" s="64" t="n"/>
      <c r="N539" s="63" t="n"/>
      <c r="O539" s="9" t="inlineStr">
        <is>
          <t>Primary</t>
        </is>
      </c>
    </row>
    <row r="540" ht="28" customHeight="1">
      <c r="A540" s="14" t="inlineStr">
        <is>
          <t>S13</t>
        </is>
      </c>
      <c r="B540" s="9" t="inlineStr">
        <is>
          <t>PMI Talent Triangle</t>
        </is>
      </c>
      <c r="C540" s="64" t="n"/>
      <c r="D540" s="63" t="n"/>
      <c r="E540" s="9" t="inlineStr">
        <is>
          <t>Competency model</t>
        </is>
      </c>
      <c r="F540" s="63" t="n"/>
      <c r="G540" s="9" t="inlineStr">
        <is>
          <t>Ways of Working, Power Skills, Business Acumen → leadership and project competencies</t>
        </is>
      </c>
      <c r="H540" s="64" t="n"/>
      <c r="I540" s="64" t="n"/>
      <c r="J540" s="63" t="n"/>
      <c r="K540" s="9" t="inlineStr">
        <is>
          <t>https://www.pmi.org/certifications/certification-resources/maintain/talent-triangle</t>
        </is>
      </c>
      <c r="L540" s="64" t="n"/>
      <c r="M540" s="64" t="n"/>
      <c r="N540" s="63" t="n"/>
      <c r="O540" s="9" t="inlineStr">
        <is>
          <t>Primary</t>
        </is>
      </c>
    </row>
    <row r="541" ht="67" customHeight="1">
      <c r="A541" s="14" t="inlineStr">
        <is>
          <t>S14</t>
        </is>
      </c>
      <c r="B541" s="9" t="inlineStr">
        <is>
          <t>SHL Universal Competency Framework — the Great Eight</t>
        </is>
      </c>
      <c r="C541" s="64" t="n"/>
      <c r="D541" s="63" t="n"/>
      <c r="E541" s="9" t="inlineStr">
        <is>
          <t>Competency model</t>
        </is>
      </c>
      <c r="F541" s="63" t="n"/>
      <c r="G541" s="9" t="inlineStr">
        <is>
          <t>Leading &amp; Deciding; Supporting &amp; Co-operating; Interacting &amp; Presenting; Analysing &amp; Interpreting; Creating &amp; Conceptualising; Organising &amp; Executing; Adapting &amp; Coping; Enterprising &amp; Performing → coverage check of the IRIS clusters</t>
        </is>
      </c>
      <c r="H541" s="64" t="n"/>
      <c r="I541" s="64" t="n"/>
      <c r="J541" s="63" t="n"/>
      <c r="K541" s="9" t="inlineStr">
        <is>
          <t>https://www.shl.com/assets/campaigns/global/competency-fit/universal-competency-framework-whitepaper-en.pdf</t>
        </is>
      </c>
      <c r="L541" s="64" t="n"/>
      <c r="M541" s="64" t="n"/>
      <c r="N541" s="63" t="n"/>
      <c r="O541" s="9" t="inlineStr">
        <is>
          <t>Primary</t>
        </is>
      </c>
    </row>
    <row r="542" ht="41" customHeight="1">
      <c r="A542" s="14" t="inlineStr">
        <is>
          <t>S15</t>
        </is>
      </c>
      <c r="B542" s="9" t="inlineStr">
        <is>
          <t>Korn Ferry Leadership Architect · 38 competencies in four factors: Thought, Results, People, Self</t>
        </is>
      </c>
      <c r="C542" s="64" t="n"/>
      <c r="D542" s="63" t="n"/>
      <c r="E542" s="9" t="inlineStr">
        <is>
          <t>Competency model</t>
        </is>
      </c>
      <c r="F542" s="63" t="n"/>
      <c r="G542" s="9" t="inlineStr">
        <is>
          <t>Behavioural anchors and coverage check for Core and Leadership clusters</t>
        </is>
      </c>
      <c r="H542" s="64" t="n"/>
      <c r="I542" s="64" t="n"/>
      <c r="J542" s="63" t="n"/>
      <c r="K542" s="9" t="inlineStr">
        <is>
          <t>https://cardinalatwork.stanford.edu/careers/performance-management/competencies</t>
        </is>
      </c>
      <c r="L542" s="64" t="n"/>
      <c r="M542" s="64" t="n"/>
      <c r="N542" s="63" t="n"/>
      <c r="O542" s="9" t="inlineStr">
        <is>
          <t>Secondary</t>
        </is>
      </c>
    </row>
    <row r="543" ht="41" customHeight="1">
      <c r="A543" s="14" t="inlineStr">
        <is>
          <t>S16</t>
        </is>
      </c>
      <c r="B543" s="9" t="inlineStr">
        <is>
          <t>Google Project Oxygen — 10 behaviours of great managers</t>
        </is>
      </c>
      <c r="C543" s="64" t="n"/>
      <c r="D543" s="63" t="n"/>
      <c r="E543" s="9" t="inlineStr">
        <is>
          <t>Manager research</t>
        </is>
      </c>
      <c r="F543" s="63" t="n"/>
      <c r="G543" s="9" t="inlineStr">
        <is>
          <t>Coach, empower, inclusive team, results, communicate, career development, vision, technical skill, collaborate, decide → Leadership cluster indicators</t>
        </is>
      </c>
      <c r="H543" s="64" t="n"/>
      <c r="I543" s="64" t="n"/>
      <c r="J543" s="63" t="n"/>
      <c r="K543" s="9" t="inlineStr">
        <is>
          <t>https://rework.withgoogle.com/intl/en/guides/following-the-data-the-research-behind-great-managers</t>
        </is>
      </c>
      <c r="L543" s="64" t="n"/>
      <c r="M543" s="64" t="n"/>
      <c r="N543" s="63" t="n"/>
      <c r="O543" s="9" t="inlineStr">
        <is>
          <t>Secondary</t>
        </is>
      </c>
    </row>
    <row r="544" ht="28" customHeight="1">
      <c r="A544" s="14" t="inlineStr">
        <is>
          <t>S17</t>
        </is>
      </c>
      <c r="B544" s="9" t="inlineStr">
        <is>
          <t>Digital Education Council — AI literacy framework</t>
        </is>
      </c>
      <c r="C544" s="64" t="n"/>
      <c r="D544" s="63" t="n"/>
      <c r="E544" s="9" t="inlineStr">
        <is>
          <t>AI literacy model</t>
        </is>
      </c>
      <c r="F544" s="63" t="n"/>
      <c r="G544" s="9" t="inlineStr">
        <is>
          <t>Understanding, critical evaluation and responsible use of AI → AI Literacy indicators</t>
        </is>
      </c>
      <c r="H544" s="64" t="n"/>
      <c r="I544" s="64" t="n"/>
      <c r="J544" s="63" t="n"/>
      <c r="K544" s="9" t="inlineStr">
        <is>
          <t>Digital Education Council · public</t>
        </is>
      </c>
      <c r="L544" s="64" t="n"/>
      <c r="M544" s="64" t="n"/>
      <c r="N544" s="63" t="n"/>
      <c r="O544" s="9" t="inlineStr">
        <is>
          <t>Secondary</t>
        </is>
      </c>
    </row>
    <row r="545" ht="28" customHeight="1">
      <c r="A545" s="14" t="inlineStr">
        <is>
          <t>S18</t>
        </is>
      </c>
      <c r="B545" s="9" t="inlineStr">
        <is>
          <t>SHRM BASK</t>
        </is>
      </c>
      <c r="C545" s="64" t="n"/>
      <c r="D545" s="63" t="n"/>
      <c r="E545" s="9" t="inlineStr">
        <is>
          <t>HR competency model</t>
        </is>
      </c>
      <c r="F545" s="63" t="n"/>
      <c r="G545" s="9" t="inlineStr">
        <is>
          <t>HR department technical competencies</t>
        </is>
      </c>
      <c r="H545" s="64" t="n"/>
      <c r="I545" s="64" t="n"/>
      <c r="J545" s="63" t="n"/>
      <c r="K545" s="9" t="inlineStr">
        <is>
          <t>https://www.shrm.org/credentials/certification/shrm-bask</t>
        </is>
      </c>
      <c r="L545" s="64" t="n"/>
      <c r="M545" s="64" t="n"/>
      <c r="N545" s="63" t="n"/>
      <c r="O545" s="9" t="inlineStr">
        <is>
          <t>Primary</t>
        </is>
      </c>
    </row>
    <row r="546" ht="28" customHeight="1">
      <c r="A546" s="14" t="inlineStr">
        <is>
          <t>S19</t>
        </is>
      </c>
      <c r="B546" s="9" t="inlineStr">
        <is>
          <t>CIPD Profession Map</t>
        </is>
      </c>
      <c r="C546" s="64" t="n"/>
      <c r="D546" s="63" t="n"/>
      <c r="E546" s="9" t="inlineStr">
        <is>
          <t>HR profession standard</t>
        </is>
      </c>
      <c r="F546" s="63" t="n"/>
      <c r="G546" s="9" t="inlineStr">
        <is>
          <t>HR specialist areas</t>
        </is>
      </c>
      <c r="H546" s="64" t="n"/>
      <c r="I546" s="64" t="n"/>
      <c r="J546" s="63" t="n"/>
      <c r="K546" s="9" t="inlineStr">
        <is>
          <t>https://www.cipd.org/en/the-people-profession/the-profession-map/</t>
        </is>
      </c>
      <c r="L546" s="64" t="n"/>
      <c r="M546" s="64" t="n"/>
      <c r="N546" s="63" t="n"/>
      <c r="O546" s="9" t="inlineStr">
        <is>
          <t>Primary</t>
        </is>
      </c>
    </row>
    <row r="547" ht="28" customHeight="1">
      <c r="A547" s="14" t="inlineStr">
        <is>
          <t>S20</t>
        </is>
      </c>
      <c r="B547" s="9" t="inlineStr">
        <is>
          <t>IMA Competency Framework · management accounting</t>
        </is>
      </c>
      <c r="C547" s="64" t="n"/>
      <c r="D547" s="63" t="n"/>
      <c r="E547" s="9" t="inlineStr">
        <is>
          <t>Finance competency model</t>
        </is>
      </c>
      <c r="F547" s="63" t="n"/>
      <c r="G547" s="9" t="inlineStr">
        <is>
          <t>Finance department technical competencies</t>
        </is>
      </c>
      <c r="H547" s="64" t="n"/>
      <c r="I547" s="64" t="n"/>
      <c r="J547" s="63" t="n"/>
      <c r="K547" s="9" t="inlineStr">
        <is>
          <t>https://www.imanet.org/framework</t>
        </is>
      </c>
      <c r="L547" s="64" t="n"/>
      <c r="M547" s="64" t="n"/>
      <c r="N547" s="63" t="n"/>
      <c r="O547" s="9" t="inlineStr">
        <is>
          <t>Primary</t>
        </is>
      </c>
    </row>
    <row r="548" ht="28" customHeight="1">
      <c r="A548" s="14" t="inlineStr">
        <is>
          <t>S21</t>
        </is>
      </c>
      <c r="B548" s="9" t="inlineStr">
        <is>
          <t>IIBA BABOK Guide v3</t>
        </is>
      </c>
      <c r="C548" s="64" t="n"/>
      <c r="D548" s="63" t="n"/>
      <c r="E548" s="9" t="inlineStr">
        <is>
          <t>Business-analysis standard</t>
        </is>
      </c>
      <c r="F548" s="63" t="n"/>
      <c r="G548" s="9" t="inlineStr">
        <is>
          <t>Business Analysis competencies</t>
        </is>
      </c>
      <c r="H548" s="64" t="n"/>
      <c r="I548" s="64" t="n"/>
      <c r="J548" s="63" t="n"/>
      <c r="K548" s="9" t="inlineStr">
        <is>
          <t>https://www.iiba.org</t>
        </is>
      </c>
      <c r="L548" s="64" t="n"/>
      <c r="M548" s="64" t="n"/>
      <c r="N548" s="63" t="n"/>
      <c r="O548" s="9" t="inlineStr">
        <is>
          <t>Primary</t>
        </is>
      </c>
    </row>
    <row r="549" ht="15" customHeight="1">
      <c r="A549" s="14" t="inlineStr">
        <is>
          <t>S22</t>
        </is>
      </c>
      <c r="B549" s="9" t="inlineStr">
        <is>
          <t>ISTQB</t>
        </is>
      </c>
      <c r="C549" s="64" t="n"/>
      <c r="D549" s="63" t="n"/>
      <c r="E549" s="9" t="inlineStr">
        <is>
          <t>Testing standard</t>
        </is>
      </c>
      <c r="F549" s="63" t="n"/>
      <c r="G549" s="9" t="inlineStr">
        <is>
          <t>Quality Assurance competencies and credentials</t>
        </is>
      </c>
      <c r="H549" s="64" t="n"/>
      <c r="I549" s="64" t="n"/>
      <c r="J549" s="63" t="n"/>
      <c r="K549" s="9" t="inlineStr">
        <is>
          <t>https://www.istqb.org</t>
        </is>
      </c>
      <c r="L549" s="64" t="n"/>
      <c r="M549" s="64" t="n"/>
      <c r="N549" s="63" t="n"/>
      <c r="O549" s="9" t="inlineStr">
        <is>
          <t>Primary</t>
        </is>
      </c>
    </row>
    <row r="550" ht="28" customHeight="1">
      <c r="A550" s="14" t="inlineStr">
        <is>
          <t>S23</t>
        </is>
      </c>
      <c r="B550" s="9" t="inlineStr">
        <is>
          <t>ITIL 4 and ISO/IEC 27001:2022</t>
        </is>
      </c>
      <c r="C550" s="64" t="n"/>
      <c r="D550" s="63" t="n"/>
      <c r="E550" s="9" t="inlineStr">
        <is>
          <t>IT service / security standards</t>
        </is>
      </c>
      <c r="F550" s="63" t="n"/>
      <c r="G550" s="9" t="inlineStr">
        <is>
          <t>IT &amp; Infrastructure competencies</t>
        </is>
      </c>
      <c r="H550" s="64" t="n"/>
      <c r="I550" s="64" t="n"/>
      <c r="J550" s="63" t="n"/>
      <c r="K550" s="9" t="inlineStr">
        <is>
          <t>https://www.iso.org/standard/27001</t>
        </is>
      </c>
      <c r="L550" s="64" t="n"/>
      <c r="M550" s="64" t="n"/>
      <c r="N550" s="63" t="n"/>
      <c r="O550" s="9" t="inlineStr">
        <is>
          <t>Primary</t>
        </is>
      </c>
    </row>
    <row r="551" ht="28" customHeight="1">
      <c r="A551" s="14" t="inlineStr">
        <is>
          <t>S24</t>
        </is>
      </c>
      <c r="B551" s="9" t="inlineStr">
        <is>
          <t>ICSI · Institute of Company Secretaries of India</t>
        </is>
      </c>
      <c r="C551" s="64" t="n"/>
      <c r="D551" s="63" t="n"/>
      <c r="E551" s="9" t="inlineStr">
        <is>
          <t>Statutory body</t>
        </is>
      </c>
      <c r="F551" s="63" t="n"/>
      <c r="G551" s="9" t="inlineStr">
        <is>
          <t>Secretarial &amp; Legal competencies; statutory gate for Company Secretary</t>
        </is>
      </c>
      <c r="H551" s="64" t="n"/>
      <c r="I551" s="64" t="n"/>
      <c r="J551" s="63" t="n"/>
      <c r="K551" s="9" t="inlineStr">
        <is>
          <t>https://www.icsi.edu</t>
        </is>
      </c>
      <c r="L551" s="64" t="n"/>
      <c r="M551" s="64" t="n"/>
      <c r="N551" s="63" t="n"/>
      <c r="O551" s="9" t="inlineStr">
        <is>
          <t>Primary</t>
        </is>
      </c>
    </row>
    <row r="552" ht="28" customHeight="1">
      <c r="A552" s="14" t="inlineStr">
        <is>
          <t>S25</t>
        </is>
      </c>
      <c r="B552" s="9" t="inlineStr">
        <is>
          <t>AICPA &amp; XBRL US — XBRL US GAAP Certificate</t>
        </is>
      </c>
      <c r="C552" s="64" t="n"/>
      <c r="D552" s="63" t="n"/>
      <c r="E552" s="9" t="inlineStr">
        <is>
          <t>Professional credential</t>
        </is>
      </c>
      <c r="F552" s="63" t="n"/>
      <c r="G552" s="9" t="inlineStr">
        <is>
          <t>XBRL &amp; taxonomy competency and credential</t>
        </is>
      </c>
      <c r="H552" s="64" t="n"/>
      <c r="I552" s="64" t="n"/>
      <c r="J552" s="63" t="n"/>
      <c r="K552" s="9" t="inlineStr">
        <is>
          <t>https://xbrl.us</t>
        </is>
      </c>
      <c r="L552" s="64" t="n"/>
      <c r="M552" s="64" t="n"/>
      <c r="N552" s="63" t="n"/>
      <c r="O552" s="9" t="inlineStr">
        <is>
          <t>Primary</t>
        </is>
      </c>
    </row>
    <row r="553" ht="28" customHeight="1">
      <c r="A553" s="14" t="inlineStr">
        <is>
          <t>S26</t>
        </is>
      </c>
      <c r="B553" s="9" t="inlineStr">
        <is>
          <t>ILO ISCO-08 · India's NCO-2015 follows the same structure</t>
        </is>
      </c>
      <c r="C553" s="64" t="n"/>
      <c r="D553" s="63" t="n"/>
      <c r="E553" s="9" t="inlineStr">
        <is>
          <t>Occupation classification</t>
        </is>
      </c>
      <c r="F553" s="63" t="n"/>
      <c r="G553" s="9" t="inlineStr">
        <is>
          <t>Each job family is anchored to an ISCO-08 unit group so families are standard, not invented</t>
        </is>
      </c>
      <c r="H553" s="64" t="n"/>
      <c r="I553" s="64" t="n"/>
      <c r="J553" s="63" t="n"/>
      <c r="K553" s="9" t="inlineStr">
        <is>
          <t>https://worldoftaxonomy.com/system/isco_08/node/251</t>
        </is>
      </c>
      <c r="L553" s="64" t="n"/>
      <c r="M553" s="64" t="n"/>
      <c r="N553" s="63" t="n"/>
      <c r="O553" s="9" t="inlineStr">
        <is>
          <t>Primary</t>
        </is>
      </c>
    </row>
    <row r="554" ht="67" customHeight="1">
      <c r="A554" s="14" t="inlineStr">
        <is>
          <t>S27</t>
        </is>
      </c>
      <c r="B554" s="9" t="inlineStr">
        <is>
          <t>Deloitte — The skills-based organization: a new operating model for work and the workforce</t>
        </is>
      </c>
      <c r="C554" s="64" t="n"/>
      <c r="D554" s="63" t="n"/>
      <c r="E554" s="9" t="inlineStr">
        <is>
          <t>Workforce research</t>
        </is>
      </c>
      <c r="F554" s="63" t="n"/>
      <c r="G554" s="9" t="inlineStr">
        <is>
          <t>71% of workers already perform some work outside the scope of their job descriptions · The skills-based organization, Deloitte Insights, 7 Sep 2022 → sub-families describe actual work; skills tracked per person</t>
        </is>
      </c>
      <c r="H554" s="64" t="n"/>
      <c r="I554" s="64" t="n"/>
      <c r="J554" s="63" t="n"/>
      <c r="K554" s="9" t="inlineStr">
        <is>
          <t>https://www.deloitte.com/us/en/insights/topics/talent/organizational-skill-based-hiring.html</t>
        </is>
      </c>
      <c r="L554" s="64" t="n"/>
      <c r="M554" s="64" t="n"/>
      <c r="N554" s="63" t="n"/>
      <c r="O554" s="9" t="inlineStr">
        <is>
          <t>Primary</t>
        </is>
      </c>
    </row>
    <row r="555" ht="54" customHeight="1">
      <c r="A555" s="14" t="inlineStr">
        <is>
          <t>S30</t>
        </is>
      </c>
      <c r="B555" s="9" t="inlineStr">
        <is>
          <t>Workiva — engineering levels · Levels.fyi</t>
        </is>
      </c>
      <c r="C555" s="64" t="n"/>
      <c r="D555" s="63" t="n"/>
      <c r="E555" s="9" t="inlineStr">
        <is>
          <t>Product peer · XBRL / regtech SaaS</t>
        </is>
      </c>
      <c r="F555" s="63" t="n"/>
      <c r="G555" s="9" t="inlineStr">
        <is>
          <t>Associate SE → SE → Senior SE → Staff SE → Senior Staff SE · Levels.fyi pages could not be loaded; level names confirmed from Levels.fyi page titles and Workiva postings</t>
        </is>
      </c>
      <c r="H555" s="64" t="n"/>
      <c r="I555" s="64" t="n"/>
      <c r="J555" s="63" t="n"/>
      <c r="K555" s="9" t="inlineStr">
        <is>
          <t>https://www.levels.fyi/companies/workiva/salaries/software-engineer</t>
        </is>
      </c>
      <c r="L555" s="64" t="n"/>
      <c r="M555" s="64" t="n"/>
      <c r="N555" s="63" t="n"/>
      <c r="O555" s="9" t="inlineStr">
        <is>
          <t>Secondary</t>
        </is>
      </c>
    </row>
    <row r="556" ht="28" customHeight="1">
      <c r="A556" s="14" t="inlineStr">
        <is>
          <t>S31</t>
        </is>
      </c>
      <c r="B556" s="9" t="inlineStr">
        <is>
          <t>DataTracks — careers site</t>
        </is>
      </c>
      <c r="C556" s="64" t="n"/>
      <c r="D556" s="63" t="n"/>
      <c r="E556" s="9" t="inlineStr">
        <is>
          <t>Services peer · XBRL / iXBRL filing, India</t>
        </is>
      </c>
      <c r="F556" s="63" t="n"/>
      <c r="G556" s="9" t="inlineStr">
        <is>
          <r>
            <rPr>
              <rFont val="Calibri"/>
              <b val="1"/>
              <sz val="10"/>
            </rPr>
            <t>Two published rungs:</t>
          </r>
          <r>
            <rPr>
              <rFont val="Calibri"/>
              <sz val="10"/>
            </rPr>
            <t xml:space="preserve"> Associate · freshers → Senior Associate · 2–5 yrs; nothing above is published</t>
          </r>
        </is>
      </c>
      <c r="H556" s="64" t="n"/>
      <c r="I556" s="64" t="n"/>
      <c r="J556" s="63" t="n"/>
      <c r="K556" s="9" t="inlineStr">
        <is>
          <t>https://www.datatracks.com/in/careers/</t>
        </is>
      </c>
      <c r="L556" s="64" t="n"/>
      <c r="M556" s="64" t="n"/>
      <c r="N556" s="63" t="n"/>
      <c r="O556" s="9" t="inlineStr">
        <is>
          <t>Job postings</t>
        </is>
      </c>
    </row>
    <row r="557" ht="54" customHeight="1">
      <c r="A557" s="14" t="inlineStr">
        <is>
          <t>S32</t>
        </is>
      </c>
      <c r="B557" s="9" t="inlineStr">
        <is>
          <t>Google / Microsoft / Amazon engineering levels</t>
        </is>
      </c>
      <c r="C557" s="64" t="n"/>
      <c r="D557" s="63" t="n"/>
      <c r="E557" s="9" t="inlineStr">
        <is>
          <t>Global product companies</t>
        </is>
      </c>
      <c r="F557" s="63" t="n"/>
      <c r="G557" s="9" t="inlineStr">
        <is>
          <r>
            <rPr>
              <rFont val="Calibri"/>
              <b val="1"/>
              <sz val="10"/>
            </rPr>
            <t>Core bands used:</t>
          </r>
          <r>
            <rPr>
              <rFont val="Calibri"/>
              <sz val="10"/>
            </rPr>
            <t xml:space="preserve"> Google L3–L8 · Microsoft 59–68 · Amazon L4–L8 · full ladders run Google L2–L11, Microsoft 57–80+, Amazon L4–L10; equivalences and typical experience</t>
          </r>
        </is>
      </c>
      <c r="H557" s="64" t="n"/>
      <c r="I557" s="64" t="n"/>
      <c r="J557" s="63" t="n"/>
      <c r="K557" s="9" t="inlineStr">
        <is>
          <t>https://testrigor.com/blog/engineering-levels-in-different-companies-compared/ ; https://rajendrauppal.substack.com/p/understanding-levels-at-google-microsoft</t>
        </is>
      </c>
      <c r="L557" s="64" t="n"/>
      <c r="M557" s="64" t="n"/>
      <c r="N557" s="63" t="n"/>
      <c r="O557" s="9" t="inlineStr">
        <is>
          <t>Secondary</t>
        </is>
      </c>
    </row>
    <row r="558" ht="54" customHeight="1">
      <c r="A558" s="14" t="inlineStr">
        <is>
          <t>S33</t>
        </is>
      </c>
      <c r="B558" s="9" t="inlineStr">
        <is>
          <t>Infosys job levels</t>
        </is>
      </c>
      <c r="C558" s="64" t="n"/>
      <c r="D558" s="63" t="n"/>
      <c r="E558" s="9" t="inlineStr">
        <is>
          <t>Indian IT services</t>
        </is>
      </c>
      <c r="F558" s="63" t="n"/>
      <c r="G558" s="9" t="inlineStr">
        <is>
          <t>JL3B Systems Engineer · 0–3 yrs → JL3A Senior SE → JL4 Technology Analyst → JL5 Technology Lead → JL6B Architect / PM → JL6A Senior Architect</t>
        </is>
      </c>
      <c r="H558" s="64" t="n"/>
      <c r="I558" s="64" t="n"/>
      <c r="J558" s="63" t="n"/>
      <c r="K558" s="9" t="inlineStr">
        <is>
          <t>https://www.designgurus.io/blog/infosys-job-levels</t>
        </is>
      </c>
      <c r="L558" s="64" t="n"/>
      <c r="M558" s="64" t="n"/>
      <c r="N558" s="63" t="n"/>
      <c r="O558" s="9" t="inlineStr">
        <is>
          <t>Indicative</t>
        </is>
      </c>
    </row>
    <row r="559" ht="54" customHeight="1">
      <c r="A559" s="14" t="inlineStr">
        <is>
          <t>S34</t>
        </is>
      </c>
      <c r="B559" s="9" t="inlineStr">
        <is>
          <t>TCS grades</t>
        </is>
      </c>
      <c r="C559" s="64" t="n"/>
      <c r="D559" s="63" t="n"/>
      <c r="E559" s="9" t="inlineStr">
        <is>
          <t>Indian IT services</t>
        </is>
      </c>
      <c r="F559" s="63" t="n"/>
      <c r="G559" s="9" t="inlineStr">
        <is>
          <t>C1Y ASE Trainee → C1 ASE / System Engineer → C2 IT Analyst → C3A Assistant Consultant → C3B Associate Consultant → C4 Consultant → C5 Senior Consultant → SP1 Principal Consultant</t>
        </is>
      </c>
      <c r="H559" s="64" t="n"/>
      <c r="I559" s="64" t="n"/>
      <c r="J559" s="63" t="n"/>
      <c r="K559" s="9" t="inlineStr">
        <is>
          <t>https://www.designgurus.io/blog/tcs-job-levels</t>
        </is>
      </c>
      <c r="L559" s="64" t="n"/>
      <c r="M559" s="64" t="n"/>
      <c r="N559" s="63" t="n"/>
      <c r="O559" s="9" t="inlineStr">
        <is>
          <t>Indicative</t>
        </is>
      </c>
    </row>
    <row r="560" ht="54" customHeight="1">
      <c r="A560" s="14" t="inlineStr">
        <is>
          <t>S35</t>
        </is>
      </c>
      <c r="B560" s="9" t="inlineStr">
        <is>
          <t>Accenture India career levels</t>
        </is>
      </c>
      <c r="C560" s="64" t="n"/>
      <c r="D560" s="63" t="n"/>
      <c r="E560" s="9" t="inlineStr">
        <is>
          <t>Global IT services</t>
        </is>
      </c>
      <c r="F560" s="63" t="n"/>
      <c r="G560" s="9" t="inlineStr">
        <is>
          <t>L12 Associate · 0–1 yrs → L11 Analyst → L10 Senior Analyst → L9 Team Lead / Consultant → L8 Associate Manager → L7 Manager → L6 Senior Manager → L5+ leadership</t>
        </is>
      </c>
      <c r="H560" s="64" t="n"/>
      <c r="I560" s="64" t="n"/>
      <c r="J560" s="63" t="n"/>
      <c r="K560" s="9" t="inlineStr">
        <is>
          <t>https://jobrise.io/hi/blog/accenture-salary-package-2026-india/</t>
        </is>
      </c>
      <c r="L560" s="64" t="n"/>
      <c r="M560" s="64" t="n"/>
      <c r="N560" s="63" t="n"/>
      <c r="O560" s="9" t="inlineStr">
        <is>
          <t>Indicative</t>
        </is>
      </c>
    </row>
    <row r="561" ht="41" customHeight="1">
      <c r="A561" s="14" t="inlineStr">
        <is>
          <t>S36</t>
        </is>
      </c>
      <c r="B561" s="9" t="inlineStr">
        <is>
          <t>Deloitte India / USI hierarchy</t>
        </is>
      </c>
      <c r="C561" s="64" t="n"/>
      <c r="D561" s="63" t="n"/>
      <c r="E561" s="9" t="inlineStr">
        <is>
          <t>Big Four consulting</t>
        </is>
      </c>
      <c r="F561" s="63" t="n"/>
      <c r="G561" s="9" t="inlineStr">
        <is>
          <t>Associate Analyst → Analyst → Consultant → Senior Consultant → Manager → Senior Manager → Managing Director → Partner / Principal</t>
        </is>
      </c>
      <c r="H561" s="64" t="n"/>
      <c r="I561" s="64" t="n"/>
      <c r="J561" s="63" t="n"/>
      <c r="K561" s="9" t="inlineStr">
        <is>
          <t>https://networkinterview.com/technical-hierarchy-deloitte-india/</t>
        </is>
      </c>
      <c r="L561" s="64" t="n"/>
      <c r="M561" s="64" t="n"/>
      <c r="N561" s="63" t="n"/>
      <c r="O561" s="9" t="inlineStr">
        <is>
          <t>Indicative</t>
        </is>
      </c>
    </row>
    <row r="562" ht="41" customHeight="1">
      <c r="A562" s="14" t="inlineStr">
        <is>
          <t>S37</t>
        </is>
      </c>
      <c r="B562" s="9" t="inlineStr">
        <is>
          <t>GitLab — job frameworks and layers</t>
        </is>
      </c>
      <c r="C562" s="64" t="n"/>
      <c r="D562" s="63" t="n"/>
      <c r="E562" s="9" t="inlineStr">
        <is>
          <t>Product company · public handbook</t>
        </is>
      </c>
      <c r="F562" s="63" t="n"/>
      <c r="G562" s="9" t="inlineStr">
        <is>
          <t>Two job frameworks · IC, people manager; ≤ 8 layers; Staff ↔ Manager, Principal ↔ Senior Manager, Distinguished ↔ Director, Fellow ↔ VP</t>
        </is>
      </c>
      <c r="H562" s="64" t="n"/>
      <c r="I562" s="64" t="n"/>
      <c r="J562" s="63" t="n"/>
      <c r="K562" s="9" t="inlineStr">
        <is>
          <t>https://handbook.gitlab.com/handbook/company/structure/</t>
        </is>
      </c>
      <c r="L562" s="64" t="n"/>
      <c r="M562" s="64" t="n"/>
      <c r="N562" s="63" t="n"/>
      <c r="O562" s="9" t="inlineStr">
        <is>
          <t>Primary</t>
        </is>
      </c>
    </row>
    <row r="563" ht="41" customHeight="1">
      <c r="A563" s="14" t="inlineStr">
        <is>
          <t>S38</t>
        </is>
      </c>
      <c r="B563" s="9" t="inlineStr">
        <is>
          <t>Infosys, McKinsey, Unilever / HUL, Google — hiring practices</t>
        </is>
      </c>
      <c r="C563" s="64" t="n"/>
      <c r="D563" s="63" t="n"/>
      <c r="E563" s="9" t="inlineStr">
        <is>
          <t>Practice benchmarks</t>
        </is>
      </c>
      <c r="F563" s="63" t="n"/>
      <c r="G563" s="9" t="inlineStr">
        <is>
          <t>Tiered campus entry; entry level by qualification; management-trainee programme; independent levelling panel</t>
        </is>
      </c>
      <c r="H563" s="64" t="n"/>
      <c r="I563" s="64" t="n"/>
      <c r="J563" s="63" t="n"/>
      <c r="K563" s="9" t="inlineStr">
        <is>
          <t>Public careers / recruiting pages</t>
        </is>
      </c>
      <c r="L563" s="64" t="n"/>
      <c r="M563" s="64" t="n"/>
      <c r="N563" s="63" t="n"/>
      <c r="O563" s="9" t="inlineStr">
        <is>
          <t>Secondary</t>
        </is>
      </c>
    </row>
    <row r="564" ht="41" customHeight="1">
      <c r="A564" s="14" t="inlineStr">
        <is>
          <t>S44</t>
        </is>
      </c>
      <c r="B564" s="9" t="inlineStr">
        <is>
          <t>Software Engineering at Google — ch. 5 'How to Lead a Team' · Tech Lead Manager</t>
        </is>
      </c>
      <c r="C564" s="64" t="n"/>
      <c r="D564" s="63" t="n"/>
      <c r="E564" s="9" t="inlineStr">
        <is>
          <t>Practice benchmark</t>
        </is>
      </c>
      <c r="F564" s="63" t="n"/>
      <c r="G564" s="9" t="inlineStr">
        <is>
          <t>The Tech Lead Manager · TLM — a hybrid who leads a team and still contributes technically → B+ Player-Coach</t>
        </is>
      </c>
      <c r="H564" s="64" t="n"/>
      <c r="I564" s="64" t="n"/>
      <c r="J564" s="63" t="n"/>
      <c r="K564" s="9" t="inlineStr">
        <is>
          <t>https://abseil.io/resources/swe-book/html/ch05.html ; https://newsletter.pragmaticengineer.com/p/leading-effective-engineering-teams</t>
        </is>
      </c>
      <c r="L564" s="64" t="n"/>
      <c r="M564" s="64" t="n"/>
      <c r="N564" s="63" t="n"/>
      <c r="O564" s="9" t="inlineStr">
        <is>
          <t>Primary</t>
        </is>
      </c>
    </row>
    <row r="565" ht="67" customHeight="1">
      <c r="A565" s="14" t="inlineStr">
        <is>
          <t>S45</t>
        </is>
      </c>
      <c r="B565" s="9" t="inlineStr">
        <is>
          <t>SaaS player-coach sales and revenue leaders · job postings</t>
        </is>
      </c>
      <c r="C565" s="64" t="n"/>
      <c r="D565" s="63" t="n"/>
      <c r="E565" s="9" t="inlineStr">
        <is>
          <t>Practice benchmark</t>
        </is>
      </c>
      <c r="F565" s="63" t="n"/>
      <c r="G565" s="9" t="inlineStr">
        <is>
          <t>Leaders who carry their own quota or book while building and coaching the team → C+ / B+ Player-Coach in commercial roles</t>
        </is>
      </c>
      <c r="H565" s="64" t="n"/>
      <c r="I565" s="64" t="n"/>
      <c r="J565" s="63" t="n"/>
      <c r="K565" s="9" t="inlineStr">
        <is>
          <t>https://www.itjobswatch.co.uk/jv/Space-Executive/Sales-Lead-Player-Coach-HR-Tech-Job-City-of-London-Greater-London-UK-4vommq ; https://salesgravy.com/the-player-coach-problem-how-to-prospect-and-lead-at-the-same-time-ask-jeb/</t>
        </is>
      </c>
      <c r="L565" s="64" t="n"/>
      <c r="M565" s="64" t="n"/>
      <c r="N565" s="63" t="n"/>
      <c r="O565" s="9" t="inlineStr">
        <is>
          <t>Job postings</t>
        </is>
      </c>
    </row>
    <row r="566" ht="54" customHeight="1">
      <c r="A566" s="14" t="inlineStr">
        <is>
          <t>S46</t>
        </is>
      </c>
      <c r="B566" s="9" t="inlineStr">
        <is>
          <t>Canada Treasury Board — Executive Group Position Evaluation Plan, 2005</t>
        </is>
      </c>
      <c r="C566" s="64" t="n"/>
      <c r="D566" s="63" t="n"/>
      <c r="E566" s="9" t="inlineStr">
        <is>
          <t>Job-evaluation plan · Hay-based</t>
        </is>
      </c>
      <c r="F566" s="63" t="n"/>
      <c r="G566" s="9" t="inlineStr">
        <is>
          <t>Verified Hay point evaluations of real manager and executive jobs; the know-how / problem solving / accountability split by level used in the weight derivation</t>
        </is>
      </c>
      <c r="H566" s="64" t="n"/>
      <c r="I566" s="64" t="n"/>
      <c r="J566" s="63" t="n"/>
      <c r="K566" s="9" t="inlineStr">
        <is>
          <t>https://www.canada.ca/en/treasury-board-secretariat/services/collective-agreements/job-evaluation/executive-group-position-evaluation-plan-september-2005.html</t>
        </is>
      </c>
      <c r="L566" s="64" t="n"/>
      <c r="M566" s="64" t="n"/>
      <c r="N566" s="63" t="n"/>
      <c r="O566" s="9" t="inlineStr">
        <is>
          <t>Primary</t>
        </is>
      </c>
    </row>
    <row r="567" ht="80" customHeight="1">
      <c r="A567" s="14" t="inlineStr">
        <is>
          <t>S47</t>
        </is>
      </c>
      <c r="B567" s="9" t="inlineStr">
        <is>
          <t>Canada Treasury Board — Executive Group Position Evaluation Plan, 2022</t>
        </is>
      </c>
      <c r="C567" s="64" t="n"/>
      <c r="D567" s="63" t="n"/>
      <c r="E567" s="9" t="inlineStr">
        <is>
          <t>Job-evaluation plan · Hay-based</t>
        </is>
      </c>
      <c r="F567" s="63" t="n"/>
      <c r="G567" s="9" t="inlineStr">
        <is>
          <t>Current version of the same plan with benchmark evaluations; confirms accountability's share rises with seniority</t>
        </is>
      </c>
      <c r="H567" s="64" t="n"/>
      <c r="I567" s="64" t="n"/>
      <c r="J567" s="63" t="n"/>
      <c r="K567" s="9" t="inlineStr">
        <is>
          <t>https://www.canada.ca/en/treasury-board-secretariat/services/collective-agreements/job-evaluation/executive-group-position-evaluation-plan-2022.html ; https://www.canada.ca/content/dam/tbs-sct/documents/public-service-staffing/organization-evaluation-work/job-evaluation-ex/20221018-p48_eng.pdf</t>
        </is>
      </c>
      <c r="L567" s="64" t="n"/>
      <c r="M567" s="64" t="n"/>
      <c r="N567" s="63" t="n"/>
      <c r="O567" s="9" t="inlineStr">
        <is>
          <t>Primary</t>
        </is>
      </c>
    </row>
    <row r="568" ht="41" customHeight="1">
      <c r="A568" s="14" t="inlineStr">
        <is>
          <t>S48</t>
        </is>
      </c>
      <c r="B568" s="9" t="inlineStr">
        <is>
          <t>Hay Group — summary deck of the Guide Chart-Profile method</t>
        </is>
      </c>
      <c r="C568" s="64" t="n"/>
      <c r="D568" s="63" t="n"/>
      <c r="E568" s="9" t="inlineStr">
        <is>
          <t>Method summary</t>
        </is>
      </c>
      <c r="F568" s="63" t="n"/>
      <c r="G568" s="9" t="inlineStr">
        <is>
          <t>Typical Hay profiles for clerical, specialist and supervisory jobs; the shares used for the junior and professional rows</t>
        </is>
      </c>
      <c r="H568" s="64" t="n"/>
      <c r="I568" s="64" t="n"/>
      <c r="J568" s="63" t="n"/>
      <c r="K568" s="9" t="inlineStr">
        <is>
          <t>https://www.slideshare.net/slideshow/hay-summary/55196354</t>
        </is>
      </c>
      <c r="L568" s="64" t="n"/>
      <c r="M568" s="64" t="n"/>
      <c r="N568" s="63" t="n"/>
      <c r="O568" s="9" t="inlineStr">
        <is>
          <t>Secondary</t>
        </is>
      </c>
    </row>
    <row r="569" ht="41" customHeight="1">
      <c r="A569" s="14" t="inlineStr">
        <is>
          <t>S49</t>
        </is>
      </c>
      <c r="B569" s="9" t="inlineStr">
        <is>
          <t>Lincolnshire County Council — Hay Group job evaluation method</t>
        </is>
      </c>
      <c r="C569" s="64" t="n"/>
      <c r="D569" s="63" t="n"/>
      <c r="E569" s="9" t="inlineStr">
        <is>
          <t>Public-sector Hay guide</t>
        </is>
      </c>
      <c r="F569" s="63" t="n"/>
      <c r="G569" s="9" t="inlineStr">
        <is>
          <t>Defines know-how as all knowledge and skill however acquired — the basis for not scoring experience on its own</t>
        </is>
      </c>
      <c r="H569" s="64" t="n"/>
      <c r="I569" s="64" t="n"/>
      <c r="J569" s="63" t="n"/>
      <c r="K569" s="9" t="inlineStr">
        <is>
          <t>https://professionals.lincolnshire.gov.uk/downloads/file/576/hay-group-je-method</t>
        </is>
      </c>
      <c r="L569" s="64" t="n"/>
      <c r="M569" s="64" t="n"/>
      <c r="N569" s="63" t="n"/>
      <c r="O569" s="9" t="inlineStr">
        <is>
          <t>Primary</t>
        </is>
      </c>
    </row>
    <row r="570" ht="28" customHeight="1">
      <c r="A570" s="14" t="inlineStr">
        <is>
          <t>S50</t>
        </is>
      </c>
      <c r="B570" s="9" t="inlineStr">
        <is>
          <t>Western University — Hay method overview</t>
        </is>
      </c>
      <c r="C570" s="64" t="n"/>
      <c r="D570" s="63" t="n"/>
      <c r="E570" s="9" t="inlineStr">
        <is>
          <t>University Hay guide</t>
        </is>
      </c>
      <c r="F570" s="63" t="n"/>
      <c r="G570" s="9" t="inlineStr">
        <is>
          <t>Plain explanation of the three Hay factors and the short profile; cross-check of the Hay shares</t>
        </is>
      </c>
      <c r="H570" s="64" t="n"/>
      <c r="I570" s="64" t="n"/>
      <c r="J570" s="63" t="n"/>
      <c r="K570" s="9" t="inlineStr">
        <is>
          <t>https://www.uwo.ca/humanresources/wjec/docs/hay_method_overview.pdf</t>
        </is>
      </c>
      <c r="L570" s="64" t="n"/>
      <c r="M570" s="64" t="n"/>
      <c r="N570" s="63" t="n"/>
      <c r="O570" s="9" t="inlineStr">
        <is>
          <t>Secondary</t>
        </is>
      </c>
    </row>
    <row r="571" ht="41" customHeight="1">
      <c r="A571" s="14" t="inlineStr">
        <is>
          <t>S51</t>
        </is>
      </c>
      <c r="B571" s="9" t="inlineStr">
        <is>
          <t>Derbyshire County Council — Korn Ferry Hay scheme</t>
        </is>
      </c>
      <c r="C571" s="64" t="n"/>
      <c r="D571" s="63" t="n"/>
      <c r="E571" s="9" t="inlineStr">
        <is>
          <t>Public-sector Hay guide</t>
        </is>
      </c>
      <c r="F571" s="63" t="n"/>
      <c r="G571" s="9" t="inlineStr">
        <is>
          <t>Confirms current Korn Ferry Hay use in UK public employers and the factor definitions</t>
        </is>
      </c>
      <c r="H571" s="64" t="n"/>
      <c r="I571" s="64" t="n"/>
      <c r="J571" s="63" t="n"/>
      <c r="K571" s="9" t="inlineStr">
        <is>
          <t>https://staff.derbyshire.gov.uk/jobs-and-recruitment/job-evaluation/korn-ferry-hay-scheme/korn-ferry-hay-scheme.aspx</t>
        </is>
      </c>
      <c r="L571" s="64" t="n"/>
      <c r="M571" s="64" t="n"/>
      <c r="N571" s="63" t="n"/>
      <c r="O571" s="9" t="inlineStr">
        <is>
          <t>Secondary</t>
        </is>
      </c>
    </row>
    <row r="572" ht="41" customHeight="1">
      <c r="A572" s="14" t="inlineStr">
        <is>
          <t>S52</t>
        </is>
      </c>
      <c r="B572" s="9" t="inlineStr">
        <is>
          <t>Mercer IPE — position evaluation manual and factor sheet</t>
        </is>
      </c>
      <c r="C572" s="64" t="n"/>
      <c r="D572" s="63" t="n"/>
      <c r="E572" s="9" t="inlineStr">
        <is>
          <t>Job-evaluation method · third-party copies</t>
        </is>
      </c>
      <c r="F572" s="63" t="n"/>
      <c r="G572" s="9" t="inlineStr">
        <is>
          <t>Maximum points per factor and the factor definitions — Impact, Communication, Innovation, Knowledge — used for the IPE column of the derivation</t>
        </is>
      </c>
      <c r="H572" s="64" t="n"/>
      <c r="I572" s="64" t="n"/>
      <c r="J572" s="63" t="n"/>
      <c r="K572" s="9" t="inlineStr">
        <is>
          <t>https://www.karlancer.com/api/file/1685038954-V7Gx.pdf ; https://studylib.net/doc/25471018/197145561-evaluation-factors-mercer</t>
        </is>
      </c>
      <c r="L572" s="64" t="n"/>
      <c r="M572" s="64" t="n"/>
      <c r="N572" s="63" t="n"/>
      <c r="O572" s="9" t="inlineStr">
        <is>
          <t>Secondary</t>
        </is>
      </c>
    </row>
    <row r="573" ht="41" customHeight="1">
      <c r="A573" s="14" t="inlineStr">
        <is>
          <t>S53</t>
        </is>
      </c>
      <c r="B573" s="9" t="inlineStr">
        <is>
          <t>NHS Agenda for Change — Job Evaluation Handbook</t>
        </is>
      </c>
      <c r="C573" s="64" t="n"/>
      <c r="D573" s="63" t="n"/>
      <c r="E573" s="9" t="inlineStr">
        <is>
          <t>Public point-factor plan</t>
        </is>
      </c>
      <c r="F573" s="63" t="n"/>
      <c r="G573" s="9" t="inlineStr">
        <is>
          <t>16 factors and 1,000 points with published weights; knowledge 24%, financial and physical resources 6%</t>
        </is>
      </c>
      <c r="H573" s="64" t="n"/>
      <c r="I573" s="64" t="n"/>
      <c r="J573" s="63" t="n"/>
      <c r="K573" s="9" t="inlineStr">
        <is>
          <t>https://www.nhsemployers.org/sites/default/files/pdf/22/165.pdf</t>
        </is>
      </c>
      <c r="L573" s="64" t="n"/>
      <c r="M573" s="64" t="n"/>
      <c r="N573" s="63" t="n"/>
      <c r="O573" s="9" t="inlineStr">
        <is>
          <t>Primary</t>
        </is>
      </c>
    </row>
    <row r="574" ht="28" customHeight="1">
      <c r="A574" s="14" t="inlineStr">
        <is>
          <t>S54</t>
        </is>
      </c>
      <c r="B574" s="9" t="inlineStr">
        <is>
          <t>Police Staff Council — job evaluation handbook, NJC 13-factor scheme</t>
        </is>
      </c>
      <c r="C574" s="64" t="n"/>
      <c r="D574" s="63" t="n"/>
      <c r="E574" s="9" t="inlineStr">
        <is>
          <t>Public point-factor plan</t>
        </is>
      </c>
      <c r="F574" s="63" t="n"/>
      <c r="G574" s="9" t="inlineStr">
        <is>
          <t>Published factor points for the UK local-government scheme; used for the public-plan average</t>
        </is>
      </c>
      <c r="H574" s="64" t="n"/>
      <c r="I574" s="64" t="n"/>
      <c r="J574" s="63" t="n"/>
      <c r="K574" s="9" t="inlineStr">
        <is>
          <t>https://lb2.local.gov.uk/sites/default/files/documents/police-staff-council-13-f-342.pdf</t>
        </is>
      </c>
      <c r="L574" s="64" t="n"/>
      <c r="M574" s="64" t="n"/>
      <c r="N574" s="63" t="n"/>
      <c r="O574" s="9" t="inlineStr">
        <is>
          <t>Primary</t>
        </is>
      </c>
    </row>
    <row r="575" ht="41" customHeight="1">
      <c r="A575" s="14" t="inlineStr">
        <is>
          <t>S55</t>
        </is>
      </c>
      <c r="B575" s="9" t="inlineStr">
        <is>
          <t>Greater London Provincial Council — points weighting, Denbighshire County Council</t>
        </is>
      </c>
      <c r="C575" s="64" t="n"/>
      <c r="D575" s="63" t="n"/>
      <c r="E575" s="9" t="inlineStr">
        <is>
          <t>Public point-factor plan</t>
        </is>
      </c>
      <c r="F575" s="63" t="n"/>
      <c r="G575" s="9" t="inlineStr">
        <is>
          <t>11 factors and 948 points with published weights</t>
        </is>
      </c>
      <c r="H575" s="64" t="n"/>
      <c r="I575" s="64" t="n"/>
      <c r="J575" s="63" t="n"/>
      <c r="K575" s="9" t="inlineStr">
        <is>
          <t>https://www.sirddinbych.gov.uk/en/documents/jobs-and-employees/my-employment/reorganisation-and-change/glpc-points-weighting.pdf</t>
        </is>
      </c>
      <c r="L575" s="64" t="n"/>
      <c r="M575" s="64" t="n"/>
      <c r="N575" s="63" t="n"/>
      <c r="O575" s="9" t="inlineStr">
        <is>
          <t>Primary</t>
        </is>
      </c>
    </row>
    <row r="576" ht="28" customHeight="1">
      <c r="A576" s="14" t="inlineStr">
        <is>
          <t>S56</t>
        </is>
      </c>
      <c r="B576" s="9" t="inlineStr">
        <is>
          <t>Scottish Joint Council scheme — Highland Council scoring matrix</t>
        </is>
      </c>
      <c r="C576" s="64" t="n"/>
      <c r="D576" s="63" t="n"/>
      <c r="E576" s="9" t="inlineStr">
        <is>
          <t>Public point-factor plan</t>
        </is>
      </c>
      <c r="F576" s="63" t="n"/>
      <c r="G576" s="9" t="inlineStr">
        <is>
          <t>13 factors and 1,000 points with published weights</t>
        </is>
      </c>
      <c r="H576" s="64" t="n"/>
      <c r="I576" s="64" t="n"/>
      <c r="J576" s="63" t="n"/>
      <c r="K576" s="9" t="inlineStr">
        <is>
          <t>https://www.highland.gov.uk/download/downloads/id/3889/scoring_matrix.pdf</t>
        </is>
      </c>
      <c r="L576" s="64" t="n"/>
      <c r="M576" s="64" t="n"/>
      <c r="N576" s="63" t="n"/>
      <c r="O576" s="9" t="inlineStr">
        <is>
          <t>Primary</t>
        </is>
      </c>
    </row>
    <row r="577" ht="41" customHeight="1">
      <c r="A577" s="14" t="inlineStr">
        <is>
          <t>S57</t>
        </is>
      </c>
      <c r="B577" s="9" t="inlineStr">
        <is>
          <t>US OPM — Introduction to the Position Classification Standards, Factor Evaluation System</t>
        </is>
      </c>
      <c r="C577" s="64" t="n"/>
      <c r="D577" s="63" t="n"/>
      <c r="E577" s="9" t="inlineStr">
        <is>
          <t>Public point-factor plan</t>
        </is>
      </c>
      <c r="F577" s="63" t="n"/>
      <c r="G577" s="9" t="inlineStr">
        <is>
          <t>9 factors and 4,480 points; the most knowledge-heavy plan, with no separate financial factor</t>
        </is>
      </c>
      <c r="H577" s="64" t="n"/>
      <c r="I577" s="64" t="n"/>
      <c r="J577" s="63" t="n"/>
      <c r="K577" s="9" t="inlineStr">
        <is>
          <t>https://www.opm.gov/policy-data-oversight/classification-qualifications/classifying-general-schedule-positions/positionclassificationintro.pdf</t>
        </is>
      </c>
      <c r="L577" s="64" t="n"/>
      <c r="M577" s="64" t="n"/>
      <c r="N577" s="63" t="n"/>
      <c r="O577" s="9" t="inlineStr">
        <is>
          <t>Primary</t>
        </is>
      </c>
    </row>
    <row r="578" ht="80" customHeight="1">
      <c r="A578" s="14" t="inlineStr">
        <is>
          <t>S58</t>
        </is>
      </c>
      <c r="B578" s="9" t="inlineStr">
        <is>
          <t>McKinsey — Taking a skills-based approach to building the future workforce, 2022</t>
        </is>
      </c>
      <c r="C578" s="64" t="n"/>
      <c r="D578" s="63" t="n"/>
      <c r="E578" s="9" t="inlineStr">
        <is>
          <t>Research report</t>
        </is>
      </c>
      <c r="F578" s="63" t="n"/>
      <c r="G578" s="9" t="inlineStr">
        <is>
          <t>Hiring for skills is more than twice as predictive as hiring for work experience — support for a low Experience weight</t>
        </is>
      </c>
      <c r="H578" s="64" t="n"/>
      <c r="I578" s="64" t="n"/>
      <c r="J578" s="63" t="n"/>
      <c r="K578" s="9" t="inlineStr">
        <is>
          <t>https://www.mckinsey.com/~/media/mckinsey/business%20functions/people%20and%20organizational%20performance/our%20insights/taking%20a%20skills%20based%20approach%20to%20building%20the%20future%20workforce/taking-a-skills-based-approach-to-building-the-future-workforce-vf.pdf</t>
        </is>
      </c>
      <c r="L578" s="64" t="n"/>
      <c r="M578" s="64" t="n"/>
      <c r="N578" s="63" t="n"/>
      <c r="O578" s="9" t="inlineStr">
        <is>
          <t>Primary</t>
        </is>
      </c>
    </row>
    <row r="579" ht="41" customHeight="1">
      <c r="A579" s="14" t="inlineStr">
        <is>
          <t>S59</t>
        </is>
      </c>
      <c r="B579" s="9" t="inlineStr">
        <is>
          <t>Deloitte — Human Capital Trends 2023, skills-based model</t>
        </is>
      </c>
      <c r="C579" s="64" t="n"/>
      <c r="D579" s="63" t="n"/>
      <c r="E579" s="9" t="inlineStr">
        <is>
          <t>Research report</t>
        </is>
      </c>
      <c r="F579" s="63" t="n"/>
      <c r="G579" s="9" t="inlineStr">
        <is>
          <t>Organisations moving to deploy and promote on skills rather than tenure or job history</t>
        </is>
      </c>
      <c r="H579" s="64" t="n"/>
      <c r="I579" s="64" t="n"/>
      <c r="J579" s="63" t="n"/>
      <c r="K579" s="9" t="inlineStr">
        <is>
          <t>https://www.deloitte.com/us/en/insights/topics/talent/human-capital-trends/2023/skills-based-model-end-of-jobs.html</t>
        </is>
      </c>
      <c r="L579" s="64" t="n"/>
      <c r="M579" s="64" t="n"/>
      <c r="N579" s="63" t="n"/>
      <c r="O579" s="9" t="inlineStr">
        <is>
          <t>Primary</t>
        </is>
      </c>
    </row>
    <row r="580" ht="28" customHeight="1">
      <c r="A580" s="14" t="inlineStr">
        <is>
          <t>S60</t>
        </is>
      </c>
      <c r="B580" s="9" t="inlineStr">
        <is>
          <t>World Economic Forum — Skills-first: 6 success factors, 2024</t>
        </is>
      </c>
      <c r="C580" s="64" t="n"/>
      <c r="D580" s="63" t="n"/>
      <c r="E580" s="9" t="inlineStr">
        <is>
          <t>Research article</t>
        </is>
      </c>
      <c r="F580" s="63" t="n"/>
      <c r="G580" s="9" t="inlineStr">
        <is>
          <t>Rethink education and previous experience as proxies for ability</t>
        </is>
      </c>
      <c r="H580" s="64" t="n"/>
      <c r="I580" s="64" t="n"/>
      <c r="J580" s="63" t="n"/>
      <c r="K580" s="9" t="inlineStr">
        <is>
          <t>https://www.weforum.org/stories/2024/01/skills-first-6-success-factors-recruiting-developing-talent/</t>
        </is>
      </c>
      <c r="L580" s="64" t="n"/>
      <c r="M580" s="64" t="n"/>
      <c r="N580" s="63" t="n"/>
      <c r="O580" s="9" t="inlineStr">
        <is>
          <t>Secondary</t>
        </is>
      </c>
    </row>
    <row r="581" ht="41" customHeight="1">
      <c r="A581" s="14" t="inlineStr">
        <is>
          <t>S61</t>
        </is>
      </c>
      <c r="B581" s="9" t="inlineStr">
        <is>
          <t>EY Future of Pay via People Matters — India's 2026 salary increases to reward skills over seniority</t>
        </is>
      </c>
      <c r="C581" s="64" t="n"/>
      <c r="D581" s="63" t="n"/>
      <c r="E581" s="9" t="inlineStr">
        <is>
          <t>India market news</t>
        </is>
      </c>
      <c r="F581" s="63" t="n"/>
      <c r="G581" s="9" t="inlineStr">
        <is>
          <t>India pay moving away from tenure-based increases towards skills-led, performance-driven frameworks</t>
        </is>
      </c>
      <c r="H581" s="64" t="n"/>
      <c r="I581" s="64" t="n"/>
      <c r="J581" s="63" t="n"/>
      <c r="K581" s="9" t="inlineStr">
        <is>
          <t>https://www.peoplematters.in/news/compensation-benefits/indias-2026-salary-increases-to-reward-skills-over-seniority-ey-48541</t>
        </is>
      </c>
      <c r="L581" s="64" t="n"/>
      <c r="M581" s="64" t="n"/>
      <c r="N581" s="63" t="n"/>
      <c r="O581" s="9" t="inlineStr">
        <is>
          <t>Secondary</t>
        </is>
      </c>
    </row>
    <row r="582" ht="41" customHeight="1">
      <c r="A582" s="14" t="inlineStr">
        <is>
          <t>S62</t>
        </is>
      </c>
      <c r="B582" s="9" t="inlineStr">
        <is>
          <t>WTW — Building resilient career ecosystems, India 2023</t>
        </is>
      </c>
      <c r="C582" s="64" t="n"/>
      <c r="D582" s="63" t="n"/>
      <c r="E582" s="9" t="inlineStr">
        <is>
          <t>Consulting insight · India</t>
        </is>
      </c>
      <c r="F582" s="63" t="n"/>
      <c r="G582" s="9" t="inlineStr">
        <is>
          <t>WTW's view of career architecture design in India; complements the WTW GGS factors in S07</t>
        </is>
      </c>
      <c r="H582" s="64" t="n"/>
      <c r="I582" s="64" t="n"/>
      <c r="J582" s="63" t="n"/>
      <c r="K582" s="9" t="inlineStr">
        <is>
          <t>https://www.wtwco.com/en-in/insights/2023/09/building-resilient-career-ecosystems-with-robust-career-strategy-and-design</t>
        </is>
      </c>
      <c r="L582" s="64" t="n"/>
      <c r="M582" s="64" t="n"/>
      <c r="N582" s="63" t="n"/>
      <c r="O582" s="9" t="inlineStr">
        <is>
          <t>Secondary</t>
        </is>
      </c>
    </row>
    <row r="583" ht="41" customHeight="1">
      <c r="A583" s="14" t="inlineStr">
        <is>
          <t>S63</t>
        </is>
      </c>
      <c r="B583" s="9" t="inlineStr">
        <is>
          <t>iPleaders — Director under the Companies Act 2013</t>
        </is>
      </c>
      <c r="C583" s="64" t="n"/>
      <c r="D583" s="63" t="n"/>
      <c r="E583" s="9" t="inlineStr">
        <is>
          <t>Legal explainer · India</t>
        </is>
      </c>
      <c r="F583" s="63" t="n"/>
      <c r="G583" s="9" t="inlineStr">
        <is>
          <r>
            <rPr>
              <rFont val="Calibri"/>
              <b val="1"/>
              <sz val="10"/>
            </rPr>
            <t>Section 2, clause 34:</t>
          </r>
          <r>
            <rPr>
              <rFont val="Calibri"/>
              <sz val="10"/>
            </rPr>
            <t xml:space="preserve"> 'director' means a director appointed to the Board — the reason IRIS uses no 'Director' title</t>
          </r>
        </is>
      </c>
      <c r="H583" s="64" t="n"/>
      <c r="I583" s="64" t="n"/>
      <c r="J583" s="63" t="n"/>
      <c r="K583" s="9" t="inlineStr">
        <is>
          <t>https://blog.ipleaders.in/director-companies-act-2013/</t>
        </is>
      </c>
      <c r="L583" s="64" t="n"/>
      <c r="M583" s="64" t="n"/>
      <c r="N583" s="63" t="n"/>
      <c r="O583" s="9" t="inlineStr">
        <is>
          <t>Primary</t>
        </is>
      </c>
    </row>
    <row r="584" ht="41" customHeight="1">
      <c r="A584" s="14" t="inlineStr">
        <is>
          <t>S64</t>
        </is>
      </c>
      <c r="B584" s="9" t="inlineStr">
        <is>
          <t>Kaanoon — 'Director' as an HR designation but not under the Companies Act</t>
        </is>
      </c>
      <c r="C584" s="64" t="n"/>
      <c r="D584" s="63" t="n"/>
      <c r="E584" s="9" t="inlineStr">
        <is>
          <t>Legal Q&amp;A · India</t>
        </is>
      </c>
      <c r="F584" s="63" t="n"/>
      <c r="G584" s="9" t="inlineStr">
        <is>
          <t>Practitioner view that a 'Director' designation for non-board staff causes confusion and disclosure risk</t>
        </is>
      </c>
      <c r="H584" s="64" t="n"/>
      <c r="I584" s="64" t="n"/>
      <c r="J584" s="63" t="n"/>
      <c r="K584" s="9" t="inlineStr">
        <is>
          <t>https://www.kaanoon.com/241487/designation-with-word-director-as-per-hr-policy-but-not-as-per-companies-act</t>
        </is>
      </c>
      <c r="L584" s="64" t="n"/>
      <c r="M584" s="64" t="n"/>
      <c r="N584" s="63" t="n"/>
      <c r="O584" s="9" t="inlineStr">
        <is>
          <t>Secondary</t>
        </is>
      </c>
    </row>
    <row r="585" ht="28" customHeight="1">
      <c r="A585" s="14" t="inlineStr">
        <is>
          <t>S65</t>
        </is>
      </c>
      <c r="B585" s="9" t="inlineStr">
        <is>
          <t>Wipro — Distinguished Member of Technical Staff</t>
        </is>
      </c>
      <c r="C585" s="64" t="n"/>
      <c r="D585" s="63" t="n"/>
      <c r="E585" s="9" t="inlineStr">
        <is>
          <t>Indian IT company programme</t>
        </is>
      </c>
      <c r="F585" s="63" t="n"/>
      <c r="G585" s="9" t="inlineStr">
        <is>
          <t>Indian example of the 'Distinguished' top-specialist title — Option B for the D1 title</t>
        </is>
      </c>
      <c r="H585" s="64" t="n"/>
      <c r="I585" s="64" t="n"/>
      <c r="J585" s="63" t="n"/>
      <c r="K585" s="9" t="inlineStr">
        <is>
          <t>https://www.wipro.com/innovation/distinguished-member-of-technical-staff/</t>
        </is>
      </c>
      <c r="L585" s="64" t="n"/>
      <c r="M585" s="64" t="n"/>
      <c r="N585" s="63" t="n"/>
      <c r="O585" s="9" t="inlineStr">
        <is>
          <t>Primary</t>
        </is>
      </c>
    </row>
    <row r="586" ht="28" customHeight="1">
      <c r="A586" s="14" t="inlineStr">
        <is>
          <t>S66</t>
        </is>
      </c>
      <c r="B586" s="9" t="inlineStr">
        <is>
          <t>Salesforce engineering levels — AMTS to Distinguished Engineer</t>
        </is>
      </c>
      <c r="C586" s="64" t="n"/>
      <c r="D586" s="63" t="n"/>
      <c r="E586" s="9" t="inlineStr">
        <is>
          <t>Company ladder · Design Gurus</t>
        </is>
      </c>
      <c r="F586" s="63" t="n"/>
      <c r="G586" s="9" t="inlineStr">
        <is>
          <t>Global SaaS example of the top-specialist title above Principal Architect</t>
        </is>
      </c>
      <c r="H586" s="64" t="n"/>
      <c r="I586" s="64" t="n"/>
      <c r="J586" s="63" t="n"/>
      <c r="K586" s="9" t="inlineStr">
        <is>
          <t>https://www.designgurus.io/blog/salesforce-software-engineer-levels</t>
        </is>
      </c>
      <c r="L586" s="64" t="n"/>
      <c r="M586" s="64" t="n"/>
      <c r="N586" s="63" t="n"/>
      <c r="O586" s="9" t="inlineStr">
        <is>
          <t>Secondary</t>
        </is>
      </c>
    </row>
    <row r="587" ht="28" customHeight="1">
      <c r="A587" s="14" t="inlineStr">
        <is>
          <t>S67</t>
        </is>
      </c>
      <c r="B587" s="9" t="inlineStr">
        <is>
          <t>LeadDev — Who are staff, principal and distinguished engineers</t>
        </is>
      </c>
      <c r="C587" s="64" t="n"/>
      <c r="D587" s="63" t="n"/>
      <c r="E587" s="9" t="inlineStr">
        <is>
          <t>Practice article</t>
        </is>
      </c>
      <c r="F587" s="63" t="n"/>
      <c r="G587" s="9" t="inlineStr">
        <is>
          <t>How Principal, Distinguished and Fellow tiers are used and how rare they are</t>
        </is>
      </c>
      <c r="H587" s="64" t="n"/>
      <c r="I587" s="64" t="n"/>
      <c r="J587" s="63" t="n"/>
      <c r="K587" s="9" t="inlineStr">
        <is>
          <t>https://leaddev.com/career-ladders/who-are-staff-principal-and-distinguished-engineers</t>
        </is>
      </c>
      <c r="L587" s="64" t="n"/>
      <c r="M587" s="64" t="n"/>
      <c r="N587" s="63" t="n"/>
      <c r="O587" s="9" t="inlineStr">
        <is>
          <t>Secondary</t>
        </is>
      </c>
    </row>
    <row r="588" ht="28" customHeight="1">
      <c r="A588" s="14" t="inlineStr">
        <is>
          <t>S68</t>
        </is>
      </c>
      <c r="B588" s="9" t="inlineStr">
        <is>
          <t>Dropbox — engineering career framework</t>
        </is>
      </c>
      <c r="C588" s="64" t="n"/>
      <c r="D588" s="63" t="n"/>
      <c r="E588" s="9" t="inlineStr">
        <is>
          <t>Company framework</t>
        </is>
      </c>
      <c r="F588" s="63" t="n"/>
      <c r="G588" s="9" t="inlineStr">
        <is>
          <t>Published IC ladder with top-specialist tiers and their scope</t>
        </is>
      </c>
      <c r="H588" s="64" t="n"/>
      <c r="I588" s="64" t="n"/>
      <c r="J588" s="63" t="n"/>
      <c r="K588" s="9" t="inlineStr">
        <is>
          <t>https://dropbox.tech/culture/our-updated-engineering-career-framework</t>
        </is>
      </c>
      <c r="L588" s="64" t="n"/>
      <c r="M588" s="64" t="n"/>
      <c r="N588" s="63" t="n"/>
      <c r="O588" s="9" t="inlineStr">
        <is>
          <t>Secondary</t>
        </is>
      </c>
    </row>
    <row r="589" ht="28" customHeight="1">
      <c r="A589" s="14" t="inlineStr">
        <is>
          <t>S69</t>
        </is>
      </c>
      <c r="B589" s="9" t="inlineStr">
        <is>
          <t>Square — growth framework for engineers and engineering managers</t>
        </is>
      </c>
      <c r="C589" s="64" t="n"/>
      <c r="D589" s="63" t="n"/>
      <c r="E589" s="9" t="inlineStr">
        <is>
          <t>Company framework</t>
        </is>
      </c>
      <c r="F589" s="63" t="n"/>
      <c r="G589" s="9" t="inlineStr">
        <is>
          <t>Published IC and manager ladders side by side</t>
        </is>
      </c>
      <c r="H589" s="64" t="n"/>
      <c r="I589" s="64" t="n"/>
      <c r="J589" s="63" t="n"/>
      <c r="K589" s="9" t="inlineStr">
        <is>
          <t>https://developer.squareup.com/blog/squares-growth-framework-for-engineers-and-engineering-managers/</t>
        </is>
      </c>
      <c r="L589" s="64" t="n"/>
      <c r="M589" s="64" t="n"/>
      <c r="N589" s="63" t="n"/>
      <c r="O589" s="9" t="inlineStr">
        <is>
          <t>Secondary</t>
        </is>
      </c>
    </row>
    <row r="590" ht="41" customHeight="1">
      <c r="A590" s="14" t="inlineStr">
        <is>
          <t>S70</t>
        </is>
      </c>
      <c r="B590" s="9" t="inlineStr">
        <is>
          <t>Carta and Pave — job levelling frameworks</t>
        </is>
      </c>
      <c r="C590" s="64" t="n"/>
      <c r="D590" s="63" t="n"/>
      <c r="E590" s="9" t="inlineStr">
        <is>
          <t>Compensation platforms</t>
        </is>
      </c>
      <c r="F590" s="63" t="n"/>
      <c r="G590" s="9" t="inlineStr">
        <is>
          <t>Market levelling guides used to check the level count and the IC ↔ manager pairing</t>
        </is>
      </c>
      <c r="H590" s="64" t="n"/>
      <c r="I590" s="64" t="n"/>
      <c r="J590" s="63" t="n"/>
      <c r="K590" s="9" t="inlineStr">
        <is>
          <t>https://carta.com/learn/startups/compensation/job-leveling/ ; https://pave.com/blog-posts/job-leveling-framework</t>
        </is>
      </c>
      <c r="L590" s="64" t="n"/>
      <c r="M590" s="64" t="n"/>
      <c r="N590" s="63" t="n"/>
      <c r="O590" s="9" t="inlineStr">
        <is>
          <t>Secondary</t>
        </is>
      </c>
    </row>
    <row r="591" ht="28" customHeight="1">
      <c r="A591" s="14" t="inlineStr">
        <is>
          <t>S71</t>
        </is>
      </c>
      <c r="B591" s="9" t="inlineStr">
        <is>
          <t>Figures — Figures levels</t>
        </is>
      </c>
      <c r="C591" s="64" t="n"/>
      <c r="D591" s="63" t="n"/>
      <c r="E591" s="9" t="inlineStr">
        <is>
          <t>Compensation platform</t>
        </is>
      </c>
      <c r="F591" s="63" t="n"/>
      <c r="G591" s="9" t="inlineStr">
        <is>
          <t>Second levelling crosswalk alongside the Mercer levels in S03</t>
        </is>
      </c>
      <c r="H591" s="64" t="n"/>
      <c r="I591" s="64" t="n"/>
      <c r="J591" s="63" t="n"/>
      <c r="K591" s="9" t="inlineStr">
        <is>
          <t>https://help.figures.hr/en/articles/389317-figures-levels</t>
        </is>
      </c>
      <c r="L591" s="64" t="n"/>
      <c r="M591" s="64" t="n"/>
      <c r="N591" s="63" t="n"/>
      <c r="O591" s="9" t="inlineStr">
        <is>
          <t>Secondary</t>
        </is>
      </c>
    </row>
    <row r="592" ht="41" customHeight="1">
      <c r="A592" s="14" t="inlineStr">
        <is>
          <t>S72</t>
        </is>
      </c>
      <c r="B592" s="9" t="inlineStr">
        <is>
          <t>PayScale India — Chief Architect, IT</t>
        </is>
      </c>
      <c r="C592" s="64" t="n"/>
      <c r="D592" s="63" t="n"/>
      <c r="E592" s="9" t="inlineStr">
        <is>
          <t>Salary data site · India</t>
        </is>
      </c>
      <c r="F592" s="63" t="n"/>
      <c r="G592" s="9" t="inlineStr">
        <is>
          <t>Shows Chief Architect, IT tracked as an experienced and late-career role in India — Option A for the D1 title</t>
        </is>
      </c>
      <c r="H592" s="64" t="n"/>
      <c r="I592" s="64" t="n"/>
      <c r="J592" s="63" t="n"/>
      <c r="K592" s="9" t="inlineStr">
        <is>
          <t>https://www.payscale.com/research/IN/Job=Chief_Architect%2C_IT/Skill-Experience</t>
        </is>
      </c>
      <c r="L592" s="64" t="n"/>
      <c r="M592" s="64" t="n"/>
      <c r="N592" s="63" t="n"/>
      <c r="O592" s="9" t="inlineStr">
        <is>
          <t>Indicative</t>
        </is>
      </c>
    </row>
    <row r="593" ht="28" customHeight="1">
      <c r="A593" s="14" t="inlineStr">
        <is>
          <t>S40</t>
        </is>
      </c>
      <c r="B593" s="9" t="inlineStr">
        <is>
          <t>Employee Master_New_23092026 and Employee Master_OLD</t>
        </is>
      </c>
      <c r="C593" s="64" t="n"/>
      <c r="D593" s="63" t="n"/>
      <c r="E593" s="9" t="inlineStr">
        <is>
          <t>IRIS HRIS</t>
        </is>
      </c>
      <c r="F593" s="63" t="n"/>
      <c r="G593" s="9" t="inlineStr">
        <is>
          <t>Roster, department, manager, experience, qualification, category</t>
        </is>
      </c>
      <c r="H593" s="64" t="n"/>
      <c r="I593" s="64" t="n"/>
      <c r="J593" s="63" t="n"/>
      <c r="K593" s="9" t="inlineStr">
        <is>
          <t>Internal</t>
        </is>
      </c>
      <c r="L593" s="64" t="n"/>
      <c r="M593" s="64" t="n"/>
      <c r="N593" s="63" t="n"/>
      <c r="O593" s="9" t="inlineStr">
        <is>
          <t>Internal</t>
        </is>
      </c>
    </row>
    <row r="594" ht="28" customHeight="1">
      <c r="A594" s="14" t="inlineStr">
        <is>
          <t>S41</t>
        </is>
      </c>
      <c r="B594" s="9" t="inlineStr">
        <is>
          <t>How We Grow survey · 521 responses</t>
        </is>
      </c>
      <c r="C594" s="64" t="n"/>
      <c r="D594" s="63" t="n"/>
      <c r="E594" s="9" t="inlineStr">
        <is>
          <t>IRIS employees</t>
        </is>
      </c>
      <c r="F594" s="63" t="n"/>
      <c r="G594" s="9" t="inlineStr">
        <is>
          <t>Purpose, deliverables, accountability, decision rights, skills, tools, learning needs</t>
        </is>
      </c>
      <c r="H594" s="64" t="n"/>
      <c r="I594" s="64" t="n"/>
      <c r="J594" s="63" t="n"/>
      <c r="K594" s="9" t="inlineStr">
        <is>
          <t>Internal</t>
        </is>
      </c>
      <c r="L594" s="64" t="n"/>
      <c r="M594" s="64" t="n"/>
      <c r="N594" s="63" t="n"/>
      <c r="O594" s="9" t="inlineStr">
        <is>
          <t>Internal</t>
        </is>
      </c>
    </row>
    <row r="595" ht="28" customHeight="1">
      <c r="A595" s="14" t="inlineStr">
        <is>
          <t>S42</t>
        </is>
      </c>
      <c r="B595" s="9" t="inlineStr">
        <is>
          <t>Manager talent-mapping files</t>
        </is>
      </c>
      <c r="C595" s="64" t="n"/>
      <c r="D595" s="63" t="n"/>
      <c r="E595" s="9" t="inlineStr">
        <is>
          <t>IRIS managers</t>
        </is>
      </c>
      <c r="F595" s="63" t="n"/>
      <c r="G595" s="9" t="inlineStr">
        <is>
          <t>KRAs, rating, potential, readiness, 9-box, manager training need</t>
        </is>
      </c>
      <c r="H595" s="64" t="n"/>
      <c r="I595" s="64" t="n"/>
      <c r="J595" s="63" t="n"/>
      <c r="K595" s="9" t="inlineStr">
        <is>
          <t>Internal</t>
        </is>
      </c>
      <c r="L595" s="64" t="n"/>
      <c r="M595" s="64" t="n"/>
      <c r="N595" s="63" t="n"/>
      <c r="O595" s="9" t="inlineStr">
        <is>
          <t>Internal</t>
        </is>
      </c>
    </row>
    <row r="596" ht="28" customHeight="1">
      <c r="A596" s="14" t="inlineStr">
        <is>
          <t>S43</t>
        </is>
      </c>
      <c r="B596" s="9" t="inlineStr">
        <is>
          <t>IRIS talent-mapping workbooks v1 and v2</t>
        </is>
      </c>
      <c r="C596" s="64" t="n"/>
      <c r="D596" s="63" t="n"/>
      <c r="E596" s="9" t="inlineStr">
        <is>
          <t>This exercise</t>
        </is>
      </c>
      <c r="F596" s="63" t="n"/>
      <c r="G596" s="9" t="inlineStr">
        <is>
          <t>Factor ratings, competency ratings, duplication and mobility analysis</t>
        </is>
      </c>
      <c r="H596" s="64" t="n"/>
      <c r="I596" s="64" t="n"/>
      <c r="J596" s="63" t="n"/>
      <c r="K596" s="9" t="inlineStr">
        <is>
          <t>Internal</t>
        </is>
      </c>
      <c r="L596" s="64" t="n"/>
      <c r="M596" s="64" t="n"/>
      <c r="N596" s="63" t="n"/>
      <c r="O596" s="9" t="inlineStr">
        <is>
          <t>Internal</t>
        </is>
      </c>
    </row>
    <row r="597" ht="15" customHeight="1"/>
    <row r="598" ht="20" customHeight="1">
      <c r="A598" s="6" t="inlineStr">
        <is>
          <t>R5b. Career Architecture V2 evidence register · HR research, 7 Oct 2026</t>
        </is>
      </c>
    </row>
    <row r="599" ht="28" customHeight="1">
      <c r="A599" s="12" t="inlineStr">
        <is>
          <t>The evidence register from IRIS Career Architecture V2 · HR research, 7 Oct 2026: each source with the observed title, what it supports and its transfer limit. Two entries · Regnology Senior Software Engineer, Pune; Dropbox engineering framework v2.9.1 were spot-checked on 7 Oct 2026 and match.</t>
        </is>
      </c>
    </row>
    <row r="600" ht="28" customHeight="1">
      <c r="A600" s="7" t="inlineStr">
        <is>
          <t>ID</t>
        </is>
      </c>
      <c r="B600" s="7" t="inlineStr">
        <is>
          <t>Lens</t>
        </is>
      </c>
      <c r="C600" s="63" t="n"/>
      <c r="D600" s="7" t="inlineStr">
        <is>
          <t>Organisation</t>
        </is>
      </c>
      <c r="E600" s="63" t="n"/>
      <c r="F600" s="7" t="inlineStr">
        <is>
          <t>Observed title / publication</t>
        </is>
      </c>
      <c r="G600" s="63" t="n"/>
      <c r="H600" s="7" t="inlineStr">
        <is>
          <t>What it supports</t>
        </is>
      </c>
      <c r="I600" s="64" t="n"/>
      <c r="J600" s="63" t="n"/>
      <c r="K600" s="7" t="inlineStr">
        <is>
          <t>Transfer limit</t>
        </is>
      </c>
      <c r="L600" s="64" t="n"/>
      <c r="M600" s="63" t="n"/>
      <c r="N600" s="7" t="inlineStr">
        <is>
          <t>Geography</t>
        </is>
      </c>
      <c r="O600" s="7" t="inlineStr">
        <is>
          <t>Link</t>
        </is>
      </c>
    </row>
    <row r="601" ht="54" customHeight="1">
      <c r="A601" s="14" t="inlineStr">
        <is>
          <t>N01</t>
        </is>
      </c>
      <c r="B601" s="9" t="inlineStr">
        <is>
          <t>Lens 1 direct peer</t>
        </is>
      </c>
      <c r="C601" s="63" t="n"/>
      <c r="D601" s="9" t="inlineStr">
        <is>
          <t>Regnology</t>
        </is>
      </c>
      <c r="E601" s="63" t="n"/>
      <c r="F601" s="9" t="inlineStr">
        <is>
          <t>Senior Software Engineer, Pune</t>
        </is>
      </c>
      <c r="G601" s="63" t="n"/>
      <c r="H601" s="9" t="inlineStr">
        <is>
          <t>Java delivery, design, code review and junior mentoring.</t>
        </is>
      </c>
      <c r="I601" s="64" t="n"/>
      <c r="J601" s="63" t="n"/>
      <c r="K601" s="9" t="inlineStr">
        <is>
          <t>Selected senior role only; tenure requirement is not a grading rule.</t>
        </is>
      </c>
      <c r="L601" s="64" t="n"/>
      <c r="M601" s="63" t="n"/>
      <c r="N601" s="9" t="inlineStr">
        <is>
          <t>India</t>
        </is>
      </c>
      <c r="O601" s="9" t="inlineStr">
        <is>
          <t>https://regnology.jobs.personio.de/job/2374470</t>
        </is>
      </c>
    </row>
    <row r="602" ht="67" customHeight="1">
      <c r="A602" s="14" t="inlineStr">
        <is>
          <t>N02</t>
        </is>
      </c>
      <c r="B602" s="9" t="inlineStr">
        <is>
          <t>Lens 1 direct peer</t>
        </is>
      </c>
      <c r="C602" s="63" t="n"/>
      <c r="D602" s="9" t="inlineStr">
        <is>
          <t>Regnology</t>
        </is>
      </c>
      <c r="E602" s="63" t="n"/>
      <c r="F602" s="9" t="inlineStr">
        <is>
          <t>Release Engineer, Pune</t>
        </is>
      </c>
      <c r="G602" s="63" t="n"/>
      <c r="H602" s="9" t="inlineStr">
        <is>
          <t>Independent cross-team release coordination and quality/risk trade-offs.</t>
        </is>
      </c>
      <c r="I602" s="64" t="n"/>
      <c r="J602" s="63" t="n"/>
      <c r="K602" s="9" t="inlineStr">
        <is>
          <t>Supports release scope, not a standalone QA career ladder.</t>
        </is>
      </c>
      <c r="L602" s="64" t="n"/>
      <c r="M602" s="63" t="n"/>
      <c r="N602" s="9" t="inlineStr">
        <is>
          <t>India</t>
        </is>
      </c>
      <c r="O602" s="9" t="inlineStr">
        <is>
          <t>https://regnology.jobs.personio.de/job/2605587?language=en</t>
        </is>
      </c>
    </row>
    <row r="603" ht="106" customHeight="1">
      <c r="A603" s="14" t="inlineStr">
        <is>
          <t>N03</t>
        </is>
      </c>
      <c r="B603" s="9" t="inlineStr">
        <is>
          <t>Lens 1 direct peer</t>
        </is>
      </c>
      <c r="C603" s="63" t="n"/>
      <c r="D603" s="9" t="inlineStr">
        <is>
          <t>Workiva</t>
        </is>
      </c>
      <c r="E603" s="63" t="n"/>
      <c r="F603" s="9" t="inlineStr">
        <is>
          <t>Principal Security Engineer</t>
        </is>
      </c>
      <c r="G603" s="63" t="n"/>
      <c r="H603" s="9" t="inlineStr">
        <is>
          <t>Cross-platform cloud security architecture and enterprise technical influence.</t>
        </is>
      </c>
      <c r="I603" s="64" t="n"/>
      <c r="J603" s="63" t="n"/>
      <c r="K603" s="9" t="inlineStr">
        <is>
          <t>Selected expert role; no verified internal grade or India title match.</t>
        </is>
      </c>
      <c r="L603" s="64" t="n"/>
      <c r="M603" s="63" t="n"/>
      <c r="N603" s="9" t="inlineStr">
        <is>
          <t>USA</t>
        </is>
      </c>
      <c r="O603" s="9" t="inlineStr">
        <is>
          <t>https://workiva.wd503.myworkdayjobs.com/en-US/careers/job/Principal-Security-Engineer_R11408</t>
        </is>
      </c>
    </row>
    <row r="604" ht="119" customHeight="1">
      <c r="A604" s="14" t="inlineStr">
        <is>
          <t>N04</t>
        </is>
      </c>
      <c r="B604" s="9" t="inlineStr">
        <is>
          <t>Lens 1 direct peer</t>
        </is>
      </c>
      <c r="C604" s="63" t="n"/>
      <c r="D604" s="9" t="inlineStr">
        <is>
          <t>Workiva</t>
        </is>
      </c>
      <c r="E604" s="63" t="n"/>
      <c r="F604" s="9" t="inlineStr">
        <is>
          <t>Senior People Business Partner</t>
        </is>
      </c>
      <c r="G604" s="63" t="n"/>
      <c r="H604" s="9" t="inlineStr">
        <is>
          <t>Regional GTM partnership, organisation design, employee relations and leadership advice.</t>
        </is>
      </c>
      <c r="I604" s="64" t="n"/>
      <c r="J604" s="63" t="n"/>
      <c r="K604" s="9" t="inlineStr">
        <is>
          <t>Supports HRBP and adjacent OD work, not every HR speciality.</t>
        </is>
      </c>
      <c r="L604" s="64" t="n"/>
      <c r="M604" s="63" t="n"/>
      <c r="N604" s="9" t="inlineStr">
        <is>
          <t>UK / EMEA</t>
        </is>
      </c>
      <c r="O604" s="9" t="inlineStr">
        <is>
          <t>https://workiva.wd503.myworkdayjobs.com/en-US/careers/job/Senior-People-Business-Partner---GTM---Sales_R11653</t>
        </is>
      </c>
    </row>
    <row r="605" ht="106" customHeight="1">
      <c r="A605" s="14" t="inlineStr">
        <is>
          <t>N05</t>
        </is>
      </c>
      <c r="B605" s="9" t="inlineStr">
        <is>
          <t>Lens 1 direct peer</t>
        </is>
      </c>
      <c r="C605" s="63" t="n"/>
      <c r="D605" s="9" t="inlineStr">
        <is>
          <t>Workiva</t>
        </is>
      </c>
      <c r="E605" s="63" t="n"/>
      <c r="F605" s="9" t="inlineStr">
        <is>
          <t>Principal Product Designer</t>
        </is>
      </c>
      <c r="G605" s="63" t="n"/>
      <c r="H605" s="9" t="inlineStr">
        <is>
          <t>Multi-product UX strategy, hands-on design and mentoring senior designers.</t>
        </is>
      </c>
      <c r="I605" s="64" t="n"/>
      <c r="J605" s="63" t="n"/>
      <c r="K605" s="9" t="inlineStr">
        <is>
          <t>Observed expert role; unrelated to brand-design seniority.</t>
        </is>
      </c>
      <c r="L605" s="64" t="n"/>
      <c r="M605" s="63" t="n"/>
      <c r="N605" s="9" t="inlineStr">
        <is>
          <t>USA</t>
        </is>
      </c>
      <c r="O605" s="9" t="inlineStr">
        <is>
          <t>https://workiva.wd503.myworkdayjobs.com/en-US/careers/job/Principal-Product-Designer_R11461</t>
        </is>
      </c>
    </row>
    <row r="606" ht="119" customHeight="1">
      <c r="A606" s="14" t="inlineStr">
        <is>
          <t>N06</t>
        </is>
      </c>
      <c r="B606" s="9" t="inlineStr">
        <is>
          <t>Lens 1 direct peer</t>
        </is>
      </c>
      <c r="C606" s="63" t="n"/>
      <c r="D606" s="9" t="inlineStr">
        <is>
          <t>Workiva</t>
        </is>
      </c>
      <c r="E606" s="63" t="n"/>
      <c r="F606" s="9" t="inlineStr">
        <is>
          <t>Senior Learning and Development Partner</t>
        </is>
      </c>
      <c r="G606" s="63" t="n"/>
      <c r="H606" s="9" t="inlineStr">
        <is>
          <t>Explicit IC role owning a learning portfolio, facilitation and evaluation.</t>
        </is>
      </c>
      <c r="I606" s="64" t="n"/>
      <c r="J606" s="63" t="n"/>
      <c r="K606" s="9" t="inlineStr">
        <is>
          <t>People-management experience is preferred, not evidence of direct reports in this job.</t>
        </is>
      </c>
      <c r="L606" s="64" t="n"/>
      <c r="M606" s="63" t="n"/>
      <c r="N606" s="9" t="inlineStr">
        <is>
          <t>UK / global remit</t>
        </is>
      </c>
      <c r="O606" s="9" t="inlineStr">
        <is>
          <t>https://workiva.wd503.myworkdayjobs.com/en-US/careers/job/Senior-Learning-and-Development-Partner_R11848</t>
        </is>
      </c>
    </row>
    <row r="607" ht="119" customHeight="1">
      <c r="A607" s="14" t="inlineStr">
        <is>
          <t>N07</t>
        </is>
      </c>
      <c r="B607" s="9" t="inlineStr">
        <is>
          <t>Lens 1 direct peer</t>
        </is>
      </c>
      <c r="C607" s="63" t="n"/>
      <c r="D607" s="9" t="inlineStr">
        <is>
          <t>Workiva</t>
        </is>
      </c>
      <c r="E607" s="63" t="n"/>
      <c r="F607" s="9" t="inlineStr">
        <is>
          <t>Brand Graphic Design Intern, 2027 cohort</t>
        </is>
      </c>
      <c r="G607" s="63" t="n"/>
      <c r="H607" s="9" t="inlineStr">
        <is>
          <t>Mentored brand asset production with review before stakeholder release.</t>
        </is>
      </c>
      <c r="I607" s="64" t="n"/>
      <c r="J607" s="63" t="n"/>
      <c r="K607" s="9" t="inlineStr">
        <is>
          <t>Advertised 2027 programme; listed application deadline predates review. Not an active-vacancy claim.</t>
        </is>
      </c>
      <c r="L607" s="64" t="n"/>
      <c r="M607" s="63" t="n"/>
      <c r="N607" s="9" t="inlineStr">
        <is>
          <t>USA</t>
        </is>
      </c>
      <c r="O607" s="9" t="inlineStr">
        <is>
          <t>https://workiva.wd503.myworkdayjobs.com/en-US/careers/job/Spring---Summer-2027-Intern---Brand-Design_R12318</t>
        </is>
      </c>
    </row>
    <row r="608" ht="119" customHeight="1">
      <c r="A608" s="14" t="inlineStr">
        <is>
          <t>N08</t>
        </is>
      </c>
      <c r="B608" s="9" t="inlineStr">
        <is>
          <t>Lens 1 direct peer</t>
        </is>
      </c>
      <c r="C608" s="63" t="n"/>
      <c r="D608" s="9" t="inlineStr">
        <is>
          <t>Workiva</t>
        </is>
      </c>
      <c r="E608" s="63" t="n"/>
      <c r="F608" s="9" t="inlineStr">
        <is>
          <t>Marketing Intern, 2027 cohort</t>
        </is>
      </c>
      <c r="G608" s="63" t="n"/>
      <c r="H608" s="9" t="inlineStr">
        <is>
          <t>Entry tasks span campaigns, CRM data, automation, content and events.</t>
        </is>
      </c>
      <c r="I608" s="64" t="n"/>
      <c r="J608" s="63" t="n"/>
      <c r="K608" s="9" t="inlineStr">
        <is>
          <t>Entry exposure only; listed September 2026 deadline has passed.</t>
        </is>
      </c>
      <c r="L608" s="64" t="n"/>
      <c r="M608" s="63" t="n"/>
      <c r="N608" s="9" t="inlineStr">
        <is>
          <t>USA</t>
        </is>
      </c>
      <c r="O608" s="9" t="inlineStr">
        <is>
          <t>https://workiva.wd503.myworkdayjobs.com/careers/job/usa---remote/spring---summer-2027-intern---marketing_r12193</t>
        </is>
      </c>
    </row>
    <row r="609" ht="106" customHeight="1">
      <c r="A609" s="14" t="inlineStr">
        <is>
          <t>N09</t>
        </is>
      </c>
      <c r="B609" s="9" t="inlineStr">
        <is>
          <t>Lens 1 direct peer</t>
        </is>
      </c>
      <c r="C609" s="63" t="n"/>
      <c r="D609" s="9" t="inlineStr">
        <is>
          <t>Workiva</t>
        </is>
      </c>
      <c r="E609" s="63" t="n"/>
      <c r="F609" s="9" t="inlineStr">
        <is>
          <t>Senior Campaign Manager</t>
        </is>
      </c>
      <c r="G609" s="63" t="n"/>
      <c r="H609" s="9" t="inlineStr">
        <is>
          <t>Integrated campaign ownership, channel decisions and pipeline accountability.</t>
        </is>
      </c>
      <c r="I609" s="64" t="n"/>
      <c r="J609" s="63" t="n"/>
      <c r="K609" s="9" t="inlineStr">
        <is>
          <t>Manager title does not establish direct reports.</t>
        </is>
      </c>
      <c r="L609" s="64" t="n"/>
      <c r="M609" s="63" t="n"/>
      <c r="N609" s="9" t="inlineStr">
        <is>
          <t>USA</t>
        </is>
      </c>
      <c r="O609" s="9" t="inlineStr">
        <is>
          <t>https://workiva.wd503.myworkdayjobs.com/careers/job/usa---remote/senior-campaign-manager_r12423-1</t>
        </is>
      </c>
    </row>
    <row r="610" ht="119" customHeight="1">
      <c r="A610" s="14" t="inlineStr">
        <is>
          <t>N10</t>
        </is>
      </c>
      <c r="B610" s="9" t="inlineStr">
        <is>
          <t>Lens 1 direct peer</t>
        </is>
      </c>
      <c r="C610" s="63" t="n"/>
      <c r="D610" s="9" t="inlineStr">
        <is>
          <t>Workiva</t>
        </is>
      </c>
      <c r="E610" s="63" t="n"/>
      <c r="F610" s="9" t="inlineStr">
        <is>
          <t>Product Marketing Operations Director</t>
        </is>
      </c>
      <c r="G610" s="63" t="n"/>
      <c r="H610" s="9" t="inlineStr">
        <is>
          <t>Explicit IC director role owning planning, budgets and cross-functional operating cadence.</t>
        </is>
      </c>
      <c r="I610" s="64" t="n"/>
      <c r="J610" s="63" t="n"/>
      <c r="K610" s="9" t="inlineStr">
        <is>
          <t>Not the same job as marketing automation; important title/track counterexample.</t>
        </is>
      </c>
      <c r="L610" s="64" t="n"/>
      <c r="M610" s="63" t="n"/>
      <c r="N610" s="9" t="inlineStr">
        <is>
          <t>USA</t>
        </is>
      </c>
      <c r="O610" s="9" t="inlineStr">
        <is>
          <t>https://workiva.wd503.myworkdayjobs.com/en-US/careers/job/Product-Marketing-Operations-Director_R12164</t>
        </is>
      </c>
    </row>
    <row r="611" ht="145" customHeight="1">
      <c r="A611" s="14" t="inlineStr">
        <is>
          <t>N11</t>
        </is>
      </c>
      <c r="B611" s="9" t="inlineStr">
        <is>
          <t>Lens 1 direct peer</t>
        </is>
      </c>
      <c r="C611" s="63" t="n"/>
      <c r="D611" s="9" t="inlineStr">
        <is>
          <t>Workiva</t>
        </is>
      </c>
      <c r="E611" s="63" t="n"/>
      <c r="F611" s="9" t="inlineStr">
        <is>
          <t>Sales Development Representative, SLED</t>
        </is>
      </c>
      <c r="G611" s="63" t="n"/>
      <c r="H611" s="9" t="inlineStr">
        <is>
          <t>Prospecting and qualification feed account executives.</t>
        </is>
      </c>
      <c r="I611" s="64" t="n"/>
      <c r="J611" s="63" t="n"/>
      <c r="K611" s="9" t="inlineStr">
        <is>
          <t>US public-sector segment; do not transplant activity quotas.</t>
        </is>
      </c>
      <c r="L611" s="64" t="n"/>
      <c r="M611" s="63" t="n"/>
      <c r="N611" s="9" t="inlineStr">
        <is>
          <t>USA</t>
        </is>
      </c>
      <c r="O611" s="9" t="inlineStr">
        <is>
          <t>https://workiva.wd503.myworkdayjobs.com/en-US/careers/job/Territory-Development-Representative---State--Local---Education--SLED-_R12066</t>
        </is>
      </c>
    </row>
    <row r="612" ht="132" customHeight="1">
      <c r="A612" s="14" t="inlineStr">
        <is>
          <t>N12</t>
        </is>
      </c>
      <c r="B612" s="9" t="inlineStr">
        <is>
          <t>Lens 1 direct peer</t>
        </is>
      </c>
      <c r="C612" s="63" t="n"/>
      <c r="D612" s="9" t="inlineStr">
        <is>
          <t>Workiva</t>
        </is>
      </c>
      <c r="E612" s="63" t="n"/>
      <c r="F612" s="9" t="inlineStr">
        <is>
          <t>Account Executive, SLED</t>
        </is>
      </c>
      <c r="G612" s="63" t="n"/>
      <c r="H612" s="9" t="inlineStr">
        <is>
          <t>Owns acquisition, expansion, commercial forecasting and closing.</t>
        </is>
      </c>
      <c r="I612" s="64" t="n"/>
      <c r="J612" s="63" t="n"/>
      <c r="K612" s="9" t="inlineStr">
        <is>
          <t>Account sales is distinct from SDR qualification; no grade inferred.</t>
        </is>
      </c>
      <c r="L612" s="64" t="n"/>
      <c r="M612" s="63" t="n"/>
      <c r="N612" s="9" t="inlineStr">
        <is>
          <t>USA</t>
        </is>
      </c>
      <c r="O612" s="9" t="inlineStr">
        <is>
          <t>https://workiva.wd503.myworkdayjobs.com/careers/job/usa---remote/account-executive---state--local---education--sled-_r12020</t>
        </is>
      </c>
    </row>
    <row r="613" ht="106" customHeight="1">
      <c r="A613" s="14" t="inlineStr">
        <is>
          <t>N13</t>
        </is>
      </c>
      <c r="B613" s="9" t="inlineStr">
        <is>
          <t>Lens 1 direct peer</t>
        </is>
      </c>
      <c r="C613" s="63" t="n"/>
      <c r="D613" s="9" t="inlineStr">
        <is>
          <t>Workiva</t>
        </is>
      </c>
      <c r="E613" s="63" t="n"/>
      <c r="F613" s="9" t="inlineStr">
        <is>
          <t>Senior Account Executive, SLED</t>
        </is>
      </c>
      <c r="G613" s="63" t="n"/>
      <c r="H613" s="9" t="inlineStr">
        <is>
          <t>Senior account-executive title and enterprise sales duties are published.</t>
        </is>
      </c>
      <c r="I613" s="64" t="n"/>
      <c r="J613" s="63" t="n"/>
      <c r="K613" s="9" t="inlineStr">
        <is>
          <r>
            <rPr>
              <rFont val="Calibri"/>
              <b val="1"/>
              <sz val="10"/>
            </rPr>
            <t>Similar duties to AE listing:</t>
          </r>
          <r>
            <rPr>
              <rFont val="Calibri"/>
              <sz val="10"/>
            </rPr>
            <t xml:space="preserve"> precise step-up in scope is not established.</t>
          </r>
        </is>
      </c>
      <c r="L613" s="64" t="n"/>
      <c r="M613" s="63" t="n"/>
      <c r="N613" s="9" t="inlineStr">
        <is>
          <t>USA</t>
        </is>
      </c>
      <c r="O613" s="9" t="inlineStr">
        <is>
          <t>https://workiva.wd503.myworkdayjobs.com/en-US/careers/job/Senior-Account-Executive---SLED_R12096</t>
        </is>
      </c>
    </row>
    <row r="614" ht="119" customHeight="1">
      <c r="A614" s="14" t="inlineStr">
        <is>
          <t>N14</t>
        </is>
      </c>
      <c r="B614" s="9" t="inlineStr">
        <is>
          <t>Lens 1 direct peer</t>
        </is>
      </c>
      <c r="C614" s="63" t="n"/>
      <c r="D614" s="9" t="inlineStr">
        <is>
          <t>Workiva</t>
        </is>
      </c>
      <c r="E614" s="63" t="n"/>
      <c r="F614" s="9" t="inlineStr">
        <is>
          <t>Senior Partner Sales Executive</t>
        </is>
      </c>
      <c r="G614" s="63" t="n"/>
      <c r="H614" s="9" t="inlineStr">
        <is>
          <t>Partner GTM responsibility with a partnerships director reporting line.</t>
        </is>
      </c>
      <c r="I614" s="64" t="n"/>
      <c r="J614" s="63" t="n"/>
      <c r="K614" s="9" t="inlineStr">
        <is>
          <t>Brazil-specific role; not proof of the full alliance hierarchy.</t>
        </is>
      </c>
      <c r="L614" s="64" t="n"/>
      <c r="M614" s="63" t="n"/>
      <c r="N614" s="9" t="inlineStr">
        <is>
          <t>Brazil</t>
        </is>
      </c>
      <c r="O614" s="9" t="inlineStr">
        <is>
          <t>https://workiva.wd503.myworkdayjobs.com/careers/job/remote---brazil/senior-partner-sales-executive---brazil_r12195</t>
        </is>
      </c>
    </row>
    <row r="615" ht="119" customHeight="1">
      <c r="A615" s="14" t="inlineStr">
        <is>
          <t>N15</t>
        </is>
      </c>
      <c r="B615" s="9" t="inlineStr">
        <is>
          <t>Lens 1 direct peer</t>
        </is>
      </c>
      <c r="C615" s="63" t="n"/>
      <c r="D615" s="9" t="inlineStr">
        <is>
          <t>Workiva</t>
        </is>
      </c>
      <c r="E615" s="63" t="n"/>
      <c r="F615" s="9" t="inlineStr">
        <is>
          <t>Customer Success Manager</t>
        </is>
      </c>
      <c r="G615" s="63" t="n"/>
      <c r="H615" s="9" t="inlineStr">
        <is>
          <t>Assigned accounts, adoption, customer outcomes and renewal coordination.</t>
        </is>
      </c>
      <c r="I615" s="64" t="n"/>
      <c r="J615" s="63" t="n"/>
      <c r="K615" s="9" t="inlineStr">
        <is>
          <t>Language and territory requirements are local overlays.</t>
        </is>
      </c>
      <c r="L615" s="64" t="n"/>
      <c r="M615" s="63" t="n"/>
      <c r="N615" s="9" t="inlineStr">
        <is>
          <t>Netherlands / Sweden</t>
        </is>
      </c>
      <c r="O615" s="9" t="inlineStr">
        <is>
          <t>https://workiva.wd503.myworkdayjobs.com/en-US/careers/job/Customer-Success-Manager---Finnish-Speaker_R11553-1</t>
        </is>
      </c>
    </row>
    <row r="616" ht="132" customHeight="1">
      <c r="A616" s="14" t="inlineStr">
        <is>
          <t>N16</t>
        </is>
      </c>
      <c r="B616" s="9" t="inlineStr">
        <is>
          <t>Lens 1 direct peer</t>
        </is>
      </c>
      <c r="C616" s="63" t="n"/>
      <c r="D616" s="9" t="inlineStr">
        <is>
          <t>Workiva</t>
        </is>
      </c>
      <c r="E616" s="63" t="n"/>
      <c r="F616" s="9" t="inlineStr">
        <is>
          <t>Lead Customer Success Manager, Public Sector</t>
        </is>
      </c>
      <c r="G616" s="63" t="n"/>
      <c r="H616" s="9" t="inlineStr">
        <is>
          <t>Complex public-sector account portfolios, executive engagement and escalations.</t>
        </is>
      </c>
      <c r="I616" s="64" t="n"/>
      <c r="J616" s="63" t="n"/>
      <c r="K616" s="9" t="inlineStr">
        <is>
          <t>Cross-geography comparison with N15 is directional, not a certified promotion sequence.</t>
        </is>
      </c>
      <c r="L616" s="64" t="n"/>
      <c r="M616" s="63" t="n"/>
      <c r="N616" s="9" t="inlineStr">
        <is>
          <t>USA</t>
        </is>
      </c>
      <c r="O616" s="9" t="inlineStr">
        <is>
          <t>https://workiva.wd503.myworkdayjobs.com/careers/job/usa---remote/lead-customer-success-manager--public-sector_r12417</t>
        </is>
      </c>
    </row>
    <row r="617" ht="106" customHeight="1">
      <c r="A617" s="14" t="inlineStr">
        <is>
          <t>N17</t>
        </is>
      </c>
      <c r="B617" s="9" t="inlineStr">
        <is>
          <t>Lens 1 direct peer</t>
        </is>
      </c>
      <c r="C617" s="63" t="n"/>
      <c r="D617" s="9" t="inlineStr">
        <is>
          <t>Workiva</t>
        </is>
      </c>
      <c r="E617" s="63" t="n"/>
      <c r="F617" s="9" t="inlineStr">
        <is>
          <t>VP of Customer Experience</t>
        </is>
      </c>
      <c r="G617" s="63" t="n"/>
      <c r="H617" s="9" t="inlineStr">
        <is>
          <t>Broad support, customer education, community and digital-experience leadership.</t>
        </is>
      </c>
      <c r="I617" s="64" t="n"/>
      <c r="J617" s="63" t="n"/>
      <c r="K617" s="9" t="inlineStr">
        <is>
          <t>A shared functional destination, not a separate VP for every support specialism.</t>
        </is>
      </c>
      <c r="L617" s="64" t="n"/>
      <c r="M617" s="63" t="n"/>
      <c r="N617" s="9" t="inlineStr">
        <is>
          <t>USA</t>
        </is>
      </c>
      <c r="O617" s="9" t="inlineStr">
        <is>
          <t>https://workiva.wd503.myworkdayjobs.com/careers/job/USA---Remote/VP-of-Customer-Experience_R11897</t>
        </is>
      </c>
    </row>
    <row r="618" ht="93" customHeight="1">
      <c r="A618" s="14" t="inlineStr">
        <is>
          <t>N18</t>
        </is>
      </c>
      <c r="B618" s="9" t="inlineStr">
        <is>
          <t>Lens 1 direct peer</t>
        </is>
      </c>
      <c r="C618" s="63" t="n"/>
      <c r="D618" s="9" t="inlineStr">
        <is>
          <t>Workiva</t>
        </is>
      </c>
      <c r="E618" s="63" t="n"/>
      <c r="F618" s="9" t="inlineStr">
        <is>
          <t>Product Support Engineer</t>
        </is>
      </c>
      <c r="G618" s="63" t="n"/>
      <c r="H618" s="9" t="inlineStr">
        <is>
          <t>Product diagnosis, customer cases, knowledge articles and junior mentoring.</t>
        </is>
      </c>
      <c r="I618" s="64" t="n"/>
      <c r="J618" s="63" t="n"/>
      <c r="K618" s="9" t="inlineStr">
        <is>
          <t>Customer product support, not internal employee IT.</t>
        </is>
      </c>
      <c r="L618" s="64" t="n"/>
      <c r="M618" s="63" t="n"/>
      <c r="N618" s="9" t="inlineStr">
        <is>
          <t>UK / Netherlands</t>
        </is>
      </c>
      <c r="O618" s="9" t="inlineStr">
        <is>
          <t>https://workiva.wd503.myworkdayjobs.com/en-US/careers/job/Product-Support-Engineer_R11734</t>
        </is>
      </c>
    </row>
    <row r="619" ht="132" customHeight="1">
      <c r="A619" s="14" t="inlineStr">
        <is>
          <t>N19</t>
        </is>
      </c>
      <c r="B619" s="9" t="inlineStr">
        <is>
          <t>Lens 1 direct peer</t>
        </is>
      </c>
      <c r="C619" s="63" t="n"/>
      <c r="D619" s="9" t="inlineStr">
        <is>
          <t>Workiva</t>
        </is>
      </c>
      <c r="E619" s="63" t="n"/>
      <c r="F619" s="9" t="inlineStr">
        <is>
          <t>Senior Manager of Product Support</t>
        </is>
      </c>
      <c r="G619" s="63" t="n"/>
      <c r="H619" s="9" t="inlineStr">
        <is>
          <t>Formal support-team leadership and full performance-cycle ownership.</t>
        </is>
      </c>
      <c r="I619" s="64" t="n"/>
      <c r="J619" s="63" t="n"/>
      <c r="K619" s="9" t="inlineStr">
        <is>
          <t>Evidence distinguishes people management from technical case leadership.</t>
        </is>
      </c>
      <c r="L619" s="64" t="n"/>
      <c r="M619" s="63" t="n"/>
      <c r="N619" s="9" t="inlineStr">
        <is>
          <t>Netherlands</t>
        </is>
      </c>
      <c r="O619" s="9" t="inlineStr">
        <is>
          <t>https://workiva.wd503.myworkdayjobs.com/en-US/careers/job/Senior-Manager-of-Product-Support---FRX---Capital-Markets_R11869</t>
        </is>
      </c>
    </row>
    <row r="620" ht="119" customHeight="1">
      <c r="A620" s="14" t="inlineStr">
        <is>
          <t>N20</t>
        </is>
      </c>
      <c r="B620" s="9" t="inlineStr">
        <is>
          <t>Lens 1 direct peer</t>
        </is>
      </c>
      <c r="C620" s="63" t="n"/>
      <c r="D620" s="9" t="inlineStr">
        <is>
          <t>Workiva</t>
        </is>
      </c>
      <c r="E620" s="63" t="n"/>
      <c r="F620" s="9" t="inlineStr">
        <is>
          <t>Senior AV Engineer</t>
        </is>
      </c>
      <c r="G620" s="63" t="n"/>
      <c r="H620" s="9" t="inlineStr">
        <is>
          <t>Independently recommends equipment and coordinates vendors without purchasing authority.</t>
        </is>
      </c>
      <c r="I620" s="64" t="n"/>
      <c r="J620" s="63" t="n"/>
      <c r="K620" s="9" t="inlineStr">
        <is>
          <t>Adjacent to workplace/IT, not a facilities or procurement ladder.</t>
        </is>
      </c>
      <c r="L620" s="64" t="n"/>
      <c r="M620" s="63" t="n"/>
      <c r="N620" s="9" t="inlineStr">
        <is>
          <t>USA</t>
        </is>
      </c>
      <c r="O620" s="9" t="inlineStr">
        <is>
          <t>https://workiva.wd503.myworkdayjobs.com/en-US/careers/job/Senior-AV-Engineer---Hybrid--Ames--IA-Office-_R11923</t>
        </is>
      </c>
    </row>
    <row r="621" ht="67" customHeight="1">
      <c r="A621" s="14" t="inlineStr">
        <is>
          <t>N21</t>
        </is>
      </c>
      <c r="B621" s="9" t="inlineStr">
        <is>
          <t>Lens 1 direct peer</t>
        </is>
      </c>
      <c r="C621" s="63" t="n"/>
      <c r="D621" s="9" t="inlineStr">
        <is>
          <t>Regnology</t>
        </is>
      </c>
      <c r="E621" s="63" t="n"/>
      <c r="F621" s="9" t="inlineStr">
        <is>
          <t>IT Technical Writer</t>
        </is>
      </c>
      <c r="G621" s="63" t="n"/>
      <c r="H621" s="9" t="inlineStr">
        <is>
          <t>Banking-product documentation, domain accuracy and documentation-as-code.</t>
        </is>
      </c>
      <c r="I621" s="64" t="n"/>
      <c r="J621" s="63" t="n"/>
      <c r="K621" s="9" t="inlineStr">
        <is>
          <t>Distinct from document conversion; supports a proposed technical-writing branch.</t>
        </is>
      </c>
      <c r="L621" s="64" t="n"/>
      <c r="M621" s="63" t="n"/>
      <c r="N621" s="9" t="inlineStr">
        <is>
          <t>Tunisia</t>
        </is>
      </c>
      <c r="O621" s="9" t="inlineStr">
        <is>
          <t>https://www.regnology.net/en/careers/detail/?id=2644483</t>
        </is>
      </c>
    </row>
    <row r="622" ht="67" customHeight="1">
      <c r="A622" s="14" t="inlineStr">
        <is>
          <t>N22</t>
        </is>
      </c>
      <c r="B622" s="9" t="inlineStr">
        <is>
          <t>Lens 2 domain practice</t>
        </is>
      </c>
      <c r="C622" s="63" t="n"/>
      <c r="D622" s="9" t="inlineStr">
        <is>
          <t>Dropbox</t>
        </is>
      </c>
      <c r="E622" s="63" t="n"/>
      <c r="F622" s="9" t="inlineStr">
        <is>
          <t>Engineering career framework v2.9.1</t>
        </is>
      </c>
      <c r="G622" s="63" t="n"/>
      <c r="H622" s="9" t="inlineStr">
        <is>
          <t>Separate software, QA, SDET, reliability, ML, data, security and management paths.</t>
        </is>
      </c>
      <c r="I622" s="64" t="n"/>
      <c r="J622" s="63" t="n"/>
      <c r="K622" s="9" t="inlineStr">
        <is>
          <t>Published discipline paths differ in length. Neither Dropbox codes nor pay levels are copied.</t>
        </is>
      </c>
      <c r="L622" s="64" t="n"/>
      <c r="M622" s="63" t="n"/>
      <c r="N622" s="9" t="inlineStr">
        <is>
          <t>Global</t>
        </is>
      </c>
      <c r="O622" s="9" t="inlineStr">
        <is>
          <t>https://dropbox.github.io/dbx-career-framework/index.html</t>
        </is>
      </c>
    </row>
    <row r="623" ht="41" customHeight="1">
      <c r="A623" s="14" t="inlineStr">
        <is>
          <t>N23</t>
        </is>
      </c>
      <c r="B623" s="9" t="inlineStr">
        <is>
          <t>Lens 2 other sector</t>
        </is>
      </c>
      <c r="C623" s="63" t="n"/>
      <c r="D623" s="9" t="inlineStr">
        <is>
          <t>Wise</t>
        </is>
      </c>
      <c r="E623" s="63" t="n"/>
      <c r="F623" s="9" t="inlineStr">
        <is>
          <t>Product career map</t>
        </is>
      </c>
      <c r="G623" s="63" t="n"/>
      <c r="H623" s="9" t="inlineStr">
        <is>
          <t>Product ownership expands from features through broader product and team portfolios.</t>
        </is>
      </c>
      <c r="I623" s="64" t="n"/>
      <c r="J623" s="63" t="n"/>
      <c r="K623" s="9" t="inlineStr">
        <is>
          <t>Company-specific path; leadership terms do not automatically mean people management.</t>
        </is>
      </c>
      <c r="L623" s="64" t="n"/>
      <c r="M623" s="63" t="n"/>
      <c r="N623" s="9" t="inlineStr">
        <is>
          <t>Global</t>
        </is>
      </c>
      <c r="O623" s="9" t="inlineStr">
        <is>
          <t>https://wise.jobs/product-career-map</t>
        </is>
      </c>
    </row>
    <row r="624" ht="41" customHeight="1">
      <c r="A624" s="14" t="inlineStr">
        <is>
          <t>N24</t>
        </is>
      </c>
      <c r="B624" s="9" t="inlineStr">
        <is>
          <t>Lens 2 other sector</t>
        </is>
      </c>
      <c r="C624" s="63" t="n"/>
      <c r="D624" s="9" t="inlineStr">
        <is>
          <t>Wise</t>
        </is>
      </c>
      <c r="E624" s="63" t="n"/>
      <c r="F624" s="9" t="inlineStr">
        <is>
          <t>Analytics career map</t>
        </is>
      </c>
      <c r="G624" s="63" t="n"/>
      <c r="H624" s="9" t="inlineStr">
        <is>
          <t>Separate IC and analytics leadership paths; responsibility and skills are distinct.</t>
        </is>
      </c>
      <c r="I624" s="64" t="n"/>
      <c r="J624" s="63" t="n"/>
      <c r="K624" s="9" t="inlineStr">
        <is>
          <t>Published job expectations support scope design; salary figures excluded.</t>
        </is>
      </c>
      <c r="L624" s="64" t="n"/>
      <c r="M624" s="63" t="n"/>
      <c r="N624" s="9" t="inlineStr">
        <is>
          <t>Global</t>
        </is>
      </c>
      <c r="O624" s="9" t="inlineStr">
        <is>
          <t>https://wise.jobs/analytics-career-map</t>
        </is>
      </c>
    </row>
    <row r="625" ht="54" customHeight="1">
      <c r="A625" s="14" t="inlineStr">
        <is>
          <t>N25</t>
        </is>
      </c>
      <c r="B625" s="9" t="inlineStr">
        <is>
          <t>Lens 2 other sector</t>
        </is>
      </c>
      <c r="C625" s="63" t="n"/>
      <c r="D625" s="9" t="inlineStr">
        <is>
          <t>Wise</t>
        </is>
      </c>
      <c r="E625" s="63" t="n"/>
      <c r="F625" s="9" t="inlineStr">
        <is>
          <t>Data science career map</t>
        </is>
      </c>
      <c r="G625" s="63" t="n"/>
      <c r="H625" s="9" t="inlineStr">
        <is>
          <t>Published data-science levels describe wider ownership, problem solving and influence.</t>
        </is>
      </c>
      <c r="I625" s="64" t="n"/>
      <c r="J625" s="63" t="n"/>
      <c r="K625" s="9" t="inlineStr">
        <is>
          <t>Data-science evidence replaces the V1 use of data-engineering titles for this discipline.</t>
        </is>
      </c>
      <c r="L625" s="64" t="n"/>
      <c r="M625" s="63" t="n"/>
      <c r="N625" s="9" t="inlineStr">
        <is>
          <t>Global</t>
        </is>
      </c>
      <c r="O625" s="9" t="inlineStr">
        <is>
          <t>https://wise.jobs/data-science-career-map</t>
        </is>
      </c>
    </row>
    <row r="626" ht="119" customHeight="1">
      <c r="A626" s="14" t="inlineStr">
        <is>
          <t>N26</t>
        </is>
      </c>
      <c r="B626" s="9" t="inlineStr">
        <is>
          <t>Lens 2 professional standard</t>
        </is>
      </c>
      <c r="C626" s="63" t="n"/>
      <c r="D626" s="9" t="inlineStr">
        <is>
          <t>NIST</t>
        </is>
      </c>
      <c r="E626" s="63" t="n"/>
      <c r="F626" s="9" t="inlineStr">
        <is>
          <t>NICE framework current components</t>
        </is>
      </c>
      <c r="G626" s="63" t="n"/>
      <c r="H626" s="9" t="inlineStr">
        <is>
          <t>Separates cybersecurity work roles, tasks, knowledge and skills; current listed components v2.2.0.</t>
        </is>
      </c>
      <c r="I626" s="64" t="n"/>
      <c r="J626" s="63" t="n"/>
      <c r="K626" s="9" t="inlineStr">
        <is>
          <t>Work roles are not corporate grades. Retain version and do not infer maturity from title.</t>
        </is>
      </c>
      <c r="L626" s="64" t="n"/>
      <c r="M626" s="63" t="n"/>
      <c r="N626" s="9" t="inlineStr">
        <is>
          <t>Global</t>
        </is>
      </c>
      <c r="O626" s="9" t="inlineStr">
        <is>
          <t>https://www.nist.gov/itl/applied-cybersecurity/nice/nice-framework-resource-center/nice-framework-current-versions</t>
        </is>
      </c>
    </row>
    <row r="627" ht="132" customHeight="1">
      <c r="A627" s="14" t="inlineStr">
        <is>
          <t>N27</t>
        </is>
      </c>
      <c r="B627" s="9" t="inlineStr">
        <is>
          <t>Method</t>
        </is>
      </c>
      <c r="C627" s="63" t="n"/>
      <c r="D627" s="9" t="inlineStr">
        <is>
          <t>ILO</t>
        </is>
      </c>
      <c r="E627" s="63" t="n"/>
      <c r="F627" s="9" t="inlineStr">
        <is>
          <t>Gender-neutral job evaluation guide</t>
        </is>
      </c>
      <c r="G627" s="63" t="n"/>
      <c r="H627" s="9" t="inlineStr">
        <is>
          <t>Analytical evaluation considers skills, effort, responsibility and working conditions.</t>
        </is>
      </c>
      <c r="I627" s="64" t="n"/>
      <c r="J627" s="63" t="n"/>
      <c r="K627" s="9" t="inlineStr">
        <is>
          <t>2009 methodology, not a validation of the proposed weights or current legal advice.</t>
        </is>
      </c>
      <c r="L627" s="64" t="n"/>
      <c r="M627" s="63" t="n"/>
      <c r="N627" s="9" t="inlineStr">
        <is>
          <t>Global</t>
        </is>
      </c>
      <c r="O627" s="9" t="inlineStr">
        <is>
          <t>https://www.ilo.org/sites/default/files/wcmsp5/groups/public/%40ed_norm/%40declaration/documents/publication/wcms_122372.pdf</t>
        </is>
      </c>
    </row>
    <row r="628" ht="80" customHeight="1">
      <c r="A628" s="14" t="inlineStr">
        <is>
          <t>N28</t>
        </is>
      </c>
      <c r="B628" s="9" t="inlineStr">
        <is>
          <t>Lens 2 professional standard</t>
        </is>
      </c>
      <c r="C628" s="63" t="n"/>
      <c r="D628" s="9" t="inlineStr">
        <is>
          <t>Chartered Governance Institute</t>
        </is>
      </c>
      <c r="E628" s="63" t="n"/>
      <c r="F628" s="9" t="inlineStr">
        <is>
          <t>Governance competency framework</t>
        </is>
      </c>
      <c r="G628" s="63" t="n"/>
      <c r="H628" s="9" t="inlineStr">
        <is>
          <t>Governance capability develops through entry, emerging, established and expert stages.</t>
        </is>
      </c>
      <c r="I628" s="64" t="n"/>
      <c r="J628" s="63" t="n"/>
      <c r="K628" s="9" t="inlineStr">
        <is>
          <t>Competence stages are not statutory appointments or corporate grades.</t>
        </is>
      </c>
      <c r="L628" s="64" t="n"/>
      <c r="M628" s="63" t="n"/>
      <c r="N628" s="9" t="inlineStr">
        <is>
          <t>Global</t>
        </is>
      </c>
      <c r="O628" s="9" t="inlineStr">
        <is>
          <t>https://www.cgi.org.uk/qualifications-training/competency-framework/</t>
        </is>
      </c>
    </row>
    <row r="629" ht="80" customHeight="1">
      <c r="A629" s="14" t="inlineStr">
        <is>
          <t>N29</t>
        </is>
      </c>
      <c r="B629" s="9" t="inlineStr">
        <is>
          <t>Lens 2 professional standard</t>
        </is>
      </c>
      <c r="C629" s="63" t="n"/>
      <c r="D629" s="9" t="inlineStr">
        <is>
          <t>Association of Corporate Treasurers</t>
        </is>
      </c>
      <c r="E629" s="63" t="n"/>
      <c r="F629" s="9" t="inlineStr">
        <is>
          <t>Treasury competency framework</t>
        </is>
      </c>
      <c r="G629" s="63" t="n"/>
      <c r="H629" s="9" t="inlineStr">
        <is>
          <t>Treasury has tactical, operational, managerial and strategic responsibility contexts.</t>
        </is>
      </c>
      <c r="I629" s="64" t="n"/>
      <c r="J629" s="63" t="n"/>
      <c r="K629" s="9" t="inlineStr">
        <is>
          <t>Use treasury scope; salary guidance and external level codes are excluded.</t>
        </is>
      </c>
      <c r="L629" s="64" t="n"/>
      <c r="M629" s="63" t="n"/>
      <c r="N629" s="9" t="inlineStr">
        <is>
          <t>Global</t>
        </is>
      </c>
      <c r="O629" s="9" t="inlineStr">
        <is>
          <t>https://www.treasurers.org/cpd-and-training/competency-framework/</t>
        </is>
      </c>
    </row>
    <row r="630" ht="80" customHeight="1">
      <c r="A630" s="14" t="inlineStr">
        <is>
          <t>N30</t>
        </is>
      </c>
      <c r="B630" s="9" t="inlineStr">
        <is>
          <t>Lens 2 professional standard</t>
        </is>
      </c>
      <c r="C630" s="63" t="n"/>
      <c r="D630" s="9" t="inlineStr">
        <is>
          <t>APM</t>
        </is>
      </c>
      <c r="E630" s="63" t="n"/>
      <c r="F630" s="9" t="inlineStr">
        <is>
          <t>Competence framework</t>
        </is>
      </c>
      <c r="G630" s="63" t="n"/>
      <c r="H630" s="9" t="inlineStr">
        <is>
          <t>Separate project, programme, portfolio and PMO roles with knowledge/application criteria.</t>
        </is>
      </c>
      <c r="I630" s="64" t="n"/>
      <c r="J630" s="63" t="n"/>
      <c r="K630" s="9" t="inlineStr">
        <is>
          <t>Competency ratings are not job-size grades or a compulsory career sequence.</t>
        </is>
      </c>
      <c r="L630" s="64" t="n"/>
      <c r="M630" s="63" t="n"/>
      <c r="N630" s="9" t="inlineStr">
        <is>
          <t>Global</t>
        </is>
      </c>
      <c r="O630" s="9" t="inlineStr">
        <is>
          <t>https://www.apm.org.uk/resources/find-a-resource/competence-framework/</t>
        </is>
      </c>
    </row>
    <row r="631" ht="93" customHeight="1">
      <c r="A631" s="14" t="inlineStr">
        <is>
          <t>N31</t>
        </is>
      </c>
      <c r="B631" s="9" t="inlineStr">
        <is>
          <t>Lens 2 professional standard</t>
        </is>
      </c>
      <c r="C631" s="63" t="n"/>
      <c r="D631" s="9" t="inlineStr">
        <is>
          <t>ATD</t>
        </is>
      </c>
      <c r="E631" s="63" t="n"/>
      <c r="F631" s="9" t="inlineStr">
        <is>
          <t>Talent Development Capability Model</t>
        </is>
      </c>
      <c r="G631" s="63" t="n"/>
      <c r="H631" s="9" t="inlineStr">
        <is>
          <t>Development capabilities cover personal, professional and organisational practice.</t>
        </is>
      </c>
      <c r="I631" s="64" t="n"/>
      <c r="J631" s="63" t="n"/>
      <c r="K631" s="9" t="inlineStr">
        <is>
          <t>Capability model guides L&amp;D role content; does not grade jobs.</t>
        </is>
      </c>
      <c r="L631" s="64" t="n"/>
      <c r="M631" s="63" t="n"/>
      <c r="N631" s="9" t="inlineStr">
        <is>
          <t>Global</t>
        </is>
      </c>
      <c r="O631" s="9" t="inlineStr">
        <is>
          <t>https://www.td.org/chapters/clc/talent-development-capability-model-chapter-resources</t>
        </is>
      </c>
    </row>
    <row r="632" ht="80" customHeight="1">
      <c r="A632" s="14" t="inlineStr">
        <is>
          <t>N32</t>
        </is>
      </c>
      <c r="B632" s="9" t="inlineStr">
        <is>
          <t>Lens 2 professional standard</t>
        </is>
      </c>
      <c r="C632" s="63" t="n"/>
      <c r="D632" s="9" t="inlineStr">
        <is>
          <t>CIPS</t>
        </is>
      </c>
      <c r="E632" s="63" t="n"/>
      <c r="F632" s="9" t="inlineStr">
        <is>
          <t>Global Standard for procurement and supply</t>
        </is>
      </c>
      <c r="G632" s="63" t="n"/>
      <c r="H632" s="9" t="inlineStr">
        <is>
          <t>Current overview uses Delivering, Managing, Leading and Influencing bands.</t>
        </is>
      </c>
      <c r="I632" s="64" t="n"/>
      <c r="J632" s="63" t="n"/>
      <c r="K632" s="9" t="inlineStr">
        <is>
          <t>Do not carry forward an older five-band model or map qualification levels to grades.</t>
        </is>
      </c>
      <c r="L632" s="64" t="n"/>
      <c r="M632" s="63" t="n"/>
      <c r="N632" s="9" t="inlineStr">
        <is>
          <t>Global</t>
        </is>
      </c>
      <c r="O632" s="9" t="inlineStr">
        <is>
          <t>https://www.cips.org/intelligence-hub/global-standard-for-procurement-supply</t>
        </is>
      </c>
    </row>
    <row r="633" ht="80" customHeight="1">
      <c r="A633" s="14" t="inlineStr">
        <is>
          <t>N33</t>
        </is>
      </c>
      <c r="B633" s="9" t="inlineStr">
        <is>
          <t>Lens 2 professional standard</t>
        </is>
      </c>
      <c r="C633" s="63" t="n"/>
      <c r="D633" s="9" t="inlineStr">
        <is>
          <t>IIA</t>
        </is>
      </c>
      <c r="E633" s="63" t="n"/>
      <c r="F633" s="9" t="inlineStr">
        <is>
          <t>Internal Auditing Competency Framework, 2025</t>
        </is>
      </c>
      <c r="G633" s="63" t="n"/>
      <c r="H633" s="9" t="inlineStr">
        <is>
          <t>Updated guidance identifies audit knowledge, skills and proficiency expectations.</t>
        </is>
      </c>
      <c r="I633" s="64" t="n"/>
      <c r="J633" s="63" t="n"/>
      <c r="K633" s="9" t="inlineStr">
        <is>
          <t>Overview only; detailed member templates not inspected.</t>
        </is>
      </c>
      <c r="L633" s="64" t="n"/>
      <c r="M633" s="63" t="n"/>
      <c r="N633" s="9" t="inlineStr">
        <is>
          <t>Global</t>
        </is>
      </c>
      <c r="O633" s="9" t="inlineStr">
        <is>
          <t>https://www.theiia.org/en/content/guidance/global/competency-framework/</t>
        </is>
      </c>
    </row>
    <row r="634" ht="158" customHeight="1">
      <c r="A634" s="14" t="inlineStr">
        <is>
          <t>N34</t>
        </is>
      </c>
      <c r="B634" s="9" t="inlineStr">
        <is>
          <t>Lens 2 professional standard</t>
        </is>
      </c>
      <c r="C634" s="63" t="n"/>
      <c r="D634" s="9" t="inlineStr">
        <is>
          <t>ACCA</t>
        </is>
      </c>
      <c r="E634" s="63" t="n"/>
      <c r="F634" s="9" t="inlineStr">
        <is>
          <t>Career Navigator capability model</t>
        </is>
      </c>
      <c r="G634" s="63" t="n"/>
      <c r="H634" s="9" t="inlineStr">
        <is>
          <t>Role requirements combine technical and wider business capabilities across finance careers.</t>
        </is>
      </c>
      <c r="I634" s="64" t="n"/>
      <c r="J634" s="63" t="n"/>
      <c r="K634" s="9" t="inlineStr">
        <is>
          <t>Qualification completion is not automatic corporate seniority.</t>
        </is>
      </c>
      <c r="L634" s="64" t="n"/>
      <c r="M634" s="63" t="n"/>
      <c r="N634" s="9" t="inlineStr">
        <is>
          <t>Global</t>
        </is>
      </c>
      <c r="O634" s="9" t="inlineStr">
        <is>
          <t>https://www.accaglobal.com/gb/en/employer/train-and-develop-finance-talent/what-skills-and-competencies-does-the-acca-qualification-develop.html</t>
        </is>
      </c>
    </row>
    <row r="635" ht="80" customHeight="1">
      <c r="A635" s="14" t="inlineStr">
        <is>
          <t>N35</t>
        </is>
      </c>
      <c r="B635" s="9" t="inlineStr">
        <is>
          <t>Lens 2 other sector</t>
        </is>
      </c>
      <c r="C635" s="63" t="n"/>
      <c r="D635" s="9" t="inlineStr">
        <is>
          <t>Skills England</t>
        </is>
      </c>
      <c r="E635" s="63" t="n"/>
      <c r="F635" s="9" t="inlineStr">
        <is>
          <t>Sales executive occupational standard</t>
        </is>
      </c>
      <c r="G635" s="63" t="n"/>
      <c r="H635" s="9" t="inlineStr">
        <is>
          <t>Sales work includes needs analysis, end-to-end selling and growing accounts.</t>
        </is>
      </c>
      <c r="I635" s="64" t="n"/>
      <c r="J635" s="63" t="n"/>
      <c r="K635" s="9" t="inlineStr">
        <is>
          <t>Apprenticeship level is educational and must not become a job grade.</t>
        </is>
      </c>
      <c r="L635" s="64" t="n"/>
      <c r="M635" s="63" t="n"/>
      <c r="N635" s="9" t="inlineStr">
        <is>
          <t>UK</t>
        </is>
      </c>
      <c r="O635" s="9" t="inlineStr">
        <is>
          <t>https://skillsengland.education.gov.uk/apprenticeship-standards/st0572-v1-1</t>
        </is>
      </c>
    </row>
    <row r="636" ht="41" customHeight="1">
      <c r="A636" s="14" t="inlineStr">
        <is>
          <t>N36</t>
        </is>
      </c>
      <c r="B636" s="9" t="inlineStr">
        <is>
          <t>Lens 2 professional standard</t>
        </is>
      </c>
      <c r="C636" s="63" t="n"/>
      <c r="D636" s="9" t="inlineStr">
        <is>
          <t>IIA</t>
        </is>
      </c>
      <c r="E636" s="63" t="n"/>
      <c r="F636" s="9" t="inlineStr">
        <is>
          <t>Global Internal Audit Standards</t>
        </is>
      </c>
      <c r="G636" s="63" t="n"/>
      <c r="H636" s="9" t="inlineStr">
        <is>
          <t>Professional standards address the effective governance and practice of internal audit.</t>
        </is>
      </c>
      <c r="I636" s="64" t="n"/>
      <c r="J636" s="63" t="n"/>
      <c r="K636" s="9" t="inlineStr">
        <is>
          <t>A role taxonomy must preserve audit independence; it is not a reporting-line mandate for every firm.</t>
        </is>
      </c>
      <c r="L636" s="64" t="n"/>
      <c r="M636" s="63" t="n"/>
      <c r="N636" s="9" t="inlineStr">
        <is>
          <t>Global</t>
        </is>
      </c>
      <c r="O636" s="9" t="inlineStr">
        <is>
          <t>https://www.theiia.org/en/standards/</t>
        </is>
      </c>
    </row>
    <row r="637" ht="54" customHeight="1">
      <c r="A637" s="14" t="inlineStr">
        <is>
          <t>R03</t>
        </is>
      </c>
      <c r="B637" s="9" t="inlineStr">
        <is>
          <t>Lens 1</t>
        </is>
      </c>
      <c r="C637" s="63" t="n"/>
      <c r="D637" s="9" t="inlineStr">
        <is>
          <t>DataTracks</t>
        </is>
      </c>
      <c r="E637" s="63" t="n"/>
      <c r="F637" s="9" t="inlineStr">
        <is>
          <t>Published career openings</t>
        </is>
      </c>
      <c r="G637" s="63" t="n"/>
      <c r="H637" s="9" t="inlineStr">
        <is>
          <t>Associate Document Specialist, Senior Associate Document Specialist and Business Development Executive are published in Chennai.</t>
        </is>
      </c>
      <c r="I637" s="64" t="n"/>
      <c r="J637" s="63" t="n"/>
      <c r="K637" s="9" t="inlineStr">
        <is>
          <t>Observable role titles only. No complete manager-to-executive ladder is published on this page.</t>
        </is>
      </c>
      <c r="L637" s="64" t="n"/>
      <c r="M637" s="63" t="n"/>
      <c r="N637" s="9" t="inlineStr">
        <is>
          <t>India</t>
        </is>
      </c>
      <c r="O637" s="9" t="inlineStr">
        <is>
          <t>https://datatracks.com/careers/</t>
        </is>
      </c>
    </row>
    <row r="638" ht="67" customHeight="1">
      <c r="A638" s="14" t="inlineStr">
        <is>
          <t>R05</t>
        </is>
      </c>
      <c r="B638" s="9" t="inlineStr">
        <is>
          <t>Lens 1</t>
        </is>
      </c>
      <c r="C638" s="63" t="n"/>
      <c r="D638" s="9" t="inlineStr">
        <is>
          <t>Regnology</t>
        </is>
      </c>
      <c r="E638" s="63" t="n"/>
      <c r="F638" s="9" t="inlineStr">
        <is>
          <t>Senior risk consultant</t>
        </is>
      </c>
      <c r="G638" s="63" t="n"/>
      <c r="H638" s="9" t="inlineStr">
        <is>
          <t>A senior risk consultant is described as a domain expert delivering functional financial-institution implementations.</t>
        </is>
      </c>
      <c r="I638" s="64" t="n"/>
      <c r="J638" s="63" t="n"/>
      <c r="K638" s="9" t="inlineStr">
        <is>
          <t>Risk implementation example from Poland; adjacent to XBRL advisory, not identical. No employer grade equivalence.</t>
        </is>
      </c>
      <c r="L638" s="64" t="n"/>
      <c r="M638" s="63" t="n"/>
      <c r="N638" s="9" t="inlineStr">
        <is>
          <t>Global</t>
        </is>
      </c>
      <c r="O638" s="9" t="inlineStr">
        <is>
          <t>https://regnology.jobs.personio.de/job/2645750?language=en</t>
        </is>
      </c>
    </row>
    <row r="639" ht="93" customHeight="1">
      <c r="A639" s="14" t="inlineStr">
        <is>
          <t>R06</t>
        </is>
      </c>
      <c r="B639" s="9" t="inlineStr">
        <is>
          <t>Lens 1</t>
        </is>
      </c>
      <c r="C639" s="63" t="n"/>
      <c r="D639" s="9" t="inlineStr">
        <is>
          <t>Workiva</t>
        </is>
      </c>
      <c r="E639" s="63" t="n"/>
      <c r="F639" s="9" t="inlineStr">
        <is>
          <t>Staff data engineer</t>
        </is>
      </c>
      <c r="G639" s="63" t="n"/>
      <c r="H639" s="9" t="inlineStr">
        <is>
          <t>The posting assigns ownership of data foundations across GRC engineering.</t>
        </is>
      </c>
      <c r="I639" s="64" t="n"/>
      <c r="J639" s="63" t="n"/>
      <c r="K639" s="9" t="inlineStr">
        <is>
          <t>Same requisition has inconsistent indexed text across locale URLs. Use the data-specific canonical extract; title and full grade remain uncertain.</t>
        </is>
      </c>
      <c r="L639" s="64" t="n"/>
      <c r="M639" s="63" t="n"/>
      <c r="N639" s="9" t="inlineStr">
        <is>
          <t>USA</t>
        </is>
      </c>
      <c r="O639" s="9" t="inlineStr">
        <is>
          <t>https://workiva.wd503.myworkdayjobs.com/careers/job/Staff-Data-Engineer_R12046</t>
        </is>
      </c>
    </row>
    <row r="640" ht="119" customHeight="1">
      <c r="A640" s="14" t="inlineStr">
        <is>
          <t>R08</t>
        </is>
      </c>
      <c r="B640" s="9" t="inlineStr">
        <is>
          <t>Lens 1</t>
        </is>
      </c>
      <c r="C640" s="63" t="n"/>
      <c r="D640" s="9" t="inlineStr">
        <is>
          <t>Workiva</t>
        </is>
      </c>
      <c r="E640" s="63" t="n"/>
      <c r="F640" s="9" t="inlineStr">
        <is>
          <t>Vice president product marketing</t>
        </is>
      </c>
      <c r="G640" s="63" t="n"/>
      <c r="H640" s="9" t="inlineStr">
        <is>
          <t>The position leads portfolio positioning, go-to-market strategy and a large product-marketing team.</t>
        </is>
      </c>
      <c r="I640" s="64" t="n"/>
      <c r="J640" s="63" t="n"/>
      <c r="K640" s="9" t="inlineStr">
        <is>
          <t>Supports functional executive scope. Does not mean every marketing speciality needs a VP.</t>
        </is>
      </c>
      <c r="L640" s="64" t="n"/>
      <c r="M640" s="63" t="n"/>
      <c r="N640" s="9" t="inlineStr">
        <is>
          <t>USA</t>
        </is>
      </c>
      <c r="O640" s="9" t="inlineStr">
        <is>
          <t>https://workiva.wd503.myworkdayjobs.com/careers/job/usa---remote/vice-president-of-product-marketing_r12408</t>
        </is>
      </c>
    </row>
    <row r="641" ht="119" customHeight="1">
      <c r="A641" s="14" t="inlineStr">
        <is>
          <t>R09</t>
        </is>
      </c>
      <c r="B641" s="9" t="inlineStr">
        <is>
          <t>Lens 1</t>
        </is>
      </c>
      <c r="C641" s="63" t="n"/>
      <c r="D641" s="9" t="inlineStr">
        <is>
          <t>Workiva</t>
        </is>
      </c>
      <c r="E641" s="63" t="n"/>
      <c r="F641" s="9" t="inlineStr">
        <is>
          <t>Lead program manager</t>
        </is>
      </c>
      <c r="G641" s="63" t="n"/>
      <c r="H641" s="9" t="inlineStr">
        <is>
          <t>The role coordinates complex cross-functional revenue programs, dependencies, adoption and outcomes.</t>
        </is>
      </c>
      <c r="I641" s="64" t="n"/>
      <c r="J641" s="63" t="n"/>
      <c r="K641" s="9" t="inlineStr">
        <is>
          <t>Program leadership can operate through influence without formal reporting authority.</t>
        </is>
      </c>
      <c r="L641" s="64" t="n"/>
      <c r="M641" s="63" t="n"/>
      <c r="N641" s="9" t="inlineStr">
        <is>
          <t>USA</t>
        </is>
      </c>
      <c r="O641" s="9" t="inlineStr">
        <is>
          <t>https://workiva.wd503.myworkdayjobs.com/careers/job/USA---Remote/Lead-Program-Manager---GTM-Acceleration_R11909</t>
        </is>
      </c>
    </row>
    <row r="642" ht="106" customHeight="1">
      <c r="A642" s="14" t="inlineStr">
        <is>
          <t>R10</t>
        </is>
      </c>
      <c r="B642" s="9" t="inlineStr">
        <is>
          <t>Lens 1</t>
        </is>
      </c>
      <c r="C642" s="63" t="n"/>
      <c r="D642" s="9" t="inlineStr">
        <is>
          <t>Workiva</t>
        </is>
      </c>
      <c r="E642" s="63" t="n"/>
      <c r="F642" s="9" t="inlineStr">
        <is>
          <t>Lead data product manager</t>
        </is>
      </c>
      <c r="G642" s="63" t="n"/>
      <c r="H642" s="9" t="inlineStr">
        <is>
          <t>The position owns data-product requirements, quality and adoption with finance and people stakeholders.</t>
        </is>
      </c>
      <c r="I642" s="64" t="n"/>
      <c r="J642" s="63" t="n"/>
      <c r="K642" s="9" t="inlineStr">
        <is>
          <t>Product ownership is distinct from engineering or people management.</t>
        </is>
      </c>
      <c r="L642" s="64" t="n"/>
      <c r="M642" s="63" t="n"/>
      <c r="N642" s="9" t="inlineStr">
        <is>
          <t>USA</t>
        </is>
      </c>
      <c r="O642" s="9" t="inlineStr">
        <is>
          <t>https://workiva.wd503.myworkdayjobs.com/en-US/careers/job/Lead-Data-Product-Manager_R12042</t>
        </is>
      </c>
    </row>
    <row r="643" ht="54" customHeight="1">
      <c r="A643" s="14" t="inlineStr">
        <is>
          <t>R13</t>
        </is>
      </c>
      <c r="B643" s="9" t="inlineStr">
        <is>
          <t>Lens 1</t>
        </is>
      </c>
      <c r="C643" s="63" t="n"/>
      <c r="D643" s="9" t="inlineStr">
        <is>
          <t>CoreFiling</t>
        </is>
      </c>
      <c r="E643" s="63" t="n"/>
      <c r="F643" s="9" t="inlineStr">
        <is>
          <t>Careers and technical context</t>
        </is>
      </c>
      <c r="G643" s="63" t="n"/>
      <c r="H643" s="9" t="inlineStr">
        <is>
          <t>Careers content links regulatory-domain expertise with Java, microservices, Kubernetes, training and rotations.</t>
        </is>
      </c>
      <c r="I643" s="64" t="n"/>
      <c r="J643" s="63" t="n"/>
      <c r="K643" s="9" t="inlineStr">
        <is>
          <t>Describes development practice but does not publish a full level hierarchy.</t>
        </is>
      </c>
      <c r="L643" s="64" t="n"/>
      <c r="M643" s="63" t="n"/>
      <c r="N643" s="9" t="inlineStr">
        <is>
          <t>Global</t>
        </is>
      </c>
      <c r="O643" s="9" t="inlineStr">
        <is>
          <t>https://www.corefiling.com/company/careers/</t>
        </is>
      </c>
    </row>
    <row r="644" ht="67" customHeight="1">
      <c r="A644" s="14" t="inlineStr">
        <is>
          <t>R16</t>
        </is>
      </c>
      <c r="B644" s="9" t="inlineStr">
        <is>
          <t>Lens 1 adjacent</t>
        </is>
      </c>
      <c r="C644" s="63" t="n"/>
      <c r="D644" s="9" t="inlineStr">
        <is>
          <t>S&amp;P Global</t>
        </is>
      </c>
      <c r="E644" s="63" t="n"/>
      <c r="F644" s="9" t="inlineStr">
        <is>
          <t>Lead data analyst</t>
        </is>
      </c>
      <c r="G644" s="63" t="n"/>
      <c r="H644" s="9" t="inlineStr">
        <is>
          <t>The listed duties include financial-data sourcing, validation, reconciliation and escalation within SOPs.</t>
        </is>
      </c>
      <c r="I644" s="64" t="n"/>
      <c r="J644" s="63" t="n"/>
      <c r="K644" s="9" t="inlineStr">
        <is>
          <t>Lead title coexists with bounded operating duties. Title alone cannot size the role; direct fetch returned 403.</t>
        </is>
      </c>
      <c r="L644" s="64" t="n"/>
      <c r="M644" s="63" t="n"/>
      <c r="N644" s="9" t="inlineStr">
        <is>
          <t>India</t>
        </is>
      </c>
      <c r="O644" s="9" t="inlineStr">
        <is>
          <t>https://careers.spglobal.com/jobs/330702?lang=en-us</t>
        </is>
      </c>
    </row>
    <row r="645" ht="67" customHeight="1">
      <c r="A645" s="14" t="inlineStr">
        <is>
          <t>R19</t>
        </is>
      </c>
      <c r="B645" s="9" t="inlineStr">
        <is>
          <t>Lens 1 adjacent</t>
        </is>
      </c>
      <c r="C645" s="63" t="n"/>
      <c r="D645" s="9" t="inlineStr">
        <is>
          <t>SAP</t>
        </is>
      </c>
      <c r="E645" s="63" t="n"/>
      <c r="F645" s="9" t="inlineStr">
        <is>
          <t>Legal counsel</t>
        </is>
      </c>
      <c r="G645" s="63" t="n"/>
      <c r="H645" s="9" t="inlineStr">
        <is>
          <t>Bangalore counsel role covers independent privacy/AI legal advice, documentation and risk ownership.</t>
        </is>
      </c>
      <c r="I645" s="64" t="n"/>
      <c r="J645" s="63" t="n"/>
      <c r="K645" s="9" t="inlineStr">
        <is>
          <t>Privacy counsel is a legal sub-specialism, not company-secretarial work or the full commercial legal hierarchy.</t>
        </is>
      </c>
      <c r="L645" s="64" t="n"/>
      <c r="M645" s="63" t="n"/>
      <c r="N645" s="9" t="inlineStr">
        <is>
          <t>India</t>
        </is>
      </c>
      <c r="O645" s="9" t="inlineStr">
        <is>
          <t>https://jobs.sap.com/en/jobs/744000153442007/legal-counsel/</t>
        </is>
      </c>
    </row>
    <row r="646" ht="145" customHeight="1">
      <c r="A646" s="14" t="inlineStr">
        <is>
          <t>R20</t>
        </is>
      </c>
      <c r="B646" s="9" t="inlineStr">
        <is>
          <t>Lens 1 adjacent</t>
        </is>
      </c>
      <c r="C646" s="63" t="n"/>
      <c r="D646" s="9" t="inlineStr">
        <is>
          <t>Thomson Reuters</t>
        </is>
      </c>
      <c r="E646" s="63" t="n"/>
      <c r="F646" s="9" t="inlineStr">
        <is>
          <t>Senior accountant</t>
        </is>
      </c>
      <c r="G646" s="63" t="n"/>
      <c r="H646" s="9" t="inlineStr">
        <is>
          <t>An India posting provides senior-accountant nomenclature in an information-services employer.</t>
        </is>
      </c>
      <c r="I646" s="64" t="n"/>
      <c r="J646" s="63" t="n"/>
      <c r="K646" s="9" t="inlineStr">
        <is>
          <t>Adjacent sector example and selected accounting scope, not a universal finance level.</t>
        </is>
      </c>
      <c r="L646" s="64" t="n"/>
      <c r="M646" s="63" t="n"/>
      <c r="N646" s="9" t="inlineStr">
        <is>
          <t>India</t>
        </is>
      </c>
      <c r="O646" s="9" t="inlineStr">
        <is>
          <t>https://thomsonreuters.wd5.myworkdayjobs.com/en-US/External_Career_Site/job/Senior-Accountant---Fixed-Asset---Project-Accounting_JREQ200356</t>
        </is>
      </c>
    </row>
    <row r="647" ht="67" customHeight="1">
      <c r="A647" s="14" t="inlineStr">
        <is>
          <t>R21</t>
        </is>
      </c>
      <c r="B647" s="9" t="inlineStr">
        <is>
          <t>Lens 2</t>
        </is>
      </c>
      <c r="C647" s="63" t="n"/>
      <c r="D647" s="9" t="inlineStr">
        <is>
          <t>GitLab</t>
        </is>
      </c>
      <c r="E647" s="63" t="n"/>
      <c r="F647" s="9" t="inlineStr">
        <is>
          <t>Organizational structure</t>
        </is>
      </c>
      <c r="G647" s="63" t="n"/>
      <c r="H647" s="9" t="inlineStr">
        <is>
          <t>Public structure material separates IC and manager frameworks and links progression to business need and scope.</t>
        </is>
      </c>
      <c r="I647" s="64" t="n"/>
      <c r="J647" s="63" t="n"/>
      <c r="K647" s="9" t="inlineStr">
        <is>
          <t>Use the design principles; do not copy GitLab grades or spans automatically.</t>
        </is>
      </c>
      <c r="L647" s="64" t="n"/>
      <c r="M647" s="63" t="n"/>
      <c r="N647" s="9" t="inlineStr">
        <is>
          <t>Global</t>
        </is>
      </c>
      <c r="O647" s="9" t="inlineStr">
        <is>
          <t>https://handbook.gitlab.com/handbook/company/structure/</t>
        </is>
      </c>
    </row>
    <row r="648" ht="93" customHeight="1">
      <c r="A648" s="14" t="inlineStr">
        <is>
          <t>R24</t>
        </is>
      </c>
      <c r="B648" s="9" t="inlineStr">
        <is>
          <t>Lens 2</t>
        </is>
      </c>
      <c r="C648" s="63" t="n"/>
      <c r="D648" s="9" t="inlineStr">
        <is>
          <t>GitLab</t>
        </is>
      </c>
      <c r="E648" s="63" t="n"/>
      <c r="F648" s="9" t="inlineStr">
        <is>
          <t>Product design</t>
        </is>
      </c>
      <c r="G648" s="63" t="n"/>
      <c r="H648" s="9" t="inlineStr">
        <is>
          <t>Staff, principal and distinguished design roles broaden influence from a group to company-level direction.</t>
        </is>
      </c>
      <c r="I648" s="64" t="n"/>
      <c r="J648" s="63" t="n"/>
      <c r="K648" s="9" t="inlineStr">
        <is>
          <t>Provides an expert path, not a requirement for every design team to create those positions.</t>
        </is>
      </c>
      <c r="L648" s="64" t="n"/>
      <c r="M648" s="63" t="n"/>
      <c r="N648" s="9" t="inlineStr">
        <is>
          <t>Global</t>
        </is>
      </c>
      <c r="O648" s="9" t="inlineStr">
        <is>
          <t>https://handbook.gitlab.com/job-description-library/product/product-designer/</t>
        </is>
      </c>
    </row>
    <row r="649" ht="93" customHeight="1">
      <c r="A649" s="14" t="inlineStr">
        <is>
          <t>R26</t>
        </is>
      </c>
      <c r="B649" s="9" t="inlineStr">
        <is>
          <t>Lens 2</t>
        </is>
      </c>
      <c r="C649" s="63" t="n"/>
      <c r="D649" s="9" t="inlineStr">
        <is>
          <t>GitLab</t>
        </is>
      </c>
      <c r="E649" s="63" t="n"/>
      <c r="F649" s="9" t="inlineStr">
        <is>
          <t>Solutions architect</t>
        </is>
      </c>
      <c r="G649" s="63" t="n"/>
      <c r="H649" s="9" t="inlineStr">
        <is>
          <t>The role supports technical evaluation, solution validation and customer business value; an associate level is published.</t>
        </is>
      </c>
      <c r="I649" s="64" t="n"/>
      <c r="J649" s="63" t="n"/>
      <c r="K649" s="9" t="inlineStr">
        <is>
          <t>Sales solutions architecture is distinct from internal platform architecture.</t>
        </is>
      </c>
      <c r="L649" s="64" t="n"/>
      <c r="M649" s="63" t="n"/>
      <c r="N649" s="9" t="inlineStr">
        <is>
          <t>Global</t>
        </is>
      </c>
      <c r="O649" s="9" t="inlineStr">
        <is>
          <t>https://handbook.gitlab.com/job-description-library/sales/solutions-architect/</t>
        </is>
      </c>
    </row>
    <row r="650" ht="93" customHeight="1">
      <c r="A650" s="14" t="inlineStr">
        <is>
          <t>R27</t>
        </is>
      </c>
      <c r="B650" s="9" t="inlineStr">
        <is>
          <t>Lens 2</t>
        </is>
      </c>
      <c r="C650" s="63" t="n"/>
      <c r="D650" s="9" t="inlineStr">
        <is>
          <t>GitLab</t>
        </is>
      </c>
      <c r="E650" s="63" t="n"/>
      <c r="F650" s="9" t="inlineStr">
        <is>
          <t>Support engineer</t>
        </is>
      </c>
      <c r="G650" s="63" t="n"/>
      <c r="H650" s="9" t="inlineStr">
        <is>
          <t>The role handles product problems through customer tickets; associate and other support-engineering levels are documented.</t>
        </is>
      </c>
      <c r="I650" s="64" t="n"/>
      <c r="J650" s="63" t="n"/>
      <c r="K650" s="9" t="inlineStr">
        <is>
          <t>Do not treat customer support as the same discipline as IT service desk.</t>
        </is>
      </c>
      <c r="L650" s="64" t="n"/>
      <c r="M650" s="63" t="n"/>
      <c r="N650" s="9" t="inlineStr">
        <is>
          <t>Global</t>
        </is>
      </c>
      <c r="O650" s="9" t="inlineStr">
        <is>
          <t>https://handbook.gitlab.com/job-description-library/engineering/support-engineer/</t>
        </is>
      </c>
    </row>
    <row r="651" ht="106" customHeight="1">
      <c r="A651" s="14" t="inlineStr">
        <is>
          <t>R32</t>
        </is>
      </c>
      <c r="B651" s="9" t="inlineStr">
        <is>
          <t>Lens 2</t>
        </is>
      </c>
      <c r="C651" s="63" t="n"/>
      <c r="D651" s="9" t="inlineStr">
        <is>
          <t>GitLab</t>
        </is>
      </c>
      <c r="E651" s="63" t="n"/>
      <c r="F651" s="9" t="inlineStr">
        <is>
          <t>Legal counsel</t>
        </is>
      </c>
      <c r="G651" s="63" t="n"/>
      <c r="H651" s="9" t="inlineStr">
        <is>
          <t>Associate and counsel responsibilities are published; the page explicitly leaves the next career step undefined.</t>
        </is>
      </c>
      <c r="I651" s="64" t="n"/>
      <c r="J651" s="63" t="n"/>
      <c r="K651" s="9" t="inlineStr">
        <is>
          <t>Higher legal roles in the proposal are synthesized, not represented as GitLab's published full ladder.</t>
        </is>
      </c>
      <c r="L651" s="64" t="n"/>
      <c r="M651" s="63" t="n"/>
      <c r="N651" s="9" t="inlineStr">
        <is>
          <t>Global</t>
        </is>
      </c>
      <c r="O651" s="9" t="inlineStr">
        <is>
          <t>https://handbook.gitlab.com/job-description-library/legal-and-corporate-affairs/legal-counsel/</t>
        </is>
      </c>
    </row>
    <row r="652" ht="119" customHeight="1">
      <c r="A652" s="14" t="inlineStr">
        <is>
          <t>R33</t>
        </is>
      </c>
      <c r="B652" s="9" t="inlineStr">
        <is>
          <t>Lens 2</t>
        </is>
      </c>
      <c r="C652" s="63" t="n"/>
      <c r="D652" s="9" t="inlineStr">
        <is>
          <t>Whatfix</t>
        </is>
      </c>
      <c r="E652" s="63" t="n"/>
      <c r="F652" s="9" t="inlineStr">
        <is>
          <t>Sales development framework</t>
        </is>
      </c>
      <c r="G652" s="63" t="n"/>
      <c r="H652" s="9" t="inlineStr">
        <is>
          <t>The published framework distinguishes descriptive title, scope and competency expectations for sales development.</t>
        </is>
      </c>
      <c r="I652" s="64" t="n"/>
      <c r="J652" s="63" t="n"/>
      <c r="K652" s="9" t="inlineStr">
        <is>
          <t>Version history is 2023–2024. It is a dated India SaaS practice example, not current internal policy.</t>
        </is>
      </c>
      <c r="L652" s="64" t="n"/>
      <c r="M652" s="63" t="n"/>
      <c r="N652" s="9" t="inlineStr">
        <is>
          <t>Global</t>
        </is>
      </c>
      <c r="O652" s="9" t="inlineStr">
        <is>
          <t>https://whatfix.com/wp-content/uploads/2024/06/sales_development_team_-_career___competency_framework.pdf</t>
        </is>
      </c>
    </row>
    <row r="653" ht="54" customHeight="1">
      <c r="A653" s="14" t="inlineStr">
        <is>
          <t>R35</t>
        </is>
      </c>
      <c r="B653" s="9" t="inlineStr">
        <is>
          <t>Professional overlay</t>
        </is>
      </c>
      <c r="C653" s="63" t="n"/>
      <c r="D653" s="9" t="inlineStr">
        <is>
          <t>SFIA Foundation</t>
        </is>
      </c>
      <c r="E653" s="63" t="n"/>
      <c r="F653" s="9" t="inlineStr">
        <is>
          <t>SFIA 9 responsibility levels</t>
        </is>
      </c>
      <c r="G653" s="63" t="n"/>
      <c r="H653" s="9" t="inlineStr">
        <is>
          <t>Seven responsibility levels distinguish autonomy, influence, complexity and broader accountability.</t>
        </is>
      </c>
      <c r="I653" s="64" t="n"/>
      <c r="J653" s="63" t="n"/>
      <c r="K653" s="9" t="inlineStr">
        <is>
          <t>SFIA levels are skills/responsibility anchors, not salary grades or this model's 13 levels.</t>
        </is>
      </c>
      <c r="L653" s="64" t="n"/>
      <c r="M653" s="63" t="n"/>
      <c r="N653" s="9" t="inlineStr">
        <is>
          <t>Global</t>
        </is>
      </c>
      <c r="O653" s="9" t="inlineStr">
        <is>
          <t>https://sfia-online.org/en/sfia-9/responsibilities</t>
        </is>
      </c>
    </row>
    <row r="654" ht="106" customHeight="1">
      <c r="A654" s="14" t="inlineStr">
        <is>
          <t>R36</t>
        </is>
      </c>
      <c r="B654" s="9" t="inlineStr">
        <is>
          <t>Professional overlay</t>
        </is>
      </c>
      <c r="C654" s="63" t="n"/>
      <c r="D654" s="9" t="inlineStr">
        <is>
          <t>CIPD</t>
        </is>
      </c>
      <c r="E654" s="63" t="n"/>
      <c r="F654" s="9" t="inlineStr">
        <is>
          <t>Profession map impact levels</t>
        </is>
      </c>
      <c r="G654" s="63" t="n"/>
      <c r="H654" s="9" t="inlineStr">
        <is>
          <t>The four impact levels move from tactical work through operational complexity to strategic and sustained value.</t>
        </is>
      </c>
      <c r="I654" s="64" t="n"/>
      <c r="J654" s="63" t="n"/>
      <c r="K654" s="9" t="inlineStr">
        <is>
          <t>Membership designations and impact levels are not corporate job titles.</t>
        </is>
      </c>
      <c r="L654" s="64" t="n"/>
      <c r="M654" s="63" t="n"/>
      <c r="N654" s="9" t="inlineStr">
        <is>
          <t>Global</t>
        </is>
      </c>
      <c r="O654" s="9" t="inlineStr">
        <is>
          <t>https://www.cipd.org/en/the-people-profession/the-profession-map/explore-the-profession-map/levels/</t>
        </is>
      </c>
    </row>
    <row r="655" ht="106" customHeight="1">
      <c r="A655" s="14" t="inlineStr">
        <is>
          <t>R40</t>
        </is>
      </c>
      <c r="B655" s="9" t="inlineStr">
        <is>
          <t>Professional overlay</t>
        </is>
      </c>
      <c r="C655" s="63" t="n"/>
      <c r="D655" s="9" t="inlineStr">
        <is>
          <t>CIM</t>
        </is>
      </c>
      <c r="E655" s="63" t="n"/>
      <c r="F655" s="9" t="inlineStr">
        <is>
          <t>Global professional marketing framework</t>
        </is>
      </c>
      <c r="G655" s="63" t="n"/>
      <c r="H655" s="9" t="inlineStr">
        <is>
          <t>The framework differentiates marketing capabilities and five competency stages from aware to expert.</t>
        </is>
      </c>
      <c r="I655" s="64" t="n"/>
      <c r="J655" s="63" t="n"/>
      <c r="K655" s="9" t="inlineStr">
        <is>
          <t>Use concepts and attribution; this proposal does not reproduce or modify the licensed framework.</t>
        </is>
      </c>
      <c r="L655" s="64" t="n"/>
      <c r="M655" s="63" t="n"/>
      <c r="N655" s="9" t="inlineStr">
        <is>
          <t>Global</t>
        </is>
      </c>
      <c r="O655" s="9" t="inlineStr">
        <is>
          <t>https://www.cim.co.uk/membership/cim-standards/global-professional-marketing-framework-gpmf/</t>
        </is>
      </c>
    </row>
    <row r="656" ht="67" customHeight="1">
      <c r="A656" s="14" t="inlineStr">
        <is>
          <t>R42</t>
        </is>
      </c>
      <c r="B656" s="9" t="inlineStr">
        <is>
          <t>Professional overlay</t>
        </is>
      </c>
      <c r="C656" s="63" t="n"/>
      <c r="D656" s="9" t="inlineStr">
        <is>
          <t>XBRL International</t>
        </is>
      </c>
      <c r="E656" s="63" t="n"/>
      <c r="F656" s="9" t="inlineStr">
        <is>
          <t>Taxonomy quick start guide</t>
        </is>
      </c>
      <c r="G656" s="63" t="n"/>
      <c r="H656" s="9" t="inlineStr">
        <is>
          <t>Taxonomy development involves content, architecture, testing, documentation and lifecycle governance.</t>
        </is>
      </c>
      <c r="I656" s="64" t="n"/>
      <c r="J656" s="63" t="n"/>
      <c r="K656" s="9" t="inlineStr">
        <is>
          <t>The page labels the guide a review draft published in 2023. Role design uses its technical process concepts.</t>
        </is>
      </c>
      <c r="L656" s="64" t="n"/>
      <c r="M656" s="63" t="n"/>
      <c r="N656" s="9" t="inlineStr">
        <is>
          <t>Global</t>
        </is>
      </c>
      <c r="O656" s="9" t="inlineStr">
        <is>
          <t>https://www.xbrl.org/guidance/taxonomy-quick-start-guide/</t>
        </is>
      </c>
    </row>
    <row r="657" ht="41" customHeight="1">
      <c r="A657" s="14" t="inlineStr">
        <is>
          <t>R44</t>
        </is>
      </c>
      <c r="B657" s="9" t="inlineStr">
        <is>
          <t>Professional overlay</t>
        </is>
      </c>
      <c r="C657" s="63" t="n"/>
      <c r="D657" s="9" t="inlineStr">
        <is>
          <t>IFMA</t>
        </is>
      </c>
      <c r="E657" s="63" t="n"/>
      <c r="F657" s="9" t="inlineStr">
        <is>
          <t>Facility management competencies</t>
        </is>
      </c>
      <c r="G657" s="63" t="n"/>
      <c r="H657" s="9" t="inlineStr">
        <is>
          <t>Facility management integrates people, places and processes and spans several competence domains.</t>
        </is>
      </c>
      <c r="I657" s="64" t="n"/>
      <c r="J657" s="63" t="n"/>
      <c r="K657" s="9" t="inlineStr">
        <is>
          <t>Facilities and workplace roles have broader scope than general office administration.</t>
        </is>
      </c>
      <c r="L657" s="64" t="n"/>
      <c r="M657" s="63" t="n"/>
      <c r="N657" s="9" t="inlineStr">
        <is>
          <t>Global</t>
        </is>
      </c>
      <c r="O657" s="9" t="inlineStr">
        <is>
          <t>https://www.ifma.org/about/what-is-fm/</t>
        </is>
      </c>
    </row>
    <row r="658" ht="93" customHeight="1">
      <c r="A658" s="14" t="inlineStr">
        <is>
          <t>R49</t>
        </is>
      </c>
      <c r="B658" s="9" t="inlineStr">
        <is>
          <t>Lens 2 other</t>
        </is>
      </c>
      <c r="C658" s="63" t="n"/>
      <c r="D658" s="9" t="inlineStr">
        <is>
          <t>UK Government</t>
        </is>
      </c>
      <c r="E658" s="63" t="n"/>
      <c r="F658" s="9" t="inlineStr">
        <is>
          <t>Business analyst role levels</t>
        </is>
      </c>
      <c r="G658" s="63" t="n"/>
      <c r="H658" s="9" t="inlineStr">
        <is>
          <t>The current public framework identifies trainee, junior, practitioner, senior, lead and head roles.</t>
        </is>
      </c>
      <c r="I658" s="64" t="n"/>
      <c r="J658" s="63" t="n"/>
      <c r="K658" s="9" t="inlineStr">
        <is>
          <t>Updated August 2026. Civil Service grades are not private-sector corporate levels.</t>
        </is>
      </c>
      <c r="L658" s="64" t="n"/>
      <c r="M658" s="63" t="n"/>
      <c r="N658" s="9" t="inlineStr">
        <is>
          <t>Global</t>
        </is>
      </c>
      <c r="O658" s="9" t="inlineStr">
        <is>
          <t>https://understand-digital-data-roles-skills.service.gov.uk/role/business-analyst/</t>
        </is>
      </c>
    </row>
    <row r="659" ht="15" customHeight="1"/>
    <row r="660" ht="20" customHeight="1">
      <c r="A660" s="6" t="inlineStr">
        <is>
          <t>R6. Websites referenced</t>
        </is>
      </c>
    </row>
    <row r="661" ht="15" customHeight="1">
      <c r="A661" s="7" t="inlineStr">
        <is>
          <t>Website</t>
        </is>
      </c>
      <c r="B661" s="64" t="n"/>
      <c r="C661" s="63" t="n"/>
      <c r="D661" s="7" t="inlineStr">
        <is>
          <t>References</t>
        </is>
      </c>
      <c r="E661" s="7" t="inlineStr">
        <is>
          <t>Example link</t>
        </is>
      </c>
      <c r="F661" s="64" t="n"/>
      <c r="G661" s="64" t="n"/>
      <c r="H661" s="64" t="n"/>
      <c r="I661" s="64" t="n"/>
      <c r="J661" s="64" t="n"/>
      <c r="K661" s="64" t="n"/>
      <c r="L661" s="64" t="n"/>
      <c r="M661" s="64" t="n"/>
      <c r="N661" s="64" t="n"/>
      <c r="O661" s="63" t="n"/>
    </row>
    <row r="662" ht="15" customHeight="1">
      <c r="A662" s="14" t="inlineStr">
        <is>
          <t>levels.fyi</t>
        </is>
      </c>
      <c r="B662" s="64" t="n"/>
      <c r="C662" s="63" t="n"/>
      <c r="D662" s="8" t="n">
        <v>9</v>
      </c>
      <c r="E662" s="9" t="inlineStr">
        <is>
          <t>https://www.levels.fyi/companies/workiva/salaries/software-engineer</t>
        </is>
      </c>
      <c r="F662" s="64" t="n"/>
      <c r="G662" s="64" t="n"/>
      <c r="H662" s="64" t="n"/>
      <c r="I662" s="64" t="n"/>
      <c r="J662" s="64" t="n"/>
      <c r="K662" s="64" t="n"/>
      <c r="L662" s="64" t="n"/>
      <c r="M662" s="64" t="n"/>
      <c r="N662" s="64" t="n"/>
      <c r="O662" s="63" t="n"/>
    </row>
    <row r="663" ht="15" customHeight="1">
      <c r="A663" s="14" t="inlineStr">
        <is>
          <t>designgurus.io</t>
        </is>
      </c>
      <c r="B663" s="64" t="n"/>
      <c r="C663" s="63" t="n"/>
      <c r="D663" s="8" t="n">
        <v>7</v>
      </c>
      <c r="E663" s="9" t="inlineStr">
        <is>
          <t>https://www.designgurus.io/blog/salesforce-software-engineer-levels</t>
        </is>
      </c>
      <c r="F663" s="64" t="n"/>
      <c r="G663" s="64" t="n"/>
      <c r="H663" s="64" t="n"/>
      <c r="I663" s="64" t="n"/>
      <c r="J663" s="64" t="n"/>
      <c r="K663" s="64" t="n"/>
      <c r="L663" s="64" t="n"/>
      <c r="M663" s="64" t="n"/>
      <c r="N663" s="64" t="n"/>
      <c r="O663" s="63" t="n"/>
    </row>
    <row r="664" ht="15" customHeight="1">
      <c r="A664" s="14" t="inlineStr">
        <is>
          <t>sfia-online.org</t>
        </is>
      </c>
      <c r="B664" s="64" t="n"/>
      <c r="C664" s="63" t="n"/>
      <c r="D664" s="8" t="n">
        <v>4</v>
      </c>
      <c r="E664" s="9" t="inlineStr">
        <is>
          <t>https://sfia-online.org/en/about-sfia/how-sfia-works</t>
        </is>
      </c>
      <c r="F664" s="64" t="n"/>
      <c r="G664" s="64" t="n"/>
      <c r="H664" s="64" t="n"/>
      <c r="I664" s="64" t="n"/>
      <c r="J664" s="64" t="n"/>
      <c r="K664" s="64" t="n"/>
      <c r="L664" s="64" t="n"/>
      <c r="M664" s="64" t="n"/>
      <c r="N664" s="64" t="n"/>
      <c r="O664" s="63" t="n"/>
    </row>
    <row r="665" ht="28" customHeight="1">
      <c r="A665" s="14" t="inlineStr">
        <is>
          <t>canada.ca</t>
        </is>
      </c>
      <c r="B665" s="64" t="n"/>
      <c r="C665" s="63" t="n"/>
      <c r="D665" s="8" t="n">
        <v>3</v>
      </c>
      <c r="E665" s="9" t="inlineStr">
        <is>
          <t>https://www.canada.ca/en/treasury-board-secretariat/services/collective-agreements/job-evaluation/executive-group-position-evaluation-plan-september-2005.html</t>
        </is>
      </c>
      <c r="F665" s="64" t="n"/>
      <c r="G665" s="64" t="n"/>
      <c r="H665" s="64" t="n"/>
      <c r="I665" s="64" t="n"/>
      <c r="J665" s="64" t="n"/>
      <c r="K665" s="64" t="n"/>
      <c r="L665" s="64" t="n"/>
      <c r="M665" s="64" t="n"/>
      <c r="N665" s="64" t="n"/>
      <c r="O665" s="63" t="n"/>
    </row>
    <row r="666" ht="15" customHeight="1">
      <c r="A666" s="14" t="inlineStr">
        <is>
          <t>cfoshortlist.com</t>
        </is>
      </c>
      <c r="B666" s="64" t="n"/>
      <c r="C666" s="63" t="n"/>
      <c r="D666" s="8" t="n">
        <v>3</v>
      </c>
      <c r="E666" s="9" t="inlineStr">
        <is>
          <t>https://www.cfoshortlist.com/reports/sec-reporting-software</t>
        </is>
      </c>
      <c r="F666" s="64" t="n"/>
      <c r="G666" s="64" t="n"/>
      <c r="H666" s="64" t="n"/>
      <c r="I666" s="64" t="n"/>
      <c r="J666" s="64" t="n"/>
      <c r="K666" s="64" t="n"/>
      <c r="L666" s="64" t="n"/>
      <c r="M666" s="64" t="n"/>
      <c r="N666" s="64" t="n"/>
      <c r="O666" s="63" t="n"/>
    </row>
    <row r="667" ht="15" customHeight="1">
      <c r="A667" s="14" t="inlineStr">
        <is>
          <t>regnology.net</t>
        </is>
      </c>
      <c r="B667" s="64" t="n"/>
      <c r="C667" s="63" t="n"/>
      <c r="D667" s="8" t="n">
        <v>3</v>
      </c>
      <c r="E667" s="9" t="inlineStr">
        <is>
          <t>https://www.regnology.net/en/careers/detail/?id=2527504</t>
        </is>
      </c>
      <c r="F667" s="64" t="n"/>
      <c r="G667" s="64" t="n"/>
      <c r="H667" s="64" t="n"/>
      <c r="I667" s="64" t="n"/>
      <c r="J667" s="64" t="n"/>
      <c r="K667" s="64" t="n"/>
      <c r="L667" s="64" t="n"/>
      <c r="M667" s="64" t="n"/>
      <c r="N667" s="64" t="n"/>
      <c r="O667" s="63" t="n"/>
    </row>
    <row r="668" ht="15" customHeight="1">
      <c r="A668" s="14" t="inlineStr">
        <is>
          <t>support.pave.com</t>
        </is>
      </c>
      <c r="B668" s="64" t="n"/>
      <c r="C668" s="63" t="n"/>
      <c r="D668" s="8" t="n">
        <v>3</v>
      </c>
      <c r="E668" s="9" t="inlineStr">
        <is>
          <t>https://support.pave.com/articles/understand-job-levels-SiKTjMHZtr.md</t>
        </is>
      </c>
      <c r="F668" s="64" t="n"/>
      <c r="G668" s="64" t="n"/>
      <c r="H668" s="64" t="n"/>
      <c r="I668" s="64" t="n"/>
      <c r="J668" s="64" t="n"/>
      <c r="K668" s="64" t="n"/>
      <c r="L668" s="64" t="n"/>
      <c r="M668" s="64" t="n"/>
      <c r="N668" s="64" t="n"/>
      <c r="O668" s="63" t="n"/>
    </row>
    <row r="669" ht="15" customHeight="1">
      <c r="A669" s="14" t="inlineStr">
        <is>
          <t>builtin.com</t>
        </is>
      </c>
      <c r="B669" s="64" t="n"/>
      <c r="C669" s="63" t="n"/>
      <c r="D669" s="8" t="n">
        <v>2</v>
      </c>
      <c r="E669" s="9" t="inlineStr">
        <is>
          <t>https://builtin.com/job/professional-services-manager/3581840</t>
        </is>
      </c>
      <c r="F669" s="64" t="n"/>
      <c r="G669" s="64" t="n"/>
      <c r="H669" s="64" t="n"/>
      <c r="I669" s="64" t="n"/>
      <c r="J669" s="64" t="n"/>
      <c r="K669" s="64" t="n"/>
      <c r="L669" s="64" t="n"/>
      <c r="M669" s="64" t="n"/>
      <c r="N669" s="64" t="n"/>
      <c r="O669" s="63" t="n"/>
    </row>
    <row r="670" ht="15" customHeight="1">
      <c r="A670" s="14" t="inlineStr">
        <is>
          <t>centralbanking.com</t>
        </is>
      </c>
      <c r="B670" s="64" t="n"/>
      <c r="C670" s="63" t="n"/>
      <c r="D670" s="8" t="n">
        <v>2</v>
      </c>
      <c r="E670" s="9" t="inlineStr">
        <is>
          <t>https://www.centralbanking.com/awards/7941536/technology-services-regulatory-regnology</t>
        </is>
      </c>
      <c r="F670" s="64" t="n"/>
      <c r="G670" s="64" t="n"/>
      <c r="H670" s="64" t="n"/>
      <c r="I670" s="64" t="n"/>
      <c r="J670" s="64" t="n"/>
      <c r="K670" s="64" t="n"/>
      <c r="L670" s="64" t="n"/>
      <c r="M670" s="64" t="n"/>
      <c r="N670" s="64" t="n"/>
      <c r="O670" s="63" t="n"/>
    </row>
    <row r="671" ht="15" customHeight="1">
      <c r="A671" s="14" t="inlineStr">
        <is>
          <t>datatracks.com</t>
        </is>
      </c>
      <c r="B671" s="64" t="n"/>
      <c r="C671" s="63" t="n"/>
      <c r="D671" s="8" t="n">
        <v>2</v>
      </c>
      <c r="E671" s="9" t="inlineStr">
        <is>
          <t>https://www.datatracks.com/in/careers/</t>
        </is>
      </c>
      <c r="F671" s="64" t="n"/>
      <c r="G671" s="64" t="n"/>
      <c r="H671" s="64" t="n"/>
      <c r="I671" s="64" t="n"/>
      <c r="J671" s="64" t="n"/>
      <c r="K671" s="64" t="n"/>
      <c r="L671" s="64" t="n"/>
      <c r="M671" s="64" t="n"/>
      <c r="N671" s="64" t="n"/>
      <c r="O671" s="63" t="n"/>
    </row>
    <row r="672" ht="15" customHeight="1">
      <c r="A672" s="14" t="inlineStr">
        <is>
          <t>deloitte.com</t>
        </is>
      </c>
      <c r="B672" s="64" t="n"/>
      <c r="C672" s="63" t="n"/>
      <c r="D672" s="8" t="n">
        <v>2</v>
      </c>
      <c r="E672" s="9" t="inlineStr">
        <is>
          <t>https://www.deloitte.com/us/en/insights/topics/talent/organizational-skill-based-hiring.html</t>
        </is>
      </c>
      <c r="F672" s="64" t="n"/>
      <c r="G672" s="64" t="n"/>
      <c r="H672" s="64" t="n"/>
      <c r="I672" s="64" t="n"/>
      <c r="J672" s="64" t="n"/>
      <c r="K672" s="64" t="n"/>
      <c r="L672" s="64" t="n"/>
      <c r="M672" s="64" t="n"/>
      <c r="N672" s="64" t="n"/>
      <c r="O672" s="63" t="n"/>
    </row>
    <row r="673" ht="15" customHeight="1">
      <c r="A673" s="14" t="inlineStr">
        <is>
          <t>gainsight.com</t>
        </is>
      </c>
      <c r="B673" s="64" t="n"/>
      <c r="C673" s="63" t="n"/>
      <c r="D673" s="8" t="n">
        <v>2</v>
      </c>
      <c r="E673" s="9" t="inlineStr">
        <is>
          <t>https://www.gainsight.com/blog/customer-success-career-opportunities/</t>
        </is>
      </c>
      <c r="F673" s="64" t="n"/>
      <c r="G673" s="64" t="n"/>
      <c r="H673" s="64" t="n"/>
      <c r="I673" s="64" t="n"/>
      <c r="J673" s="64" t="n"/>
      <c r="K673" s="64" t="n"/>
      <c r="L673" s="64" t="n"/>
      <c r="M673" s="64" t="n"/>
      <c r="N673" s="64" t="n"/>
      <c r="O673" s="63" t="n"/>
    </row>
    <row r="674" ht="15" customHeight="1">
      <c r="A674" s="14" t="inlineStr">
        <is>
          <t>handbook.gitlab.com</t>
        </is>
      </c>
      <c r="B674" s="64" t="n"/>
      <c r="C674" s="63" t="n"/>
      <c r="D674" s="8" t="n">
        <v>2</v>
      </c>
      <c r="E674" s="9" t="inlineStr">
        <is>
          <t>https://handbook.gitlab.com/handbook/company/structure/</t>
        </is>
      </c>
      <c r="F674" s="64" t="n"/>
      <c r="G674" s="64" t="n"/>
      <c r="H674" s="64" t="n"/>
      <c r="I674" s="64" t="n"/>
      <c r="J674" s="64" t="n"/>
      <c r="K674" s="64" t="n"/>
      <c r="L674" s="64" t="n"/>
      <c r="M674" s="64" t="n"/>
      <c r="N674" s="64" t="n"/>
      <c r="O674" s="63" t="n"/>
    </row>
    <row r="675" ht="15" customHeight="1">
      <c r="A675" s="14" t="inlineStr">
        <is>
          <t>help.figures.hr</t>
        </is>
      </c>
      <c r="B675" s="64" t="n"/>
      <c r="C675" s="63" t="n"/>
      <c r="D675" s="8" t="n">
        <v>2</v>
      </c>
      <c r="E675" s="9" t="inlineStr">
        <is>
          <t>https://help.figures.hr/en/articles/389223-mercer-levels</t>
        </is>
      </c>
      <c r="F675" s="64" t="n"/>
      <c r="G675" s="64" t="n"/>
      <c r="H675" s="64" t="n"/>
      <c r="I675" s="64" t="n"/>
      <c r="J675" s="64" t="n"/>
      <c r="K675" s="64" t="n"/>
      <c r="L675" s="64" t="n"/>
      <c r="M675" s="64" t="n"/>
      <c r="N675" s="64" t="n"/>
      <c r="O675" s="63" t="n"/>
    </row>
    <row r="676" ht="15" customHeight="1">
      <c r="A676" s="14" t="inlineStr">
        <is>
          <t>icsi.edu</t>
        </is>
      </c>
      <c r="B676" s="64" t="n"/>
      <c r="C676" s="63" t="n"/>
      <c r="D676" s="8" t="n">
        <v>2</v>
      </c>
      <c r="E676" s="9" t="inlineStr">
        <is>
          <t>https://www.icsi.edu</t>
        </is>
      </c>
      <c r="F676" s="64" t="n"/>
      <c r="G676" s="64" t="n"/>
      <c r="H676" s="64" t="n"/>
      <c r="I676" s="64" t="n"/>
      <c r="J676" s="64" t="n"/>
      <c r="K676" s="64" t="n"/>
      <c r="L676" s="64" t="n"/>
      <c r="M676" s="64" t="n"/>
      <c r="N676" s="64" t="n"/>
      <c r="O676" s="63" t="n"/>
    </row>
    <row r="677" ht="15" customHeight="1">
      <c r="A677" s="14" t="inlineStr">
        <is>
          <t>iiba.org</t>
        </is>
      </c>
      <c r="B677" s="64" t="n"/>
      <c r="C677" s="63" t="n"/>
      <c r="D677" s="8" t="n">
        <v>2</v>
      </c>
      <c r="E677" s="9" t="inlineStr">
        <is>
          <t>https://www.iiba.org</t>
        </is>
      </c>
      <c r="F677" s="64" t="n"/>
      <c r="G677" s="64" t="n"/>
      <c r="H677" s="64" t="n"/>
      <c r="I677" s="64" t="n"/>
      <c r="J677" s="64" t="n"/>
      <c r="K677" s="64" t="n"/>
      <c r="L677" s="64" t="n"/>
      <c r="M677" s="64" t="n"/>
      <c r="N677" s="64" t="n"/>
      <c r="O677" s="63" t="n"/>
    </row>
    <row r="678" ht="15" customHeight="1">
      <c r="A678" s="14" t="inlineStr">
        <is>
          <t>imanet.org</t>
        </is>
      </c>
      <c r="B678" s="64" t="n"/>
      <c r="C678" s="63" t="n"/>
      <c r="D678" s="8" t="n">
        <v>2</v>
      </c>
      <c r="E678" s="9" t="inlineStr">
        <is>
          <t>https://www.imanet.org/framework</t>
        </is>
      </c>
      <c r="F678" s="64" t="n"/>
      <c r="G678" s="64" t="n"/>
      <c r="H678" s="64" t="n"/>
      <c r="I678" s="64" t="n"/>
      <c r="J678" s="64" t="n"/>
      <c r="K678" s="64" t="n"/>
      <c r="L678" s="64" t="n"/>
      <c r="M678" s="64" t="n"/>
      <c r="N678" s="64" t="n"/>
      <c r="O678" s="63" t="n"/>
    </row>
    <row r="679" ht="15" customHeight="1">
      <c r="A679" s="14" t="inlineStr">
        <is>
          <t>iso.org</t>
        </is>
      </c>
      <c r="B679" s="64" t="n"/>
      <c r="C679" s="63" t="n"/>
      <c r="D679" s="8" t="n">
        <v>2</v>
      </c>
      <c r="E679" s="9" t="inlineStr">
        <is>
          <t>https://www.iso.org/standard/27001</t>
        </is>
      </c>
      <c r="F679" s="64" t="n"/>
      <c r="G679" s="64" t="n"/>
      <c r="H679" s="64" t="n"/>
      <c r="I679" s="64" t="n"/>
      <c r="J679" s="64" t="n"/>
      <c r="K679" s="64" t="n"/>
      <c r="L679" s="64" t="n"/>
      <c r="M679" s="64" t="n"/>
      <c r="N679" s="64" t="n"/>
      <c r="O679" s="63" t="n"/>
    </row>
    <row r="680" ht="15" customHeight="1">
      <c r="A680" s="14" t="inlineStr">
        <is>
          <t>istqb.org</t>
        </is>
      </c>
      <c r="B680" s="64" t="n"/>
      <c r="C680" s="63" t="n"/>
      <c r="D680" s="8" t="n">
        <v>2</v>
      </c>
      <c r="E680" s="9" t="inlineStr">
        <is>
          <t>https://www.istqb.org</t>
        </is>
      </c>
      <c r="F680" s="64" t="n"/>
      <c r="G680" s="64" t="n"/>
      <c r="H680" s="64" t="n"/>
      <c r="I680" s="64" t="n"/>
      <c r="J680" s="64" t="n"/>
      <c r="K680" s="64" t="n"/>
      <c r="L680" s="64" t="n"/>
      <c r="M680" s="64" t="n"/>
      <c r="N680" s="64" t="n"/>
      <c r="O680" s="63" t="n"/>
    </row>
    <row r="681" ht="15" customHeight="1">
      <c r="A681" s="14" t="inlineStr">
        <is>
          <t>jobrise.io</t>
        </is>
      </c>
      <c r="B681" s="64" t="n"/>
      <c r="C681" s="63" t="n"/>
      <c r="D681" s="8" t="n">
        <v>2</v>
      </c>
      <c r="E681" s="9" t="inlineStr">
        <is>
          <t>https://jobrise.io/hi/blog/accenture-salary-package-2026-india/</t>
        </is>
      </c>
      <c r="F681" s="64" t="n"/>
      <c r="G681" s="64" t="n"/>
      <c r="H681" s="64" t="n"/>
      <c r="I681" s="64" t="n"/>
      <c r="J681" s="64" t="n"/>
      <c r="K681" s="64" t="n"/>
      <c r="L681" s="64" t="n"/>
      <c r="M681" s="64" t="n"/>
      <c r="N681" s="64" t="n"/>
      <c r="O681" s="63" t="n"/>
    </row>
    <row r="682" ht="28" customHeight="1">
      <c r="A682" s="14" t="inlineStr">
        <is>
          <t>mckinsey.com</t>
        </is>
      </c>
      <c r="B682" s="64" t="n"/>
      <c r="C682" s="63" t="n"/>
      <c r="D682" s="8" t="n">
        <v>2</v>
      </c>
      <c r="E682" s="9" t="inlineStr">
        <is>
          <t>https://www.mckinsey.com/capabilities/people-and-organizational-performance/our-insights/how-to-identify-the-right-spans-of-control-for-your-organization</t>
        </is>
      </c>
      <c r="F682" s="64" t="n"/>
      <c r="G682" s="64" t="n"/>
      <c r="H682" s="64" t="n"/>
      <c r="I682" s="64" t="n"/>
      <c r="J682" s="64" t="n"/>
      <c r="K682" s="64" t="n"/>
      <c r="L682" s="64" t="n"/>
      <c r="M682" s="64" t="n"/>
      <c r="N682" s="64" t="n"/>
      <c r="O682" s="63" t="n"/>
    </row>
    <row r="683" ht="15" customHeight="1">
      <c r="A683" s="14" t="inlineStr">
        <is>
          <t>mercer.com</t>
        </is>
      </c>
      <c r="B683" s="64" t="n"/>
      <c r="C683" s="63" t="n"/>
      <c r="D683" s="8" t="n">
        <v>2</v>
      </c>
      <c r="E683" s="9" t="inlineStr">
        <is>
          <t>https://info.mercer.com/rs/521-DEV-513/images/MLS-Job-Catalogue.pdf</t>
        </is>
      </c>
      <c r="F683" s="64" t="n"/>
      <c r="G683" s="64" t="n"/>
      <c r="H683" s="64" t="n"/>
      <c r="I683" s="64" t="n"/>
      <c r="J683" s="64" t="n"/>
      <c r="K683" s="64" t="n"/>
      <c r="L683" s="64" t="n"/>
      <c r="M683" s="64" t="n"/>
      <c r="N683" s="64" t="n"/>
      <c r="O683" s="63" t="n"/>
    </row>
    <row r="684" ht="15" customHeight="1">
      <c r="A684" s="14" t="inlineStr">
        <is>
          <t>networkinterview.com</t>
        </is>
      </c>
      <c r="B684" s="64" t="n"/>
      <c r="C684" s="63" t="n"/>
      <c r="D684" s="8" t="n">
        <v>2</v>
      </c>
      <c r="E684" s="9" t="inlineStr">
        <is>
          <t>https://networkinterview.com/technical-hierarchy-deloitte-india/</t>
        </is>
      </c>
      <c r="F684" s="64" t="n"/>
      <c r="G684" s="64" t="n"/>
      <c r="H684" s="64" t="n"/>
      <c r="I684" s="64" t="n"/>
      <c r="J684" s="64" t="n"/>
      <c r="K684" s="64" t="n"/>
      <c r="L684" s="64" t="n"/>
      <c r="M684" s="64" t="n"/>
      <c r="N684" s="64" t="n"/>
      <c r="O684" s="63" t="n"/>
    </row>
    <row r="685" ht="15" customHeight="1">
      <c r="A685" s="14" t="inlineStr">
        <is>
          <t>pmi.org</t>
        </is>
      </c>
      <c r="B685" s="64" t="n"/>
      <c r="C685" s="63" t="n"/>
      <c r="D685" s="8" t="n">
        <v>2</v>
      </c>
      <c r="E685" s="9" t="inlineStr">
        <is>
          <t>https://www.pmi.org/certifications/certification-resources/maintain/talent-triangle</t>
        </is>
      </c>
      <c r="F685" s="64" t="n"/>
      <c r="G685" s="64" t="n"/>
      <c r="H685" s="64" t="n"/>
      <c r="I685" s="64" t="n"/>
      <c r="J685" s="64" t="n"/>
      <c r="K685" s="64" t="n"/>
      <c r="L685" s="64" t="n"/>
      <c r="M685" s="64" t="n"/>
      <c r="N685" s="64" t="n"/>
      <c r="O685" s="63" t="n"/>
    </row>
    <row r="686" ht="15" customHeight="1">
      <c r="A686" s="14" t="inlineStr">
        <is>
          <t>prospeo.io</t>
        </is>
      </c>
      <c r="B686" s="64" t="n"/>
      <c r="C686" s="63" t="n"/>
      <c r="D686" s="8" t="n">
        <v>2</v>
      </c>
      <c r="E686" s="9" t="inlineStr">
        <is>
          <t>https://prospeo.io/s/sales-titles-hierarchy</t>
        </is>
      </c>
      <c r="F686" s="64" t="n"/>
      <c r="G686" s="64" t="n"/>
      <c r="H686" s="64" t="n"/>
      <c r="I686" s="64" t="n"/>
      <c r="J686" s="64" t="n"/>
      <c r="K686" s="64" t="n"/>
      <c r="L686" s="64" t="n"/>
      <c r="M686" s="64" t="n"/>
      <c r="N686" s="64" t="n"/>
      <c r="O686" s="63" t="n"/>
    </row>
    <row r="687" ht="15" customHeight="1">
      <c r="A687" s="14" t="inlineStr">
        <is>
          <t>radford.aon.com</t>
        </is>
      </c>
      <c r="B687" s="64" t="n"/>
      <c r="C687" s="63" t="n"/>
      <c r="D687" s="8" t="n">
        <v>2</v>
      </c>
      <c r="E687" s="9" t="inlineStr">
        <is>
          <t>https://radford.aon.com/en-us/products/release-notes/2021/radford-job-architecture-leveling</t>
        </is>
      </c>
      <c r="F687" s="64" t="n"/>
      <c r="G687" s="64" t="n"/>
      <c r="H687" s="64" t="n"/>
      <c r="I687" s="64" t="n"/>
      <c r="J687" s="64" t="n"/>
      <c r="K687" s="64" t="n"/>
      <c r="L687" s="64" t="n"/>
      <c r="M687" s="64" t="n"/>
      <c r="N687" s="64" t="n"/>
      <c r="O687" s="63" t="n"/>
    </row>
    <row r="688" ht="15" customHeight="1">
      <c r="A688" s="14" t="inlineStr">
        <is>
          <t>shrm.org</t>
        </is>
      </c>
      <c r="B688" s="64" t="n"/>
      <c r="C688" s="63" t="n"/>
      <c r="D688" s="8" t="n">
        <v>2</v>
      </c>
      <c r="E688" s="9" t="inlineStr">
        <is>
          <t>https://www.shrm.org/credentials/certification/shrm-bask</t>
        </is>
      </c>
      <c r="F688" s="64" t="n"/>
      <c r="G688" s="64" t="n"/>
      <c r="H688" s="64" t="n"/>
      <c r="I688" s="64" t="n"/>
      <c r="J688" s="64" t="n"/>
      <c r="K688" s="64" t="n"/>
      <c r="L688" s="64" t="n"/>
      <c r="M688" s="64" t="n"/>
      <c r="N688" s="64" t="n"/>
      <c r="O688" s="63" t="n"/>
    </row>
    <row r="689" ht="15" customHeight="1">
      <c r="A689" s="14" t="inlineStr">
        <is>
          <t>testrigor.com</t>
        </is>
      </c>
      <c r="B689" s="64" t="n"/>
      <c r="C689" s="63" t="n"/>
      <c r="D689" s="8" t="n">
        <v>2</v>
      </c>
      <c r="E689" s="9" t="inlineStr">
        <is>
          <t>https://testrigor.com/blog/engineering-levels-in-different-companies-compared/</t>
        </is>
      </c>
      <c r="F689" s="64" t="n"/>
      <c r="G689" s="64" t="n"/>
      <c r="H689" s="64" t="n"/>
      <c r="I689" s="64" t="n"/>
      <c r="J689" s="64" t="n"/>
      <c r="K689" s="64" t="n"/>
      <c r="L689" s="64" t="n"/>
      <c r="M689" s="64" t="n"/>
      <c r="N689" s="64" t="n"/>
      <c r="O689" s="63" t="n"/>
    </row>
    <row r="690" ht="15" customHeight="1">
      <c r="A690" s="14" t="inlineStr">
        <is>
          <t>tsia.com</t>
        </is>
      </c>
      <c r="B690" s="64" t="n"/>
      <c r="C690" s="63" t="n"/>
      <c r="D690" s="8" t="n">
        <v>2</v>
      </c>
      <c r="E690" s="9" t="inlineStr">
        <is>
          <t>https://www.tsia.com</t>
        </is>
      </c>
      <c r="F690" s="64" t="n"/>
      <c r="G690" s="64" t="n"/>
      <c r="H690" s="64" t="n"/>
      <c r="I690" s="64" t="n"/>
      <c r="J690" s="64" t="n"/>
      <c r="K690" s="64" t="n"/>
      <c r="L690" s="64" t="n"/>
      <c r="M690" s="64" t="n"/>
      <c r="N690" s="64" t="n"/>
      <c r="O690" s="63" t="n"/>
    </row>
    <row r="691" ht="15" customHeight="1">
      <c r="A691" s="14" t="inlineStr">
        <is>
          <t>uwo.ca</t>
        </is>
      </c>
      <c r="B691" s="64" t="n"/>
      <c r="C691" s="63" t="n"/>
      <c r="D691" s="8" t="n">
        <v>2</v>
      </c>
      <c r="E691" s="9" t="inlineStr">
        <is>
          <t>https://www.uwo.ca/humanresources/wjec/docs/hay_method_overview.pdf</t>
        </is>
      </c>
      <c r="F691" s="64" t="n"/>
      <c r="G691" s="64" t="n"/>
      <c r="H691" s="64" t="n"/>
      <c r="I691" s="64" t="n"/>
      <c r="J691" s="64" t="n"/>
      <c r="K691" s="64" t="n"/>
      <c r="L691" s="64" t="n"/>
      <c r="M691" s="64" t="n"/>
      <c r="N691" s="64" t="n"/>
      <c r="O691" s="63" t="n"/>
    </row>
    <row r="692" ht="15" customHeight="1">
      <c r="A692" s="14" t="inlineStr">
        <is>
          <t>weforum.org</t>
        </is>
      </c>
      <c r="B692" s="64" t="n"/>
      <c r="C692" s="63" t="n"/>
      <c r="D692" s="8" t="n">
        <v>2</v>
      </c>
      <c r="E692" s="9" t="inlineStr">
        <is>
          <t>https://www.weforum.org/publications/the-future-of-jobs-report-2025/digest/</t>
        </is>
      </c>
      <c r="F692" s="64" t="n"/>
      <c r="G692" s="64" t="n"/>
      <c r="H692" s="64" t="n"/>
      <c r="I692" s="64" t="n"/>
      <c r="J692" s="64" t="n"/>
      <c r="K692" s="64" t="n"/>
      <c r="L692" s="64" t="n"/>
      <c r="M692" s="64" t="n"/>
      <c r="N692" s="64" t="n"/>
      <c r="O692" s="63" t="n"/>
    </row>
    <row r="693" ht="15" customHeight="1">
      <c r="A693" s="14" t="inlineStr">
        <is>
          <t>wtwco.com</t>
        </is>
      </c>
      <c r="B693" s="64" t="n"/>
      <c r="C693" s="63" t="n"/>
      <c r="D693" s="8" t="n">
        <v>2</v>
      </c>
      <c r="E693" s="9" t="inlineStr">
        <is>
          <t>https://www.wtwco.com/en-in/insights/2023/09/building-resilient-career-ecosystems-with-robust-career-strategy-and-design</t>
        </is>
      </c>
      <c r="F693" s="64" t="n"/>
      <c r="G693" s="64" t="n"/>
      <c r="H693" s="64" t="n"/>
      <c r="I693" s="64" t="n"/>
      <c r="J693" s="64" t="n"/>
      <c r="K693" s="64" t="n"/>
      <c r="L693" s="64" t="n"/>
      <c r="M693" s="64" t="n"/>
      <c r="N693" s="64" t="n"/>
      <c r="O693" s="63" t="n"/>
    </row>
    <row r="694" ht="15" customHeight="1">
      <c r="A694" s="14" t="inlineStr">
        <is>
          <t>xbrl.us</t>
        </is>
      </c>
      <c r="B694" s="64" t="n"/>
      <c r="C694" s="63" t="n"/>
      <c r="D694" s="8" t="n">
        <v>2</v>
      </c>
      <c r="E694" s="9" t="inlineStr">
        <is>
          <t>https://xbrl.us</t>
        </is>
      </c>
      <c r="F694" s="64" t="n"/>
      <c r="G694" s="64" t="n"/>
      <c r="H694" s="64" t="n"/>
      <c r="I694" s="64" t="n"/>
      <c r="J694" s="64" t="n"/>
      <c r="K694" s="64" t="n"/>
      <c r="L694" s="64" t="n"/>
      <c r="M694" s="64" t="n"/>
      <c r="N694" s="64" t="n"/>
      <c r="O694" s="63" t="n"/>
    </row>
    <row r="695" ht="15" customHeight="1">
      <c r="A695" s="14" t="inlineStr">
        <is>
          <t>abseil.io</t>
        </is>
      </c>
      <c r="B695" s="64" t="n"/>
      <c r="C695" s="63" t="n"/>
      <c r="D695" s="8" t="n">
        <v>1</v>
      </c>
      <c r="E695" s="9" t="inlineStr">
        <is>
          <t>https://abseil.io/resources/swe-book/html/ch05.html</t>
        </is>
      </c>
      <c r="F695" s="64" t="n"/>
      <c r="G695" s="64" t="n"/>
      <c r="H695" s="64" t="n"/>
      <c r="I695" s="64" t="n"/>
      <c r="J695" s="64" t="n"/>
      <c r="K695" s="64" t="n"/>
      <c r="L695" s="64" t="n"/>
      <c r="M695" s="64" t="n"/>
      <c r="N695" s="64" t="n"/>
      <c r="O695" s="63" t="n"/>
    </row>
    <row r="696" ht="15" customHeight="1">
      <c r="A696" s="14" t="inlineStr">
        <is>
          <t>assets.publishing.service.gov.uk</t>
        </is>
      </c>
      <c r="B696" s="64" t="n"/>
      <c r="C696" s="63" t="n"/>
      <c r="D696" s="8" t="n">
        <v>1</v>
      </c>
      <c r="E696" s="9" t="inlineStr">
        <is>
          <t>https://assets.publishing.service.gov.uk/media/66a370440808eaf43b50d7b2/WTW_OME-STRB_Job_Levelling_FOR_PUBLICATION.pdf</t>
        </is>
      </c>
      <c r="F696" s="64" t="n"/>
      <c r="G696" s="64" t="n"/>
      <c r="H696" s="64" t="n"/>
      <c r="I696" s="64" t="n"/>
      <c r="J696" s="64" t="n"/>
      <c r="K696" s="64" t="n"/>
      <c r="L696" s="64" t="n"/>
      <c r="M696" s="64" t="n"/>
      <c r="N696" s="64" t="n"/>
      <c r="O696" s="63" t="n"/>
    </row>
    <row r="697" ht="15" customHeight="1">
      <c r="A697" s="14" t="inlineStr">
        <is>
          <t>blog.ipleaders.in</t>
        </is>
      </c>
      <c r="B697" s="64" t="n"/>
      <c r="C697" s="63" t="n"/>
      <c r="D697" s="8" t="n">
        <v>1</v>
      </c>
      <c r="E697" s="9" t="inlineStr">
        <is>
          <t>https://blog.ipleaders.in/director-companies-act-2013/</t>
        </is>
      </c>
      <c r="F697" s="64" t="n"/>
      <c r="G697" s="64" t="n"/>
      <c r="H697" s="64" t="n"/>
      <c r="I697" s="64" t="n"/>
      <c r="J697" s="64" t="n"/>
      <c r="K697" s="64" t="n"/>
      <c r="L697" s="64" t="n"/>
      <c r="M697" s="64" t="n"/>
      <c r="N697" s="64" t="n"/>
      <c r="O697" s="63" t="n"/>
    </row>
    <row r="698" ht="15" customHeight="1">
      <c r="A698" s="14" t="inlineStr">
        <is>
          <t>bootcamp.uxdesign.cc</t>
        </is>
      </c>
      <c r="B698" s="64" t="n"/>
      <c r="C698" s="63" t="n"/>
      <c r="D698" s="8" t="n">
        <v>1</v>
      </c>
      <c r="E698" s="9" t="inlineStr">
        <is>
          <t>https://bootcamp.uxdesign.cc/career-ladder-from-junior-to-director-guidance-for-ux-professionals-1b5f9b2bd6b8</t>
        </is>
      </c>
      <c r="F698" s="64" t="n"/>
      <c r="G698" s="64" t="n"/>
      <c r="H698" s="64" t="n"/>
      <c r="I698" s="64" t="n"/>
      <c r="J698" s="64" t="n"/>
      <c r="K698" s="64" t="n"/>
      <c r="L698" s="64" t="n"/>
      <c r="M698" s="64" t="n"/>
      <c r="N698" s="64" t="n"/>
      <c r="O698" s="63" t="n"/>
    </row>
    <row r="699" ht="15" customHeight="1">
      <c r="A699" s="14" t="inlineStr">
        <is>
          <t>builtinbengaluru.in</t>
        </is>
      </c>
      <c r="B699" s="64" t="n"/>
      <c r="C699" s="63" t="n"/>
      <c r="D699" s="8" t="n">
        <v>1</v>
      </c>
      <c r="E699" s="9" t="inlineStr">
        <is>
          <t>https://builtinbengaluru.in/job/xbrl-financial-analyst-assoc/4131532</t>
        </is>
      </c>
      <c r="F699" s="64" t="n"/>
      <c r="G699" s="64" t="n"/>
      <c r="H699" s="64" t="n"/>
      <c r="I699" s="64" t="n"/>
      <c r="J699" s="64" t="n"/>
      <c r="K699" s="64" t="n"/>
      <c r="L699" s="64" t="n"/>
      <c r="M699" s="64" t="n"/>
      <c r="N699" s="64" t="n"/>
      <c r="O699" s="63" t="n"/>
    </row>
    <row r="700" ht="15" customHeight="1">
      <c r="A700" s="14" t="inlineStr">
        <is>
          <t>businesswire.com</t>
        </is>
      </c>
      <c r="B700" s="64" t="n"/>
      <c r="C700" s="63" t="n"/>
      <c r="D700" s="8" t="n">
        <v>1</v>
      </c>
      <c r="E700" s="9" t="inlineStr">
        <is>
          <t>https://www.businesswire.com/news/home/20241124525888/en/</t>
        </is>
      </c>
      <c r="F700" s="64" t="n"/>
      <c r="G700" s="64" t="n"/>
      <c r="H700" s="64" t="n"/>
      <c r="I700" s="64" t="n"/>
      <c r="J700" s="64" t="n"/>
      <c r="K700" s="64" t="n"/>
      <c r="L700" s="64" t="n"/>
      <c r="M700" s="64" t="n"/>
      <c r="N700" s="64" t="n"/>
      <c r="O700" s="63" t="n"/>
    </row>
    <row r="701" ht="15" customHeight="1">
      <c r="A701" s="14" t="inlineStr">
        <is>
          <t>cardinalatwork.stanford.edu</t>
        </is>
      </c>
      <c r="B701" s="64" t="n"/>
      <c r="C701" s="63" t="n"/>
      <c r="D701" s="8" t="n">
        <v>1</v>
      </c>
      <c r="E701" s="9" t="inlineStr">
        <is>
          <t>https://cardinalatwork.stanford.edu/careers/performance-management/competencies</t>
        </is>
      </c>
      <c r="F701" s="64" t="n"/>
      <c r="G701" s="64" t="n"/>
      <c r="H701" s="64" t="n"/>
      <c r="I701" s="64" t="n"/>
      <c r="J701" s="64" t="n"/>
      <c r="K701" s="64" t="n"/>
      <c r="L701" s="64" t="n"/>
      <c r="M701" s="64" t="n"/>
      <c r="N701" s="64" t="n"/>
      <c r="O701" s="63" t="n"/>
    </row>
    <row r="702" ht="15" customHeight="1">
      <c r="A702" s="14" t="inlineStr">
        <is>
          <t>carta.com</t>
        </is>
      </c>
      <c r="B702" s="64" t="n"/>
      <c r="C702" s="63" t="n"/>
      <c r="D702" s="8" t="n">
        <v>1</v>
      </c>
      <c r="E702" s="9" t="inlineStr">
        <is>
          <t>https://carta.com/learn/startups/compensation/job-leveling/</t>
        </is>
      </c>
      <c r="F702" s="64" t="n"/>
      <c r="G702" s="64" t="n"/>
      <c r="H702" s="64" t="n"/>
      <c r="I702" s="64" t="n"/>
      <c r="J702" s="64" t="n"/>
      <c r="K702" s="64" t="n"/>
      <c r="L702" s="64" t="n"/>
      <c r="M702" s="64" t="n"/>
      <c r="N702" s="64" t="n"/>
      <c r="O702" s="63" t="n"/>
    </row>
    <row r="703" ht="15" customHeight="1">
      <c r="A703" s="14" t="inlineStr">
        <is>
          <t>cim.co.uk</t>
        </is>
      </c>
      <c r="B703" s="64" t="n"/>
      <c r="C703" s="63" t="n"/>
      <c r="D703" s="8" t="n">
        <v>1</v>
      </c>
      <c r="E703" s="9" t="inlineStr">
        <is>
          <t>https://www.cim.co.uk/more/professional-marketing-competencies</t>
        </is>
      </c>
      <c r="F703" s="64" t="n"/>
      <c r="G703" s="64" t="n"/>
      <c r="H703" s="64" t="n"/>
      <c r="I703" s="64" t="n"/>
      <c r="J703" s="64" t="n"/>
      <c r="K703" s="64" t="n"/>
      <c r="L703" s="64" t="n"/>
      <c r="M703" s="64" t="n"/>
      <c r="N703" s="64" t="n"/>
      <c r="O703" s="63" t="n"/>
    </row>
    <row r="704" ht="15" customHeight="1">
      <c r="A704" s="14" t="inlineStr">
        <is>
          <t>cipd.org</t>
        </is>
      </c>
      <c r="B704" s="64" t="n"/>
      <c r="C704" s="63" t="n"/>
      <c r="D704" s="8" t="n">
        <v>1</v>
      </c>
      <c r="E704" s="9" t="inlineStr">
        <is>
          <t>https://www.cipd.org/en/the-people-profession/the-profession-map/</t>
        </is>
      </c>
      <c r="F704" s="64" t="n"/>
      <c r="G704" s="64" t="n"/>
      <c r="H704" s="64" t="n"/>
      <c r="I704" s="64" t="n"/>
      <c r="J704" s="64" t="n"/>
      <c r="K704" s="64" t="n"/>
      <c r="L704" s="64" t="n"/>
      <c r="M704" s="64" t="n"/>
      <c r="N704" s="64" t="n"/>
      <c r="O704" s="63" t="n"/>
    </row>
    <row r="705" ht="15" customHeight="1">
      <c r="A705" s="14" t="inlineStr">
        <is>
          <t>copc.com</t>
        </is>
      </c>
      <c r="B705" s="64" t="n"/>
      <c r="C705" s="63" t="n"/>
      <c r="D705" s="8" t="n">
        <v>1</v>
      </c>
      <c r="E705" s="9" t="inlineStr">
        <is>
          <t>https://copc.com/copc-standards</t>
        </is>
      </c>
      <c r="F705" s="64" t="n"/>
      <c r="G705" s="64" t="n"/>
      <c r="H705" s="64" t="n"/>
      <c r="I705" s="64" t="n"/>
      <c r="J705" s="64" t="n"/>
      <c r="K705" s="64" t="n"/>
      <c r="L705" s="64" t="n"/>
      <c r="M705" s="64" t="n"/>
      <c r="N705" s="64" t="n"/>
      <c r="O705" s="63" t="n"/>
    </row>
    <row r="706" ht="15" customHeight="1">
      <c r="A706" s="14" t="inlineStr">
        <is>
          <t>developer.squareup.com</t>
        </is>
      </c>
      <c r="B706" s="64" t="n"/>
      <c r="C706" s="63" t="n"/>
      <c r="D706" s="8" t="n">
        <v>1</v>
      </c>
      <c r="E706" s="9" t="inlineStr">
        <is>
          <t>https://developer.squareup.com/blog/squares-growth-framework-for-engineers-and-engineering-managers/</t>
        </is>
      </c>
      <c r="F706" s="64" t="n"/>
      <c r="G706" s="64" t="n"/>
      <c r="H706" s="64" t="n"/>
      <c r="I706" s="64" t="n"/>
      <c r="J706" s="64" t="n"/>
      <c r="K706" s="64" t="n"/>
      <c r="L706" s="64" t="n"/>
      <c r="M706" s="64" t="n"/>
      <c r="N706" s="64" t="n"/>
      <c r="O706" s="63" t="n"/>
    </row>
    <row r="707" ht="15" customHeight="1">
      <c r="A707" s="14" t="inlineStr">
        <is>
          <t>dfinsolutions.com</t>
        </is>
      </c>
      <c r="B707" s="64" t="n"/>
      <c r="C707" s="63" t="n"/>
      <c r="D707" s="8" t="n">
        <v>1</v>
      </c>
      <c r="E707" s="9" t="inlineStr">
        <is>
          <t>https://www.dfinsolutions.com</t>
        </is>
      </c>
      <c r="F707" s="64" t="n"/>
      <c r="G707" s="64" t="n"/>
      <c r="H707" s="64" t="n"/>
      <c r="I707" s="64" t="n"/>
      <c r="J707" s="64" t="n"/>
      <c r="K707" s="64" t="n"/>
      <c r="L707" s="64" t="n"/>
      <c r="M707" s="64" t="n"/>
      <c r="N707" s="64" t="n"/>
      <c r="O707" s="63" t="n"/>
    </row>
    <row r="708" ht="15" customHeight="1">
      <c r="A708" s="14" t="inlineStr">
        <is>
          <t>dropbox.tech</t>
        </is>
      </c>
      <c r="B708" s="64" t="n"/>
      <c r="C708" s="63" t="n"/>
      <c r="D708" s="8" t="n">
        <v>1</v>
      </c>
      <c r="E708" s="9" t="inlineStr">
        <is>
          <t>https://dropbox.tech/culture/our-updated-engineering-career-framework</t>
        </is>
      </c>
      <c r="F708" s="64" t="n"/>
      <c r="G708" s="64" t="n"/>
      <c r="H708" s="64" t="n"/>
      <c r="I708" s="64" t="n"/>
      <c r="J708" s="64" t="n"/>
      <c r="K708" s="64" t="n"/>
      <c r="L708" s="64" t="n"/>
      <c r="M708" s="64" t="n"/>
      <c r="N708" s="64" t="n"/>
      <c r="O708" s="63" t="n"/>
    </row>
    <row r="709" ht="28" customHeight="1">
      <c r="A709" s="14" t="inlineStr">
        <is>
          <t>gov.nl.ca</t>
        </is>
      </c>
      <c r="B709" s="64" t="n"/>
      <c r="C709" s="63" t="n"/>
      <c r="D709" s="8" t="n">
        <v>1</v>
      </c>
      <c r="E709" s="9" t="inlineStr">
        <is>
          <t>https://www.gov.nl.ca/exec/tbs/department/branches/classification/what-is-the-korn-ferry-hay-group-guide-chart-profile-method-of-job-evaluation/</t>
        </is>
      </c>
      <c r="F709" s="64" t="n"/>
      <c r="G709" s="64" t="n"/>
      <c r="H709" s="64" t="n"/>
      <c r="I709" s="64" t="n"/>
      <c r="J709" s="64" t="n"/>
      <c r="K709" s="64" t="n"/>
      <c r="L709" s="64" t="n"/>
      <c r="M709" s="64" t="n"/>
      <c r="N709" s="64" t="n"/>
      <c r="O709" s="63" t="n"/>
    </row>
    <row r="710" ht="15" customHeight="1">
      <c r="A710" s="14" t="inlineStr">
        <is>
          <t>highland.gov.uk</t>
        </is>
      </c>
      <c r="B710" s="64" t="n"/>
      <c r="C710" s="63" t="n"/>
      <c r="D710" s="8" t="n">
        <v>1</v>
      </c>
      <c r="E710" s="9" t="inlineStr">
        <is>
          <t>https://www.highland.gov.uk/download/downloads/id/3889/scoring_matrix.pdf</t>
        </is>
      </c>
      <c r="F710" s="64" t="n"/>
      <c r="G710" s="64" t="n"/>
      <c r="H710" s="64" t="n"/>
      <c r="I710" s="64" t="n"/>
      <c r="J710" s="64" t="n"/>
      <c r="K710" s="64" t="n"/>
      <c r="L710" s="64" t="n"/>
      <c r="M710" s="64" t="n"/>
      <c r="N710" s="64" t="n"/>
      <c r="O710" s="63" t="n"/>
    </row>
    <row r="711" ht="15" customHeight="1">
      <c r="A711" s="14" t="inlineStr">
        <is>
          <t>info.mercer.com</t>
        </is>
      </c>
      <c r="B711" s="64" t="n"/>
      <c r="C711" s="63" t="n"/>
      <c r="D711" s="8" t="n">
        <v>1</v>
      </c>
      <c r="E711" s="9" t="inlineStr">
        <is>
          <t>https://info.mercer.com/rs/521-DEV-513/images/MLS-Job-Catalogue.pdf</t>
        </is>
      </c>
      <c r="F711" s="64" t="n"/>
      <c r="G711" s="64" t="n"/>
      <c r="H711" s="64" t="n"/>
      <c r="I711" s="64" t="n"/>
      <c r="J711" s="64" t="n"/>
      <c r="K711" s="64" t="n"/>
      <c r="L711" s="64" t="n"/>
      <c r="M711" s="64" t="n"/>
      <c r="N711" s="64" t="n"/>
      <c r="O711" s="63" t="n"/>
    </row>
    <row r="712" ht="15" customHeight="1">
      <c r="A712" s="14" t="inlineStr">
        <is>
          <t>itjobswatch.co.uk</t>
        </is>
      </c>
      <c r="B712" s="64" t="n"/>
      <c r="C712" s="63" t="n"/>
      <c r="D712" s="8" t="n">
        <v>1</v>
      </c>
      <c r="E712" s="9" t="inlineStr">
        <is>
          <t>https://www.itjobswatch.co.uk/jv/Space-Executive/Sales-Lead-Player-Coach-HR-Tech-Job-City-of-London-Greater-London-UK-4vommq</t>
        </is>
      </c>
      <c r="F712" s="64" t="n"/>
      <c r="G712" s="64" t="n"/>
      <c r="H712" s="64" t="n"/>
      <c r="I712" s="64" t="n"/>
      <c r="J712" s="64" t="n"/>
      <c r="K712" s="64" t="n"/>
      <c r="L712" s="64" t="n"/>
      <c r="M712" s="64" t="n"/>
      <c r="N712" s="64" t="n"/>
      <c r="O712" s="63" t="n"/>
    </row>
    <row r="713" ht="15" customHeight="1">
      <c r="A713" s="14" t="inlineStr">
        <is>
          <t>jobs.insightpartners.com</t>
        </is>
      </c>
      <c r="B713" s="64" t="n"/>
      <c r="C713" s="63" t="n"/>
      <c r="D713" s="8" t="n">
        <v>1</v>
      </c>
      <c r="E713" s="9" t="inlineStr">
        <is>
          <t>https://jobs.insightpartners.com/companies/gainsight/jobs/64120646-director-customer-success</t>
        </is>
      </c>
      <c r="F713" s="64" t="n"/>
      <c r="G713" s="64" t="n"/>
      <c r="H713" s="64" t="n"/>
      <c r="I713" s="64" t="n"/>
      <c r="J713" s="64" t="n"/>
      <c r="K713" s="64" t="n"/>
      <c r="L713" s="64" t="n"/>
      <c r="M713" s="64" t="n"/>
      <c r="N713" s="64" t="n"/>
      <c r="O713" s="63" t="n"/>
    </row>
    <row r="714" ht="15" customHeight="1">
      <c r="A714" s="14" t="inlineStr">
        <is>
          <t>kaanoon.com</t>
        </is>
      </c>
      <c r="B714" s="64" t="n"/>
      <c r="C714" s="63" t="n"/>
      <c r="D714" s="8" t="n">
        <v>1</v>
      </c>
      <c r="E714" s="9" t="inlineStr">
        <is>
          <t>https://www.kaanoon.com/241487/designation-with-word-director-as-per-hr-policy-but-not-as-per-companies-act</t>
        </is>
      </c>
      <c r="F714" s="64" t="n"/>
      <c r="G714" s="64" t="n"/>
      <c r="H714" s="64" t="n"/>
      <c r="I714" s="64" t="n"/>
      <c r="J714" s="64" t="n"/>
      <c r="K714" s="64" t="n"/>
      <c r="L714" s="64" t="n"/>
      <c r="M714" s="64" t="n"/>
      <c r="N714" s="64" t="n"/>
      <c r="O714" s="63" t="n"/>
    </row>
    <row r="715" ht="15" customHeight="1">
      <c r="A715" s="14" t="inlineStr">
        <is>
          <t>karlancer.com</t>
        </is>
      </c>
      <c r="B715" s="64" t="n"/>
      <c r="C715" s="63" t="n"/>
      <c r="D715" s="8" t="n">
        <v>1</v>
      </c>
      <c r="E715" s="9" t="inlineStr">
        <is>
          <t>https://www.karlancer.com/api/file/1685038954-V7Gx.pdf</t>
        </is>
      </c>
      <c r="F715" s="64" t="n"/>
      <c r="G715" s="64" t="n"/>
      <c r="H715" s="64" t="n"/>
      <c r="I715" s="64" t="n"/>
      <c r="J715" s="64" t="n"/>
      <c r="K715" s="64" t="n"/>
      <c r="L715" s="64" t="n"/>
      <c r="M715" s="64" t="n"/>
      <c r="N715" s="64" t="n"/>
      <c r="O715" s="63" t="n"/>
    </row>
    <row r="716" ht="15" customHeight="1">
      <c r="A716" s="14" t="inlineStr">
        <is>
          <t>kornferry.com</t>
        </is>
      </c>
      <c r="B716" s="64" t="n"/>
      <c r="C716" s="63" t="n"/>
      <c r="D716" s="8" t="n">
        <v>1</v>
      </c>
      <c r="E716" s="9" t="inlineStr">
        <is>
          <t>https://www.kornferry.com</t>
        </is>
      </c>
      <c r="F716" s="64" t="n"/>
      <c r="G716" s="64" t="n"/>
      <c r="H716" s="64" t="n"/>
      <c r="I716" s="64" t="n"/>
      <c r="J716" s="64" t="n"/>
      <c r="K716" s="64" t="n"/>
      <c r="L716" s="64" t="n"/>
      <c r="M716" s="64" t="n"/>
      <c r="N716" s="64" t="n"/>
      <c r="O716" s="63" t="n"/>
    </row>
    <row r="717" ht="15" customHeight="1">
      <c r="A717" s="14" t="inlineStr">
        <is>
          <t>lb2.local.gov.uk</t>
        </is>
      </c>
      <c r="B717" s="64" t="n"/>
      <c r="C717" s="63" t="n"/>
      <c r="D717" s="8" t="n">
        <v>1</v>
      </c>
      <c r="E717" s="9" t="inlineStr">
        <is>
          <t>https://lb2.local.gov.uk/sites/default/files/documents/police-staff-council-13-f-342.pdf</t>
        </is>
      </c>
      <c r="F717" s="64" t="n"/>
      <c r="G717" s="64" t="n"/>
      <c r="H717" s="64" t="n"/>
      <c r="I717" s="64" t="n"/>
      <c r="J717" s="64" t="n"/>
      <c r="K717" s="64" t="n"/>
      <c r="L717" s="64" t="n"/>
      <c r="M717" s="64" t="n"/>
      <c r="N717" s="64" t="n"/>
      <c r="O717" s="63" t="n"/>
    </row>
    <row r="718" ht="15" customHeight="1">
      <c r="A718" s="14" t="inlineStr">
        <is>
          <t>leaddev.com</t>
        </is>
      </c>
      <c r="B718" s="64" t="n"/>
      <c r="C718" s="63" t="n"/>
      <c r="D718" s="8" t="n">
        <v>1</v>
      </c>
      <c r="E718" s="9" t="inlineStr">
        <is>
          <t>https://leaddev.com/career-ladders/who-are-staff-principal-and-distinguished-engineers</t>
        </is>
      </c>
      <c r="F718" s="64" t="n"/>
      <c r="G718" s="64" t="n"/>
      <c r="H718" s="64" t="n"/>
      <c r="I718" s="64" t="n"/>
      <c r="J718" s="64" t="n"/>
      <c r="K718" s="64" t="n"/>
      <c r="L718" s="64" t="n"/>
      <c r="M718" s="64" t="n"/>
      <c r="N718" s="64" t="n"/>
      <c r="O718" s="63" t="n"/>
    </row>
    <row r="719" ht="15" customHeight="1">
      <c r="A719" s="14" t="inlineStr">
        <is>
          <t>newsletter.pragmaticengineer.com</t>
        </is>
      </c>
      <c r="B719" s="64" t="n"/>
      <c r="C719" s="63" t="n"/>
      <c r="D719" s="8" t="n">
        <v>1</v>
      </c>
      <c r="E719" s="9" t="inlineStr">
        <is>
          <t>https://newsletter.pragmaticengineer.com/p/leading-effective-engineering-teams</t>
        </is>
      </c>
      <c r="F719" s="64" t="n"/>
      <c r="G719" s="64" t="n"/>
      <c r="H719" s="64" t="n"/>
      <c r="I719" s="64" t="n"/>
      <c r="J719" s="64" t="n"/>
      <c r="K719" s="64" t="n"/>
      <c r="L719" s="64" t="n"/>
      <c r="M719" s="64" t="n"/>
      <c r="N719" s="64" t="n"/>
      <c r="O719" s="63" t="n"/>
    </row>
    <row r="720" ht="15" customHeight="1">
      <c r="A720" s="14" t="inlineStr">
        <is>
          <t>nhsemployers.org</t>
        </is>
      </c>
      <c r="B720" s="64" t="n"/>
      <c r="C720" s="63" t="n"/>
      <c r="D720" s="8" t="n">
        <v>1</v>
      </c>
      <c r="E720" s="9" t="inlineStr">
        <is>
          <t>https://www.nhsemployers.org/sites/default/files/pdf/22/165.pdf</t>
        </is>
      </c>
      <c r="F720" s="64" t="n"/>
      <c r="G720" s="64" t="n"/>
      <c r="H720" s="64" t="n"/>
      <c r="I720" s="64" t="n"/>
      <c r="J720" s="64" t="n"/>
      <c r="K720" s="64" t="n"/>
      <c r="L720" s="64" t="n"/>
      <c r="M720" s="64" t="n"/>
      <c r="N720" s="64" t="n"/>
      <c r="O720" s="63" t="n"/>
    </row>
    <row r="721" ht="28" customHeight="1">
      <c r="A721" s="14" t="inlineStr">
        <is>
          <t>opm.gov</t>
        </is>
      </c>
      <c r="B721" s="64" t="n"/>
      <c r="C721" s="63" t="n"/>
      <c r="D721" s="8" t="n">
        <v>1</v>
      </c>
      <c r="E721" s="9" t="inlineStr">
        <is>
          <t>https://www.opm.gov/policy-data-oversight/classification-qualifications/classifying-general-schedule-positions/positionclassificationintro.pdf</t>
        </is>
      </c>
      <c r="F721" s="64" t="n"/>
      <c r="G721" s="64" t="n"/>
      <c r="H721" s="64" t="n"/>
      <c r="I721" s="64" t="n"/>
      <c r="J721" s="64" t="n"/>
      <c r="K721" s="64" t="n"/>
      <c r="L721" s="64" t="n"/>
      <c r="M721" s="64" t="n"/>
      <c r="N721" s="64" t="n"/>
      <c r="O721" s="63" t="n"/>
    </row>
    <row r="722" ht="15" customHeight="1">
      <c r="A722" s="14" t="inlineStr">
        <is>
          <t>pave.com</t>
        </is>
      </c>
      <c r="B722" s="64" t="n"/>
      <c r="C722" s="63" t="n"/>
      <c r="D722" s="8" t="n">
        <v>1</v>
      </c>
      <c r="E722" s="9" t="inlineStr">
        <is>
          <t>https://support.pave.com/articles/understand-job-levels-SiKTjMHZtr.md</t>
        </is>
      </c>
      <c r="F722" s="64" t="n"/>
      <c r="G722" s="64" t="n"/>
      <c r="H722" s="64" t="n"/>
      <c r="I722" s="64" t="n"/>
      <c r="J722" s="64" t="n"/>
      <c r="K722" s="64" t="n"/>
      <c r="L722" s="64" t="n"/>
      <c r="M722" s="64" t="n"/>
      <c r="N722" s="64" t="n"/>
      <c r="O722" s="63" t="n"/>
    </row>
    <row r="723" ht="15" customHeight="1">
      <c r="A723" s="14" t="inlineStr">
        <is>
          <t>payscale.com</t>
        </is>
      </c>
      <c r="B723" s="64" t="n"/>
      <c r="C723" s="63" t="n"/>
      <c r="D723" s="8" t="n">
        <v>1</v>
      </c>
      <c r="E723" s="9" t="inlineStr">
        <is>
          <t>https://www.payscale.com/research/IN/Job=Chief_Architect%2C_IT/Skill-Experience</t>
        </is>
      </c>
      <c r="F723" s="64" t="n"/>
      <c r="G723" s="64" t="n"/>
      <c r="H723" s="64" t="n"/>
      <c r="I723" s="64" t="n"/>
      <c r="J723" s="64" t="n"/>
      <c r="K723" s="64" t="n"/>
      <c r="L723" s="64" t="n"/>
      <c r="M723" s="64" t="n"/>
      <c r="N723" s="64" t="n"/>
      <c r="O723" s="63" t="n"/>
    </row>
    <row r="724" ht="15" customHeight="1">
      <c r="A724" s="14" t="inlineStr">
        <is>
          <t>peoplecentre.wordpress.com</t>
        </is>
      </c>
      <c r="B724" s="64" t="n"/>
      <c r="C724" s="63" t="n"/>
      <c r="D724" s="8" t="n">
        <v>1</v>
      </c>
      <c r="E724" s="9" t="inlineStr">
        <is>
          <t>https://peoplecentre.wordpress.com/2016/10/02/hay-job-evaluation-methodology-the-short-profile/</t>
        </is>
      </c>
      <c r="F724" s="64" t="n"/>
      <c r="G724" s="64" t="n"/>
      <c r="H724" s="64" t="n"/>
      <c r="I724" s="64" t="n"/>
      <c r="J724" s="64" t="n"/>
      <c r="K724" s="64" t="n"/>
      <c r="L724" s="64" t="n"/>
      <c r="M724" s="64" t="n"/>
      <c r="N724" s="64" t="n"/>
      <c r="O724" s="63" t="n"/>
    </row>
    <row r="725" ht="15" customHeight="1">
      <c r="A725" s="14" t="inlineStr">
        <is>
          <t>peoplematters.in</t>
        </is>
      </c>
      <c r="B725" s="64" t="n"/>
      <c r="C725" s="63" t="n"/>
      <c r="D725" s="8" t="n">
        <v>1</v>
      </c>
      <c r="E725" s="9" t="inlineStr">
        <is>
          <t>https://www.peoplematters.in/news/compensation-benefits/indias-2026-salary-increases-to-reward-skills-over-seniority-ey-48541</t>
        </is>
      </c>
      <c r="F725" s="64" t="n"/>
      <c r="G725" s="64" t="n"/>
      <c r="H725" s="64" t="n"/>
      <c r="I725" s="64" t="n"/>
      <c r="J725" s="64" t="n"/>
      <c r="K725" s="64" t="n"/>
      <c r="L725" s="64" t="n"/>
      <c r="M725" s="64" t="n"/>
      <c r="N725" s="64" t="n"/>
      <c r="O725" s="63" t="n"/>
    </row>
    <row r="726" ht="15" customHeight="1">
      <c r="A726" s="14" t="inlineStr">
        <is>
          <t>pragmaticinstitute.com</t>
        </is>
      </c>
      <c r="B726" s="64" t="n"/>
      <c r="C726" s="63" t="n"/>
      <c r="D726" s="8" t="n">
        <v>1</v>
      </c>
      <c r="E726" s="9" t="inlineStr">
        <is>
          <t>https://pragmaticinstitute.com/product/framework/launch</t>
        </is>
      </c>
      <c r="F726" s="64" t="n"/>
      <c r="G726" s="64" t="n"/>
      <c r="H726" s="64" t="n"/>
      <c r="I726" s="64" t="n"/>
      <c r="J726" s="64" t="n"/>
      <c r="K726" s="64" t="n"/>
      <c r="L726" s="64" t="n"/>
      <c r="M726" s="64" t="n"/>
      <c r="N726" s="64" t="n"/>
      <c r="O726" s="63" t="n"/>
    </row>
    <row r="727" ht="15" customHeight="1">
      <c r="A727" s="14" t="inlineStr">
        <is>
          <t>professionals.lincolnshire.gov.uk</t>
        </is>
      </c>
      <c r="B727" s="64" t="n"/>
      <c r="C727" s="63" t="n"/>
      <c r="D727" s="8" t="n">
        <v>1</v>
      </c>
      <c r="E727" s="9" t="inlineStr">
        <is>
          <t>https://professionals.lincolnshire.gov.uk/downloads/file/576/hay-group-je-method</t>
        </is>
      </c>
      <c r="F727" s="64" t="n"/>
      <c r="G727" s="64" t="n"/>
      <c r="H727" s="64" t="n"/>
      <c r="I727" s="64" t="n"/>
      <c r="J727" s="64" t="n"/>
      <c r="K727" s="64" t="n"/>
      <c r="L727" s="64" t="n"/>
      <c r="M727" s="64" t="n"/>
      <c r="N727" s="64" t="n"/>
      <c r="O727" s="63" t="n"/>
    </row>
    <row r="728" ht="15" customHeight="1">
      <c r="A728" s="14" t="inlineStr">
        <is>
          <t>rajendrauppal.substack.com</t>
        </is>
      </c>
      <c r="B728" s="64" t="n"/>
      <c r="C728" s="63" t="n"/>
      <c r="D728" s="8" t="n">
        <v>1</v>
      </c>
      <c r="E728" s="9" t="inlineStr">
        <is>
          <t>https://rajendrauppal.substack.com/p/understanding-levels-at-google-microsoft</t>
        </is>
      </c>
      <c r="F728" s="64" t="n"/>
      <c r="G728" s="64" t="n"/>
      <c r="H728" s="64" t="n"/>
      <c r="I728" s="64" t="n"/>
      <c r="J728" s="64" t="n"/>
      <c r="K728" s="64" t="n"/>
      <c r="L728" s="64" t="n"/>
      <c r="M728" s="64" t="n"/>
      <c r="N728" s="64" t="n"/>
      <c r="O728" s="63" t="n"/>
    </row>
    <row r="729" ht="15" customHeight="1">
      <c r="A729" s="14" t="inlineStr">
        <is>
          <t>rework.withgoogle.com</t>
        </is>
      </c>
      <c r="B729" s="64" t="n"/>
      <c r="C729" s="63" t="n"/>
      <c r="D729" s="8" t="n">
        <v>1</v>
      </c>
      <c r="E729" s="9" t="inlineStr">
        <is>
          <t>https://rework.withgoogle.com/intl/en/guides/following-the-data-the-research-behind-great-managers</t>
        </is>
      </c>
      <c r="F729" s="64" t="n"/>
      <c r="G729" s="64" t="n"/>
      <c r="H729" s="64" t="n"/>
      <c r="I729" s="64" t="n"/>
      <c r="J729" s="64" t="n"/>
      <c r="K729" s="64" t="n"/>
      <c r="L729" s="64" t="n"/>
      <c r="M729" s="64" t="n"/>
      <c r="N729" s="64" t="n"/>
      <c r="O729" s="63" t="n"/>
    </row>
    <row r="730" ht="15" customHeight="1">
      <c r="A730" s="14" t="inlineStr">
        <is>
          <t>saastr.com</t>
        </is>
      </c>
      <c r="B730" s="64" t="n"/>
      <c r="C730" s="63" t="n"/>
      <c r="D730" s="8" t="n">
        <v>1</v>
      </c>
      <c r="E730" s="9" t="inlineStr">
        <is>
          <t>https://www.saastr.com/dear-saastr-do-i-have-to-provide-a-promotion-path-from-sdr-to-ae</t>
        </is>
      </c>
      <c r="F730" s="64" t="n"/>
      <c r="G730" s="64" t="n"/>
      <c r="H730" s="64" t="n"/>
      <c r="I730" s="64" t="n"/>
      <c r="J730" s="64" t="n"/>
      <c r="K730" s="64" t="n"/>
      <c r="L730" s="64" t="n"/>
      <c r="M730" s="64" t="n"/>
      <c r="N730" s="64" t="n"/>
      <c r="O730" s="63" t="n"/>
    </row>
    <row r="731" ht="15" customHeight="1">
      <c r="A731" s="14" t="inlineStr">
        <is>
          <t>salesgravy.com</t>
        </is>
      </c>
      <c r="B731" s="64" t="n"/>
      <c r="C731" s="63" t="n"/>
      <c r="D731" s="8" t="n">
        <v>1</v>
      </c>
      <c r="E731" s="9" t="inlineStr">
        <is>
          <t>https://salesgravy.com/the-player-coach-problem-how-to-prospect-and-lead-at-the-same-time-ask-jeb/</t>
        </is>
      </c>
      <c r="F731" s="64" t="n"/>
      <c r="G731" s="64" t="n"/>
      <c r="H731" s="64" t="n"/>
      <c r="I731" s="64" t="n"/>
      <c r="J731" s="64" t="n"/>
      <c r="K731" s="64" t="n"/>
      <c r="L731" s="64" t="n"/>
      <c r="M731" s="64" t="n"/>
      <c r="N731" s="64" t="n"/>
      <c r="O731" s="63" t="n"/>
    </row>
    <row r="732" ht="15" customHeight="1">
      <c r="A732" s="14" t="inlineStr">
        <is>
          <t>sec.gov</t>
        </is>
      </c>
      <c r="B732" s="64" t="n"/>
      <c r="C732" s="63" t="n"/>
      <c r="D732" s="8" t="n">
        <v>1</v>
      </c>
      <c r="E732" s="9" t="inlineStr">
        <is>
          <t>https://www.sec.gov/Archives/edgar/data/1445305/000144530526000016/wk-20251231.htm</t>
        </is>
      </c>
      <c r="F732" s="64" t="n"/>
      <c r="G732" s="64" t="n"/>
      <c r="H732" s="64" t="n"/>
      <c r="I732" s="64" t="n"/>
      <c r="J732" s="64" t="n"/>
      <c r="K732" s="64" t="n"/>
      <c r="L732" s="64" t="n"/>
      <c r="M732" s="64" t="n"/>
      <c r="N732" s="64" t="n"/>
      <c r="O732" s="63" t="n"/>
    </row>
    <row r="733" ht="15" customHeight="1">
      <c r="A733" s="14" t="inlineStr">
        <is>
          <t>shl.com</t>
        </is>
      </c>
      <c r="B733" s="64" t="n"/>
      <c r="C733" s="63" t="n"/>
      <c r="D733" s="8" t="n">
        <v>1</v>
      </c>
      <c r="E733" s="9" t="inlineStr">
        <is>
          <t>https://www.shl.com/assets/campaigns/global/competency-fit/universal-competency-framework-whitepaper-en.pdf</t>
        </is>
      </c>
      <c r="F733" s="64" t="n"/>
      <c r="G733" s="64" t="n"/>
      <c r="H733" s="64" t="n"/>
      <c r="I733" s="64" t="n"/>
      <c r="J733" s="64" t="n"/>
      <c r="K733" s="64" t="n"/>
      <c r="L733" s="64" t="n"/>
      <c r="M733" s="64" t="n"/>
      <c r="N733" s="64" t="n"/>
      <c r="O733" s="63" t="n"/>
    </row>
    <row r="734" ht="15" customHeight="1">
      <c r="A734" s="14" t="inlineStr">
        <is>
          <t>sirddinbych.gov.uk</t>
        </is>
      </c>
      <c r="B734" s="64" t="n"/>
      <c r="C734" s="63" t="n"/>
      <c r="D734" s="8" t="n">
        <v>1</v>
      </c>
      <c r="E734" s="9" t="inlineStr">
        <is>
          <t>https://www.sirddinbych.gov.uk/en/documents/jobs-and-employees/my-employment/reorganisation-and-change/glpc-points-weighting.pdf</t>
        </is>
      </c>
      <c r="F734" s="64" t="n"/>
      <c r="G734" s="64" t="n"/>
      <c r="H734" s="64" t="n"/>
      <c r="I734" s="64" t="n"/>
      <c r="J734" s="64" t="n"/>
      <c r="K734" s="64" t="n"/>
      <c r="L734" s="64" t="n"/>
      <c r="M734" s="64" t="n"/>
      <c r="N734" s="64" t="n"/>
      <c r="O734" s="63" t="n"/>
    </row>
    <row r="735" ht="15" customHeight="1">
      <c r="A735" s="14" t="inlineStr">
        <is>
          <t>slideshare.net</t>
        </is>
      </c>
      <c r="B735" s="64" t="n"/>
      <c r="C735" s="63" t="n"/>
      <c r="D735" s="8" t="n">
        <v>1</v>
      </c>
      <c r="E735" s="9" t="inlineStr">
        <is>
          <t>https://www.slideshare.net/slideshow/hay-summary/55196354</t>
        </is>
      </c>
      <c r="F735" s="64" t="n"/>
      <c r="G735" s="64" t="n"/>
      <c r="H735" s="64" t="n"/>
      <c r="I735" s="64" t="n"/>
      <c r="J735" s="64" t="n"/>
      <c r="K735" s="64" t="n"/>
      <c r="L735" s="64" t="n"/>
      <c r="M735" s="64" t="n"/>
      <c r="N735" s="64" t="n"/>
      <c r="O735" s="63" t="n"/>
    </row>
    <row r="736" ht="15" customHeight="1">
      <c r="A736" s="14" t="inlineStr">
        <is>
          <t>snowflake.com</t>
        </is>
      </c>
      <c r="B736" s="64" t="n"/>
      <c r="C736" s="63" t="n"/>
      <c r="D736" s="8" t="n">
        <v>1</v>
      </c>
      <c r="E736" s="9" t="inlineStr">
        <is>
          <t>https://www.snowflake.com/en/fundamentals/data-governance/framework/dama-dmbok/</t>
        </is>
      </c>
      <c r="F736" s="64" t="n"/>
      <c r="G736" s="64" t="n"/>
      <c r="H736" s="64" t="n"/>
      <c r="I736" s="64" t="n"/>
      <c r="J736" s="64" t="n"/>
      <c r="K736" s="64" t="n"/>
      <c r="L736" s="64" t="n"/>
      <c r="M736" s="64" t="n"/>
      <c r="N736" s="64" t="n"/>
      <c r="O736" s="63" t="n"/>
    </row>
    <row r="737" ht="15" customHeight="1">
      <c r="A737" s="14" t="inlineStr">
        <is>
          <t>staff.derbyshire.gov.uk</t>
        </is>
      </c>
      <c r="B737" s="64" t="n"/>
      <c r="C737" s="63" t="n"/>
      <c r="D737" s="8" t="n">
        <v>1</v>
      </c>
      <c r="E737" s="9" t="inlineStr">
        <is>
          <t>https://staff.derbyshire.gov.uk/jobs-and-recruitment/job-evaluation/korn-ferry-hay-scheme/korn-ferry-hay-scheme.aspx</t>
        </is>
      </c>
      <c r="F737" s="64" t="n"/>
      <c r="G737" s="64" t="n"/>
      <c r="H737" s="64" t="n"/>
      <c r="I737" s="64" t="n"/>
      <c r="J737" s="64" t="n"/>
      <c r="K737" s="64" t="n"/>
      <c r="L737" s="64" t="n"/>
      <c r="M737" s="64" t="n"/>
      <c r="N737" s="64" t="n"/>
      <c r="O737" s="63" t="n"/>
    </row>
    <row r="738" ht="15" customHeight="1">
      <c r="A738" s="14" t="inlineStr">
        <is>
          <t>studylib.net</t>
        </is>
      </c>
      <c r="B738" s="64" t="n"/>
      <c r="C738" s="63" t="n"/>
      <c r="D738" s="8" t="n">
        <v>1</v>
      </c>
      <c r="E738" s="9" t="inlineStr">
        <is>
          <t>https://studylib.net/doc/25471018/197145561-evaluation-factors-mercer</t>
        </is>
      </c>
      <c r="F738" s="64" t="n"/>
      <c r="G738" s="64" t="n"/>
      <c r="H738" s="64" t="n"/>
      <c r="I738" s="64" t="n"/>
      <c r="J738" s="64" t="n"/>
      <c r="K738" s="64" t="n"/>
      <c r="L738" s="64" t="n"/>
      <c r="M738" s="64" t="n"/>
      <c r="N738" s="64" t="n"/>
      <c r="O738" s="63" t="n"/>
    </row>
    <row r="739" ht="15" customHeight="1">
      <c r="A739" s="14" t="inlineStr">
        <is>
          <t>toppanmerrill.com</t>
        </is>
      </c>
      <c r="B739" s="64" t="n"/>
      <c r="C739" s="63" t="n"/>
      <c r="D739" s="8" t="n">
        <v>1</v>
      </c>
      <c r="E739" s="9" t="inlineStr">
        <is>
          <t>https://toppanmerrill.com/bridge/</t>
        </is>
      </c>
      <c r="F739" s="64" t="n"/>
      <c r="G739" s="64" t="n"/>
      <c r="H739" s="64" t="n"/>
      <c r="I739" s="64" t="n"/>
      <c r="J739" s="64" t="n"/>
      <c r="K739" s="64" t="n"/>
      <c r="L739" s="64" t="n"/>
      <c r="M739" s="64" t="n"/>
      <c r="N739" s="64" t="n"/>
      <c r="O739" s="63" t="n"/>
    </row>
    <row r="740" ht="15" customHeight="1">
      <c r="A740" s="14" t="inlineStr">
        <is>
          <t>wipro.com</t>
        </is>
      </c>
      <c r="B740" s="64" t="n"/>
      <c r="C740" s="63" t="n"/>
      <c r="D740" s="8" t="n">
        <v>1</v>
      </c>
      <c r="E740" s="9" t="inlineStr">
        <is>
          <t>https://www.wipro.com/innovation/distinguished-member-of-technical-staff/</t>
        </is>
      </c>
      <c r="F740" s="64" t="n"/>
      <c r="G740" s="64" t="n"/>
      <c r="H740" s="64" t="n"/>
      <c r="I740" s="64" t="n"/>
      <c r="J740" s="64" t="n"/>
      <c r="K740" s="64" t="n"/>
      <c r="L740" s="64" t="n"/>
      <c r="M740" s="64" t="n"/>
      <c r="N740" s="64" t="n"/>
      <c r="O740" s="63" t="n"/>
    </row>
    <row r="741" ht="15" customHeight="1">
      <c r="A741" s="14" t="inlineStr">
        <is>
          <t>worldatwork.org</t>
        </is>
      </c>
      <c r="B741" s="64" t="n"/>
      <c r="C741" s="63" t="n"/>
      <c r="D741" s="8" t="n">
        <v>1</v>
      </c>
      <c r="E741" s="9" t="inlineStr">
        <is>
          <t>https://worldatwork.org/media/CDN/dist/CDN2/documents/pdf/resources/research/Salary-Structure-Policies-Practices-2012.pdf</t>
        </is>
      </c>
      <c r="F741" s="64" t="n"/>
      <c r="G741" s="64" t="n"/>
      <c r="H741" s="64" t="n"/>
      <c r="I741" s="64" t="n"/>
      <c r="J741" s="64" t="n"/>
      <c r="K741" s="64" t="n"/>
      <c r="L741" s="64" t="n"/>
      <c r="M741" s="64" t="n"/>
      <c r="N741" s="64" t="n"/>
      <c r="O741" s="63" t="n"/>
    </row>
    <row r="742" ht="15" customHeight="1">
      <c r="A742" s="14" t="inlineStr">
        <is>
          <t>worldoftaxonomy.com</t>
        </is>
      </c>
      <c r="B742" s="64" t="n"/>
      <c r="C742" s="63" t="n"/>
      <c r="D742" s="8" t="n">
        <v>1</v>
      </c>
      <c r="E742" s="9" t="inlineStr">
        <is>
          <t>https://worldoftaxonomy.com/system/isco_08/node/251</t>
        </is>
      </c>
      <c r="F742" s="64" t="n"/>
      <c r="G742" s="64" t="n"/>
      <c r="H742" s="64" t="n"/>
      <c r="I742" s="64" t="n"/>
      <c r="J742" s="64" t="n"/>
      <c r="K742" s="64" t="n"/>
      <c r="L742" s="64" t="n"/>
      <c r="M742" s="64" t="n"/>
      <c r="N742" s="64" t="n"/>
      <c r="O742" s="63" t="n"/>
    </row>
  </sheetData>
  <mergeCells count="1076">
    <mergeCell ref="D57:I57"/>
    <mergeCell ref="D644:E644"/>
    <mergeCell ref="F644:G644"/>
    <mergeCell ref="B529:D529"/>
    <mergeCell ref="D619:E619"/>
    <mergeCell ref="B594:D594"/>
    <mergeCell ref="K610:M610"/>
    <mergeCell ref="F619:G619"/>
    <mergeCell ref="K539:N539"/>
    <mergeCell ref="A720:C720"/>
    <mergeCell ref="F637:G637"/>
    <mergeCell ref="H601:J601"/>
    <mergeCell ref="A369:O369"/>
    <mergeCell ref="A57:C57"/>
    <mergeCell ref="K621:M621"/>
    <mergeCell ref="E663:O663"/>
    <mergeCell ref="A713:C713"/>
    <mergeCell ref="M35:N35"/>
    <mergeCell ref="G589:J589"/>
    <mergeCell ref="E594:F594"/>
    <mergeCell ref="K623:M623"/>
    <mergeCell ref="E727:O727"/>
    <mergeCell ref="A715:C715"/>
    <mergeCell ref="E544:F544"/>
    <mergeCell ref="H602:J602"/>
    <mergeCell ref="B610:C610"/>
    <mergeCell ref="A52:C52"/>
    <mergeCell ref="K580:N580"/>
    <mergeCell ref="D515:I515"/>
    <mergeCell ref="K545:N545"/>
    <mergeCell ref="A280:O280"/>
    <mergeCell ref="H607:J607"/>
    <mergeCell ref="A33:B33"/>
    <mergeCell ref="C11:J11"/>
    <mergeCell ref="N514:O514"/>
    <mergeCell ref="J521:M521"/>
    <mergeCell ref="A40:O40"/>
    <mergeCell ref="D60:I60"/>
    <mergeCell ref="E689:O689"/>
    <mergeCell ref="A35:B35"/>
    <mergeCell ref="A186:O186"/>
    <mergeCell ref="F630:G630"/>
    <mergeCell ref="J514:M514"/>
    <mergeCell ref="G36:I36"/>
    <mergeCell ref="A49:C49"/>
    <mergeCell ref="K546:N546"/>
    <mergeCell ref="F617:G617"/>
    <mergeCell ref="F627:G627"/>
    <mergeCell ref="A731:C731"/>
    <mergeCell ref="E733:O733"/>
    <mergeCell ref="J46:N46"/>
    <mergeCell ref="A28:B28"/>
    <mergeCell ref="E547:F547"/>
    <mergeCell ref="D638:E638"/>
    <mergeCell ref="C28:D28"/>
    <mergeCell ref="D45:I45"/>
    <mergeCell ref="F632:G632"/>
    <mergeCell ref="A668:C668"/>
    <mergeCell ref="J516:M516"/>
    <mergeCell ref="A486:O486"/>
    <mergeCell ref="E593:F593"/>
    <mergeCell ref="A146:O146"/>
    <mergeCell ref="G586:J586"/>
    <mergeCell ref="J61:N61"/>
    <mergeCell ref="K544:N544"/>
    <mergeCell ref="J48:N48"/>
    <mergeCell ref="A30:B30"/>
    <mergeCell ref="A708:C708"/>
    <mergeCell ref="H633:J633"/>
    <mergeCell ref="C30:D30"/>
    <mergeCell ref="K634:M634"/>
    <mergeCell ref="A670:C670"/>
    <mergeCell ref="K579:N579"/>
    <mergeCell ref="D650:E650"/>
    <mergeCell ref="E695:O695"/>
    <mergeCell ref="K535:N535"/>
    <mergeCell ref="K9:O9"/>
    <mergeCell ref="K573:N573"/>
    <mergeCell ref="A55:C55"/>
    <mergeCell ref="E588:F588"/>
    <mergeCell ref="K11:O11"/>
    <mergeCell ref="G531:J531"/>
    <mergeCell ref="D610:E610"/>
    <mergeCell ref="B593:D593"/>
    <mergeCell ref="G596:J596"/>
    <mergeCell ref="E590:F590"/>
    <mergeCell ref="A598:O598"/>
    <mergeCell ref="D58:I58"/>
    <mergeCell ref="K530:N530"/>
    <mergeCell ref="F645:G645"/>
    <mergeCell ref="A377:O377"/>
    <mergeCell ref="A504:O504"/>
    <mergeCell ref="G533:J533"/>
    <mergeCell ref="B595:D595"/>
    <mergeCell ref="A420:O420"/>
    <mergeCell ref="A44:C44"/>
    <mergeCell ref="K647:M647"/>
    <mergeCell ref="A721:C721"/>
    <mergeCell ref="A58:C58"/>
    <mergeCell ref="E677:O677"/>
    <mergeCell ref="A736:C736"/>
    <mergeCell ref="E664:O664"/>
    <mergeCell ref="G572:J572"/>
    <mergeCell ref="A663:C663"/>
    <mergeCell ref="E552:F552"/>
    <mergeCell ref="F602:G602"/>
    <mergeCell ref="B618:C618"/>
    <mergeCell ref="H604:J604"/>
    <mergeCell ref="K649:M649"/>
    <mergeCell ref="E535:F535"/>
    <mergeCell ref="G528:J528"/>
    <mergeCell ref="A60:C60"/>
    <mergeCell ref="K563:N563"/>
    <mergeCell ref="K566:N566"/>
    <mergeCell ref="B605:C605"/>
    <mergeCell ref="K553:N553"/>
    <mergeCell ref="K624:M624"/>
    <mergeCell ref="E679:O679"/>
    <mergeCell ref="E666:O666"/>
    <mergeCell ref="G574:J574"/>
    <mergeCell ref="K532:N532"/>
    <mergeCell ref="B620:C620"/>
    <mergeCell ref="E537:F537"/>
    <mergeCell ref="B607:C607"/>
    <mergeCell ref="A359:O359"/>
    <mergeCell ref="D518:I518"/>
    <mergeCell ref="H618:J618"/>
    <mergeCell ref="A34:B34"/>
    <mergeCell ref="C34:D34"/>
    <mergeCell ref="K567:N567"/>
    <mergeCell ref="B542:D542"/>
    <mergeCell ref="K561:N561"/>
    <mergeCell ref="D613:E613"/>
    <mergeCell ref="B600:C600"/>
    <mergeCell ref="J522:M522"/>
    <mergeCell ref="H648:J648"/>
    <mergeCell ref="G19:I19"/>
    <mergeCell ref="K548:N548"/>
    <mergeCell ref="D600:E600"/>
    <mergeCell ref="H623:J623"/>
    <mergeCell ref="A36:B36"/>
    <mergeCell ref="C14:J14"/>
    <mergeCell ref="B550:D550"/>
    <mergeCell ref="K569:N569"/>
    <mergeCell ref="B615:C615"/>
    <mergeCell ref="B544:D544"/>
    <mergeCell ref="A50:C50"/>
    <mergeCell ref="D615:E615"/>
    <mergeCell ref="D640:E640"/>
    <mergeCell ref="F640:G640"/>
    <mergeCell ref="A689:C689"/>
    <mergeCell ref="A42:C42"/>
    <mergeCell ref="F658:G658"/>
    <mergeCell ref="B543:D543"/>
    <mergeCell ref="C29:D29"/>
    <mergeCell ref="E692:O692"/>
    <mergeCell ref="E29:F29"/>
    <mergeCell ref="F633:G633"/>
    <mergeCell ref="K642:M642"/>
    <mergeCell ref="A734:C734"/>
    <mergeCell ref="E563:F563"/>
    <mergeCell ref="A709:C709"/>
    <mergeCell ref="B545:D545"/>
    <mergeCell ref="C31:D31"/>
    <mergeCell ref="M31:N31"/>
    <mergeCell ref="A131:O131"/>
    <mergeCell ref="E31:F31"/>
    <mergeCell ref="K537:N537"/>
    <mergeCell ref="K635:M635"/>
    <mergeCell ref="J519:M519"/>
    <mergeCell ref="A684:C684"/>
    <mergeCell ref="E565:F565"/>
    <mergeCell ref="A724:C724"/>
    <mergeCell ref="A711:C711"/>
    <mergeCell ref="K637:M637"/>
    <mergeCell ref="A686:C686"/>
    <mergeCell ref="E527:F527"/>
    <mergeCell ref="K551:N551"/>
    <mergeCell ref="G587:J587"/>
    <mergeCell ref="K538:N538"/>
    <mergeCell ref="M26:N26"/>
    <mergeCell ref="H600:J600"/>
    <mergeCell ref="E591:F591"/>
    <mergeCell ref="N521:O521"/>
    <mergeCell ref="D651:E651"/>
    <mergeCell ref="F651:G651"/>
    <mergeCell ref="A505:O505"/>
    <mergeCell ref="A1:O1"/>
    <mergeCell ref="G534:J534"/>
    <mergeCell ref="E685:O685"/>
    <mergeCell ref="H625:J625"/>
    <mergeCell ref="E556:F556"/>
    <mergeCell ref="G549:J549"/>
    <mergeCell ref="D653:E653"/>
    <mergeCell ref="F653:G653"/>
    <mergeCell ref="A24:B24"/>
    <mergeCell ref="A65:O65"/>
    <mergeCell ref="G536:J536"/>
    <mergeCell ref="C24:D24"/>
    <mergeCell ref="B538:D538"/>
    <mergeCell ref="B532:D532"/>
    <mergeCell ref="E24:F24"/>
    <mergeCell ref="E543:F543"/>
    <mergeCell ref="D603:E603"/>
    <mergeCell ref="A664:C664"/>
    <mergeCell ref="E714:O714"/>
    <mergeCell ref="A737:C737"/>
    <mergeCell ref="N516:O516"/>
    <mergeCell ref="F652:G652"/>
    <mergeCell ref="E558:F558"/>
    <mergeCell ref="H654:J654"/>
    <mergeCell ref="A378:O378"/>
    <mergeCell ref="K564:N564"/>
    <mergeCell ref="E545:F545"/>
    <mergeCell ref="E680:O680"/>
    <mergeCell ref="A679:C679"/>
    <mergeCell ref="C26:D26"/>
    <mergeCell ref="H626:J626"/>
    <mergeCell ref="E716:O716"/>
    <mergeCell ref="K594:N594"/>
    <mergeCell ref="D520:I520"/>
    <mergeCell ref="B563:D563"/>
    <mergeCell ref="H620:J620"/>
    <mergeCell ref="B621:C621"/>
    <mergeCell ref="A666:C666"/>
    <mergeCell ref="F648:G648"/>
    <mergeCell ref="E538:F538"/>
    <mergeCell ref="E688:O688"/>
    <mergeCell ref="E682:O682"/>
    <mergeCell ref="E709:O709"/>
    <mergeCell ref="E19:F19"/>
    <mergeCell ref="A298:O298"/>
    <mergeCell ref="B565:D565"/>
    <mergeCell ref="H649:J649"/>
    <mergeCell ref="B623:C623"/>
    <mergeCell ref="E546:F546"/>
    <mergeCell ref="E540:F540"/>
    <mergeCell ref="J21:L21"/>
    <mergeCell ref="B606:C606"/>
    <mergeCell ref="G25:I25"/>
    <mergeCell ref="A91:O91"/>
    <mergeCell ref="D521:I521"/>
    <mergeCell ref="B564:D564"/>
    <mergeCell ref="D606:E606"/>
    <mergeCell ref="A460:O460"/>
    <mergeCell ref="B558:D558"/>
    <mergeCell ref="A660:O660"/>
    <mergeCell ref="A661:C661"/>
    <mergeCell ref="E711:O711"/>
    <mergeCell ref="A525:O525"/>
    <mergeCell ref="D616:E616"/>
    <mergeCell ref="M28:N28"/>
    <mergeCell ref="J23:L23"/>
    <mergeCell ref="A742:C742"/>
    <mergeCell ref="D608:E608"/>
    <mergeCell ref="B566:D566"/>
    <mergeCell ref="G547:J547"/>
    <mergeCell ref="A521:C521"/>
    <mergeCell ref="B553:D553"/>
    <mergeCell ref="K643:M643"/>
    <mergeCell ref="A692:C692"/>
    <mergeCell ref="E698:O698"/>
    <mergeCell ref="G593:J593"/>
    <mergeCell ref="A599:O599"/>
    <mergeCell ref="A45:C45"/>
    <mergeCell ref="M32:N32"/>
    <mergeCell ref="C37:D37"/>
    <mergeCell ref="A523:C523"/>
    <mergeCell ref="K645:M645"/>
    <mergeCell ref="E37:F37"/>
    <mergeCell ref="A694:C694"/>
    <mergeCell ref="A677:C677"/>
    <mergeCell ref="G595:J595"/>
    <mergeCell ref="K559:N559"/>
    <mergeCell ref="F603:G603"/>
    <mergeCell ref="H621:J621"/>
    <mergeCell ref="E693:O693"/>
    <mergeCell ref="A516:C516"/>
    <mergeCell ref="G38:I38"/>
    <mergeCell ref="H642:J642"/>
    <mergeCell ref="H639:J639"/>
    <mergeCell ref="E729:O729"/>
    <mergeCell ref="A46:C46"/>
    <mergeCell ref="B634:C634"/>
    <mergeCell ref="K588:N588"/>
    <mergeCell ref="H614:J614"/>
    <mergeCell ref="D634:E634"/>
    <mergeCell ref="K582:N582"/>
    <mergeCell ref="K640:M640"/>
    <mergeCell ref="H650:J650"/>
    <mergeCell ref="D621:E621"/>
    <mergeCell ref="H644:J644"/>
    <mergeCell ref="E676:O676"/>
    <mergeCell ref="B535:D535"/>
    <mergeCell ref="K554:N554"/>
    <mergeCell ref="N522:O522"/>
    <mergeCell ref="K590:N590"/>
    <mergeCell ref="D516:I516"/>
    <mergeCell ref="H616:J616"/>
    <mergeCell ref="A7:B7"/>
    <mergeCell ref="B611:C611"/>
    <mergeCell ref="E534:F534"/>
    <mergeCell ref="E724:O724"/>
    <mergeCell ref="K583:N583"/>
    <mergeCell ref="D629:E629"/>
    <mergeCell ref="F654:G654"/>
    <mergeCell ref="A386:O386"/>
    <mergeCell ref="H645:J645"/>
    <mergeCell ref="G542:J542"/>
    <mergeCell ref="E584:F584"/>
    <mergeCell ref="A404:O404"/>
    <mergeCell ref="A730:C730"/>
    <mergeCell ref="A81:O81"/>
    <mergeCell ref="G552:J552"/>
    <mergeCell ref="B554:D554"/>
    <mergeCell ref="E559:F559"/>
    <mergeCell ref="K656:M656"/>
    <mergeCell ref="A705:C705"/>
    <mergeCell ref="B541:D541"/>
    <mergeCell ref="C27:D27"/>
    <mergeCell ref="G544:J544"/>
    <mergeCell ref="A680:C680"/>
    <mergeCell ref="E27:F27"/>
    <mergeCell ref="E567:F567"/>
    <mergeCell ref="N519:O519"/>
    <mergeCell ref="F655:G655"/>
    <mergeCell ref="E561:F561"/>
    <mergeCell ref="K658:M658"/>
    <mergeCell ref="A732:C732"/>
    <mergeCell ref="G543:J543"/>
    <mergeCell ref="E548:F548"/>
    <mergeCell ref="J29:L29"/>
    <mergeCell ref="A682:C682"/>
    <mergeCell ref="K608:M608"/>
    <mergeCell ref="B572:D572"/>
    <mergeCell ref="E560:F560"/>
    <mergeCell ref="A669:C669"/>
    <mergeCell ref="D523:I523"/>
    <mergeCell ref="B624:C624"/>
    <mergeCell ref="F657:G657"/>
    <mergeCell ref="D624:E624"/>
    <mergeCell ref="B616:C616"/>
    <mergeCell ref="M19:N19"/>
    <mergeCell ref="E22:F22"/>
    <mergeCell ref="D522:I522"/>
    <mergeCell ref="G568:J568"/>
    <mergeCell ref="A733:C733"/>
    <mergeCell ref="E562:F562"/>
    <mergeCell ref="A526:O526"/>
    <mergeCell ref="G555:J555"/>
    <mergeCell ref="D622:E622"/>
    <mergeCell ref="J24:L24"/>
    <mergeCell ref="G28:I28"/>
    <mergeCell ref="D609:E609"/>
    <mergeCell ref="B567:D567"/>
    <mergeCell ref="A99:O99"/>
    <mergeCell ref="G570:J570"/>
    <mergeCell ref="F609:G609"/>
    <mergeCell ref="A522:C522"/>
    <mergeCell ref="G557:J557"/>
    <mergeCell ref="B559:D559"/>
    <mergeCell ref="A698:C698"/>
    <mergeCell ref="J26:L26"/>
    <mergeCell ref="A685:C685"/>
    <mergeCell ref="G30:I30"/>
    <mergeCell ref="D611:E611"/>
    <mergeCell ref="B569:D569"/>
    <mergeCell ref="A394:O394"/>
    <mergeCell ref="K585:N585"/>
    <mergeCell ref="A695:C695"/>
    <mergeCell ref="E701:O701"/>
    <mergeCell ref="E38:F38"/>
    <mergeCell ref="A2:O2"/>
    <mergeCell ref="K560:N560"/>
    <mergeCell ref="G571:J571"/>
    <mergeCell ref="H641:J641"/>
    <mergeCell ref="F604:G604"/>
    <mergeCell ref="G565:J565"/>
    <mergeCell ref="B642:C642"/>
    <mergeCell ref="A693:C693"/>
    <mergeCell ref="E703:O703"/>
    <mergeCell ref="B556:D556"/>
    <mergeCell ref="E730:O730"/>
    <mergeCell ref="K606:M606"/>
    <mergeCell ref="C9:J9"/>
    <mergeCell ref="A26:B26"/>
    <mergeCell ref="K12:O12"/>
    <mergeCell ref="D42:I42"/>
    <mergeCell ref="K527:N527"/>
    <mergeCell ref="D635:E635"/>
    <mergeCell ref="A318:O318"/>
    <mergeCell ref="F635:G635"/>
    <mergeCell ref="B644:C644"/>
    <mergeCell ref="E702:O702"/>
    <mergeCell ref="E732:O732"/>
    <mergeCell ref="B585:D585"/>
    <mergeCell ref="B643:C643"/>
    <mergeCell ref="F601:G601"/>
    <mergeCell ref="K591:N591"/>
    <mergeCell ref="D50:I50"/>
    <mergeCell ref="D517:I517"/>
    <mergeCell ref="K14:O14"/>
    <mergeCell ref="D44:I44"/>
    <mergeCell ref="B637:C637"/>
    <mergeCell ref="A8:B8"/>
    <mergeCell ref="D637:E637"/>
    <mergeCell ref="D643:E643"/>
    <mergeCell ref="E669:O669"/>
    <mergeCell ref="A114:O114"/>
    <mergeCell ref="B587:D587"/>
    <mergeCell ref="M24:N24"/>
    <mergeCell ref="A412:O412"/>
    <mergeCell ref="K7:O7"/>
    <mergeCell ref="A64:O64"/>
    <mergeCell ref="G556:J556"/>
    <mergeCell ref="B562:D562"/>
    <mergeCell ref="J37:L37"/>
    <mergeCell ref="A10:B10"/>
    <mergeCell ref="A178:O178"/>
    <mergeCell ref="B580:D580"/>
    <mergeCell ref="A706:C706"/>
    <mergeCell ref="G564:J564"/>
    <mergeCell ref="G558:J558"/>
    <mergeCell ref="G545:J545"/>
    <mergeCell ref="E587:F587"/>
    <mergeCell ref="A690:C690"/>
    <mergeCell ref="B582:D582"/>
    <mergeCell ref="A478:O478"/>
    <mergeCell ref="C6:J6"/>
    <mergeCell ref="A453:O453"/>
    <mergeCell ref="A683:C683"/>
    <mergeCell ref="G34:I34"/>
    <mergeCell ref="H635:J635"/>
    <mergeCell ref="H629:J629"/>
    <mergeCell ref="K601:M601"/>
    <mergeCell ref="G546:J546"/>
    <mergeCell ref="D630:E630"/>
    <mergeCell ref="J32:L32"/>
    <mergeCell ref="A47:C47"/>
    <mergeCell ref="K575:N575"/>
    <mergeCell ref="K611:M611"/>
    <mergeCell ref="B617:C617"/>
    <mergeCell ref="K540:N540"/>
    <mergeCell ref="D617:E617"/>
    <mergeCell ref="A269:O269"/>
    <mergeCell ref="B632:C632"/>
    <mergeCell ref="E739:O739"/>
    <mergeCell ref="D632:E632"/>
    <mergeCell ref="G29:I29"/>
    <mergeCell ref="E726:O726"/>
    <mergeCell ref="A336:O336"/>
    <mergeCell ref="A21:B21"/>
    <mergeCell ref="B560:D560"/>
    <mergeCell ref="D631:E631"/>
    <mergeCell ref="C21:D21"/>
    <mergeCell ref="D625:E625"/>
    <mergeCell ref="F625:G625"/>
    <mergeCell ref="M37:N37"/>
    <mergeCell ref="A308:O308"/>
    <mergeCell ref="G31:I31"/>
    <mergeCell ref="K541:N541"/>
    <mergeCell ref="J54:N54"/>
    <mergeCell ref="G579:J579"/>
    <mergeCell ref="A32:B32"/>
    <mergeCell ref="A344:O344"/>
    <mergeCell ref="G573:J573"/>
    <mergeCell ref="B575:D575"/>
    <mergeCell ref="J41:N41"/>
    <mergeCell ref="E580:F580"/>
    <mergeCell ref="A23:B23"/>
    <mergeCell ref="F612:G612"/>
    <mergeCell ref="K627:M627"/>
    <mergeCell ref="C23:D23"/>
    <mergeCell ref="A245:O245"/>
    <mergeCell ref="A701:C701"/>
    <mergeCell ref="A688:C688"/>
    <mergeCell ref="K614:M614"/>
    <mergeCell ref="J56:N56"/>
    <mergeCell ref="E582:F582"/>
    <mergeCell ref="J43:N43"/>
    <mergeCell ref="M38:N38"/>
    <mergeCell ref="H628:J628"/>
    <mergeCell ref="K629:M629"/>
    <mergeCell ref="A703:C703"/>
    <mergeCell ref="E581:F581"/>
    <mergeCell ref="K616:M616"/>
    <mergeCell ref="E575:F575"/>
    <mergeCell ref="K13:O13"/>
    <mergeCell ref="B645:C645"/>
    <mergeCell ref="E690:O690"/>
    <mergeCell ref="D52:I52"/>
    <mergeCell ref="K609:M609"/>
    <mergeCell ref="E583:F583"/>
    <mergeCell ref="E577:F577"/>
    <mergeCell ref="F638:G638"/>
    <mergeCell ref="K655:M655"/>
    <mergeCell ref="E710:O710"/>
    <mergeCell ref="B588:D588"/>
    <mergeCell ref="A413:O413"/>
    <mergeCell ref="J20:L20"/>
    <mergeCell ref="J59:N59"/>
    <mergeCell ref="A714:C714"/>
    <mergeCell ref="D53:I53"/>
    <mergeCell ref="D47:I47"/>
    <mergeCell ref="A428:O428"/>
    <mergeCell ref="G553:J553"/>
    <mergeCell ref="G584:J584"/>
    <mergeCell ref="B590:D590"/>
    <mergeCell ref="J22:L22"/>
    <mergeCell ref="H610:J610"/>
    <mergeCell ref="A716:C716"/>
    <mergeCell ref="E722:O722"/>
    <mergeCell ref="A53:C53"/>
    <mergeCell ref="G592:J592"/>
    <mergeCell ref="E672:O672"/>
    <mergeCell ref="G567:J567"/>
    <mergeCell ref="F600:G600"/>
    <mergeCell ref="G561:J561"/>
    <mergeCell ref="C12:J12"/>
    <mergeCell ref="E530:F530"/>
    <mergeCell ref="G548:J548"/>
    <mergeCell ref="K619:M619"/>
    <mergeCell ref="B656:C656"/>
    <mergeCell ref="E674:O674"/>
    <mergeCell ref="D656:E656"/>
    <mergeCell ref="E723:O723"/>
    <mergeCell ref="K602:M602"/>
    <mergeCell ref="E661:O661"/>
    <mergeCell ref="E717:O717"/>
    <mergeCell ref="A48:C48"/>
    <mergeCell ref="E532:F532"/>
    <mergeCell ref="E738:O738"/>
    <mergeCell ref="F622:G622"/>
    <mergeCell ref="B658:C658"/>
    <mergeCell ref="D658:E658"/>
    <mergeCell ref="K604:M604"/>
    <mergeCell ref="A29:B29"/>
    <mergeCell ref="C7:J7"/>
    <mergeCell ref="B608:C608"/>
    <mergeCell ref="D46:I46"/>
    <mergeCell ref="K562:N562"/>
    <mergeCell ref="B537:D537"/>
    <mergeCell ref="B633:C633"/>
    <mergeCell ref="D633:E633"/>
    <mergeCell ref="J517:M517"/>
    <mergeCell ref="E571:F571"/>
    <mergeCell ref="A31:B31"/>
    <mergeCell ref="G539:J539"/>
    <mergeCell ref="F626:G626"/>
    <mergeCell ref="A727:C727"/>
    <mergeCell ref="G585:J585"/>
    <mergeCell ref="B551:D551"/>
    <mergeCell ref="A702:C702"/>
    <mergeCell ref="D41:I41"/>
    <mergeCell ref="F628:G628"/>
    <mergeCell ref="J35:L35"/>
    <mergeCell ref="J57:N57"/>
    <mergeCell ref="A729:C729"/>
    <mergeCell ref="B578:D578"/>
    <mergeCell ref="A704:C704"/>
    <mergeCell ref="K630:M630"/>
    <mergeCell ref="D43:I43"/>
    <mergeCell ref="H656:J656"/>
    <mergeCell ref="K617:M617"/>
    <mergeCell ref="G580:J580"/>
    <mergeCell ref="K531:N531"/>
    <mergeCell ref="B613:C613"/>
    <mergeCell ref="K632:M632"/>
    <mergeCell ref="E683:O683"/>
    <mergeCell ref="A43:C43"/>
    <mergeCell ref="D55:I55"/>
    <mergeCell ref="K533:N533"/>
    <mergeCell ref="A436:O436"/>
    <mergeCell ref="F631:G631"/>
    <mergeCell ref="B527:D527"/>
    <mergeCell ref="H651:J651"/>
    <mergeCell ref="E586:F586"/>
    <mergeCell ref="B652:C652"/>
    <mergeCell ref="F610:G610"/>
    <mergeCell ref="D652:E652"/>
    <mergeCell ref="D59:I59"/>
    <mergeCell ref="D646:E646"/>
    <mergeCell ref="E713:O713"/>
    <mergeCell ref="A202:O202"/>
    <mergeCell ref="F646:G646"/>
    <mergeCell ref="G529:J529"/>
    <mergeCell ref="B531:D531"/>
    <mergeCell ref="E678:O678"/>
    <mergeCell ref="B591:D591"/>
    <mergeCell ref="G594:J594"/>
    <mergeCell ref="B596:D596"/>
    <mergeCell ref="A421:O421"/>
    <mergeCell ref="F618:G618"/>
    <mergeCell ref="J50:N50"/>
    <mergeCell ref="B648:C648"/>
    <mergeCell ref="G569:J569"/>
    <mergeCell ref="K528:N528"/>
    <mergeCell ref="A437:O437"/>
    <mergeCell ref="H647:J647"/>
    <mergeCell ref="D648:E648"/>
    <mergeCell ref="A260:O260"/>
    <mergeCell ref="A19:B19"/>
    <mergeCell ref="A722:C722"/>
    <mergeCell ref="C19:D19"/>
    <mergeCell ref="H613:J613"/>
    <mergeCell ref="D647:E647"/>
    <mergeCell ref="C13:J13"/>
    <mergeCell ref="J52:N52"/>
    <mergeCell ref="F641:G641"/>
    <mergeCell ref="E531:F531"/>
    <mergeCell ref="F608:G608"/>
    <mergeCell ref="A124:O124"/>
    <mergeCell ref="E675:O675"/>
    <mergeCell ref="E596:F596"/>
    <mergeCell ref="A360:O360"/>
    <mergeCell ref="E662:O662"/>
    <mergeCell ref="K612:M612"/>
    <mergeCell ref="H615:J615"/>
    <mergeCell ref="A717:C717"/>
    <mergeCell ref="E533:F533"/>
    <mergeCell ref="A667:C667"/>
    <mergeCell ref="E704:O704"/>
    <mergeCell ref="D514:I514"/>
    <mergeCell ref="K605:M605"/>
    <mergeCell ref="D612:E612"/>
    <mergeCell ref="A385:O385"/>
    <mergeCell ref="A719:C719"/>
    <mergeCell ref="B601:C601"/>
    <mergeCell ref="H619:J619"/>
    <mergeCell ref="D519:I519"/>
    <mergeCell ref="D601:E601"/>
    <mergeCell ref="K607:M607"/>
    <mergeCell ref="D56:I56"/>
    <mergeCell ref="C10:J10"/>
    <mergeCell ref="A514:C514"/>
    <mergeCell ref="A37:B37"/>
    <mergeCell ref="B546:D546"/>
    <mergeCell ref="B540:D540"/>
    <mergeCell ref="D636:E636"/>
    <mergeCell ref="F636:G636"/>
    <mergeCell ref="B603:C603"/>
    <mergeCell ref="B586:D586"/>
    <mergeCell ref="A215:O215"/>
    <mergeCell ref="A513:O513"/>
    <mergeCell ref="K638:M638"/>
    <mergeCell ref="D51:I51"/>
    <mergeCell ref="J518:M518"/>
    <mergeCell ref="G588:J588"/>
    <mergeCell ref="G582:J582"/>
    <mergeCell ref="K631:M631"/>
    <mergeCell ref="M27:N27"/>
    <mergeCell ref="E551:F551"/>
    <mergeCell ref="H608:J608"/>
    <mergeCell ref="J515:M515"/>
    <mergeCell ref="A672:C672"/>
    <mergeCell ref="J520:M520"/>
    <mergeCell ref="A51:C51"/>
    <mergeCell ref="B627:C627"/>
    <mergeCell ref="K581:N581"/>
    <mergeCell ref="A477:O477"/>
    <mergeCell ref="D627:E627"/>
    <mergeCell ref="B614:C614"/>
    <mergeCell ref="K633:M633"/>
    <mergeCell ref="H643:J643"/>
    <mergeCell ref="A707:C707"/>
    <mergeCell ref="E25:F25"/>
    <mergeCell ref="H637:J637"/>
    <mergeCell ref="E681:O681"/>
    <mergeCell ref="K547:N547"/>
    <mergeCell ref="G583:J583"/>
    <mergeCell ref="H624:J624"/>
    <mergeCell ref="B654:C654"/>
    <mergeCell ref="B629:C629"/>
    <mergeCell ref="K534:N534"/>
    <mergeCell ref="H609:J609"/>
    <mergeCell ref="D654:E654"/>
    <mergeCell ref="K577:N577"/>
    <mergeCell ref="E699:O699"/>
    <mergeCell ref="B533:D533"/>
    <mergeCell ref="B530:D530"/>
    <mergeCell ref="K549:N549"/>
    <mergeCell ref="E592:F592"/>
    <mergeCell ref="K576:N576"/>
    <mergeCell ref="N517:O517"/>
    <mergeCell ref="E665:O665"/>
    <mergeCell ref="F647:G647"/>
    <mergeCell ref="H638:J638"/>
    <mergeCell ref="A268:O268"/>
    <mergeCell ref="G535:J535"/>
    <mergeCell ref="E719:O719"/>
    <mergeCell ref="B655:C655"/>
    <mergeCell ref="D655:E655"/>
    <mergeCell ref="A723:C723"/>
    <mergeCell ref="K578:N578"/>
    <mergeCell ref="D649:E649"/>
    <mergeCell ref="F649:G649"/>
    <mergeCell ref="B534:D534"/>
    <mergeCell ref="C20:D20"/>
    <mergeCell ref="G537:J537"/>
    <mergeCell ref="E20:F20"/>
    <mergeCell ref="A738:C738"/>
    <mergeCell ref="B657:C657"/>
    <mergeCell ref="J53:N53"/>
    <mergeCell ref="A725:C725"/>
    <mergeCell ref="E554:F554"/>
    <mergeCell ref="K651:M651"/>
    <mergeCell ref="A203:O203"/>
    <mergeCell ref="H606:J606"/>
    <mergeCell ref="G530:J530"/>
    <mergeCell ref="E541:F541"/>
    <mergeCell ref="B536:D536"/>
    <mergeCell ref="C22:D22"/>
    <mergeCell ref="K626:M626"/>
    <mergeCell ref="A662:C662"/>
    <mergeCell ref="E668:O668"/>
    <mergeCell ref="J55:N55"/>
    <mergeCell ref="F650:G650"/>
    <mergeCell ref="K653:M653"/>
    <mergeCell ref="B622:C622"/>
    <mergeCell ref="E539:F539"/>
    <mergeCell ref="G532:J532"/>
    <mergeCell ref="A63:O63"/>
    <mergeCell ref="B609:C609"/>
    <mergeCell ref="K628:M628"/>
    <mergeCell ref="A726:C726"/>
    <mergeCell ref="E555:F555"/>
    <mergeCell ref="B561:D561"/>
    <mergeCell ref="E549:F549"/>
    <mergeCell ref="K646:M646"/>
    <mergeCell ref="B619:C619"/>
    <mergeCell ref="K529:N529"/>
    <mergeCell ref="E536:F536"/>
    <mergeCell ref="B602:C602"/>
    <mergeCell ref="A59:C59"/>
    <mergeCell ref="G21:I21"/>
    <mergeCell ref="D602:E602"/>
    <mergeCell ref="G563:J563"/>
    <mergeCell ref="H622:J622"/>
    <mergeCell ref="H612:J612"/>
    <mergeCell ref="A38:B38"/>
    <mergeCell ref="K648:M648"/>
    <mergeCell ref="C38:D38"/>
    <mergeCell ref="K571:N571"/>
    <mergeCell ref="J19:L19"/>
    <mergeCell ref="B604:C604"/>
    <mergeCell ref="A61:C61"/>
    <mergeCell ref="G23:I23"/>
    <mergeCell ref="D604:E604"/>
    <mergeCell ref="G590:J590"/>
    <mergeCell ref="J58:N58"/>
    <mergeCell ref="A281:O281"/>
    <mergeCell ref="A452:O452"/>
    <mergeCell ref="A517:C517"/>
    <mergeCell ref="E707:O707"/>
    <mergeCell ref="A54:C54"/>
    <mergeCell ref="H634:J634"/>
    <mergeCell ref="G527:J527"/>
    <mergeCell ref="A674:C674"/>
    <mergeCell ref="A41:C41"/>
    <mergeCell ref="B635:C635"/>
    <mergeCell ref="B547:D547"/>
    <mergeCell ref="C33:D33"/>
    <mergeCell ref="A519:C519"/>
    <mergeCell ref="F643:G643"/>
    <mergeCell ref="E33:F33"/>
    <mergeCell ref="E696:O696"/>
    <mergeCell ref="A56:C56"/>
    <mergeCell ref="K555:N555"/>
    <mergeCell ref="G591:J591"/>
    <mergeCell ref="E671:O671"/>
    <mergeCell ref="H611:J611"/>
    <mergeCell ref="A6:B6"/>
    <mergeCell ref="K639:M639"/>
    <mergeCell ref="C35:D35"/>
    <mergeCell ref="D645:E645"/>
    <mergeCell ref="E725:O725"/>
    <mergeCell ref="E35:F35"/>
    <mergeCell ref="E529:F529"/>
    <mergeCell ref="J523:M523"/>
    <mergeCell ref="A675:C675"/>
    <mergeCell ref="A468:O468"/>
    <mergeCell ref="B630:C630"/>
    <mergeCell ref="E700:O700"/>
    <mergeCell ref="E697:O697"/>
    <mergeCell ref="K636:M636"/>
    <mergeCell ref="E691:O691"/>
    <mergeCell ref="E28:F28"/>
    <mergeCell ref="H640:J640"/>
    <mergeCell ref="K641:M641"/>
    <mergeCell ref="A234:O234"/>
    <mergeCell ref="K550:N550"/>
    <mergeCell ref="A665:C665"/>
    <mergeCell ref="K586:N586"/>
    <mergeCell ref="D657:E657"/>
    <mergeCell ref="A147:O147"/>
    <mergeCell ref="B549:D549"/>
    <mergeCell ref="M30:N30"/>
    <mergeCell ref="E30:F30"/>
    <mergeCell ref="E595:F595"/>
    <mergeCell ref="H627:J627"/>
    <mergeCell ref="G551:J551"/>
    <mergeCell ref="G538:J538"/>
    <mergeCell ref="A739:C739"/>
    <mergeCell ref="K652:M652"/>
    <mergeCell ref="G540:J540"/>
    <mergeCell ref="A741:C741"/>
    <mergeCell ref="K596:N596"/>
    <mergeCell ref="A728:C728"/>
    <mergeCell ref="E557:F557"/>
    <mergeCell ref="N520:O520"/>
    <mergeCell ref="B552:D552"/>
    <mergeCell ref="K654:M654"/>
    <mergeCell ref="F656:G656"/>
    <mergeCell ref="H658:J658"/>
    <mergeCell ref="K568:N568"/>
    <mergeCell ref="A678:C678"/>
    <mergeCell ref="E684:O684"/>
    <mergeCell ref="E21:F21"/>
    <mergeCell ref="H630:J630"/>
    <mergeCell ref="E720:O720"/>
    <mergeCell ref="B625:C625"/>
    <mergeCell ref="E542:F542"/>
    <mergeCell ref="J27:L27"/>
    <mergeCell ref="A66:O66"/>
    <mergeCell ref="K570:N570"/>
    <mergeCell ref="B612:C612"/>
    <mergeCell ref="E23:F23"/>
    <mergeCell ref="E686:O686"/>
    <mergeCell ref="A158:O158"/>
    <mergeCell ref="K572:N572"/>
    <mergeCell ref="H653:J653"/>
    <mergeCell ref="D618:E618"/>
    <mergeCell ref="A3:O3"/>
    <mergeCell ref="G24:I24"/>
    <mergeCell ref="J25:L25"/>
    <mergeCell ref="D605:E605"/>
    <mergeCell ref="F605:G605"/>
    <mergeCell ref="G566:J566"/>
    <mergeCell ref="B568:D568"/>
    <mergeCell ref="E715:O715"/>
    <mergeCell ref="B555:D555"/>
    <mergeCell ref="K574:N574"/>
    <mergeCell ref="N515:O515"/>
    <mergeCell ref="D620:E620"/>
    <mergeCell ref="A5:O5"/>
    <mergeCell ref="A681:C681"/>
    <mergeCell ref="F620:G620"/>
    <mergeCell ref="K565:N565"/>
    <mergeCell ref="H636:J636"/>
    <mergeCell ref="G26:I26"/>
    <mergeCell ref="D607:E607"/>
    <mergeCell ref="J49:N49"/>
    <mergeCell ref="F607:G607"/>
    <mergeCell ref="A27:B27"/>
    <mergeCell ref="A290:O290"/>
    <mergeCell ref="A224:O224"/>
    <mergeCell ref="A395:O395"/>
    <mergeCell ref="E34:F34"/>
    <mergeCell ref="B557:D557"/>
    <mergeCell ref="K622:M622"/>
    <mergeCell ref="M25:N25"/>
    <mergeCell ref="A696:C696"/>
    <mergeCell ref="E568:F568"/>
    <mergeCell ref="K603:M603"/>
    <mergeCell ref="B638:C638"/>
    <mergeCell ref="A459:O459"/>
    <mergeCell ref="A518:C518"/>
    <mergeCell ref="C36:D36"/>
    <mergeCell ref="M36:N36"/>
    <mergeCell ref="M33:N33"/>
    <mergeCell ref="E36:F36"/>
    <mergeCell ref="F615:G615"/>
    <mergeCell ref="A676:C676"/>
    <mergeCell ref="E576:F576"/>
    <mergeCell ref="E570:F570"/>
    <mergeCell ref="A22:B22"/>
    <mergeCell ref="B640:C640"/>
    <mergeCell ref="E741:O741"/>
    <mergeCell ref="J38:L38"/>
    <mergeCell ref="A520:C520"/>
    <mergeCell ref="A691:C691"/>
    <mergeCell ref="E728:O728"/>
    <mergeCell ref="B581:D581"/>
    <mergeCell ref="K556:N556"/>
    <mergeCell ref="K10:O10"/>
    <mergeCell ref="K543:N543"/>
    <mergeCell ref="K592:N592"/>
    <mergeCell ref="A9:B9"/>
    <mergeCell ref="H605:J605"/>
    <mergeCell ref="K644:M644"/>
    <mergeCell ref="B583:D583"/>
    <mergeCell ref="B539:D539"/>
    <mergeCell ref="K558:N558"/>
    <mergeCell ref="B577:D577"/>
    <mergeCell ref="A16:O16"/>
    <mergeCell ref="G37:I37"/>
    <mergeCell ref="A11:B11"/>
    <mergeCell ref="G554:J554"/>
    <mergeCell ref="K587:N587"/>
    <mergeCell ref="B631:C631"/>
    <mergeCell ref="A214:O214"/>
    <mergeCell ref="A18:O18"/>
    <mergeCell ref="G541:J541"/>
    <mergeCell ref="A487:O487"/>
    <mergeCell ref="A515:C515"/>
    <mergeCell ref="E550:F550"/>
    <mergeCell ref="E731:O731"/>
    <mergeCell ref="B651:C651"/>
    <mergeCell ref="H631:J631"/>
    <mergeCell ref="E721:O721"/>
    <mergeCell ref="A671:C671"/>
    <mergeCell ref="E718:O718"/>
    <mergeCell ref="K657:M657"/>
    <mergeCell ref="N523:O523"/>
    <mergeCell ref="B626:C626"/>
    <mergeCell ref="E712:O712"/>
    <mergeCell ref="D626:E626"/>
    <mergeCell ref="E687:O687"/>
    <mergeCell ref="E736:O736"/>
    <mergeCell ref="G32:I32"/>
    <mergeCell ref="M21:N21"/>
    <mergeCell ref="J33:L33"/>
    <mergeCell ref="K536:N536"/>
    <mergeCell ref="B653:C653"/>
    <mergeCell ref="B576:D576"/>
    <mergeCell ref="E564:F564"/>
    <mergeCell ref="A673:C673"/>
    <mergeCell ref="B570:D570"/>
    <mergeCell ref="K8:O8"/>
    <mergeCell ref="A735:C735"/>
    <mergeCell ref="B628:C628"/>
    <mergeCell ref="D628:E628"/>
    <mergeCell ref="E26:F26"/>
    <mergeCell ref="G559:J559"/>
    <mergeCell ref="F621:G621"/>
    <mergeCell ref="G27:I27"/>
    <mergeCell ref="J28:L28"/>
    <mergeCell ref="A169:O169"/>
    <mergeCell ref="B571:D571"/>
    <mergeCell ref="J42:N42"/>
    <mergeCell ref="A697:C697"/>
    <mergeCell ref="D623:E623"/>
    <mergeCell ref="F623:G623"/>
    <mergeCell ref="J30:L30"/>
    <mergeCell ref="E578:F578"/>
    <mergeCell ref="B573:D573"/>
    <mergeCell ref="G560:J560"/>
    <mergeCell ref="M34:N34"/>
    <mergeCell ref="J44:N44"/>
    <mergeCell ref="K589:N589"/>
    <mergeCell ref="K625:M625"/>
    <mergeCell ref="A177:O177"/>
    <mergeCell ref="K650:M650"/>
    <mergeCell ref="A699:C699"/>
    <mergeCell ref="E667:O667"/>
    <mergeCell ref="E705:O705"/>
    <mergeCell ref="D61:I61"/>
    <mergeCell ref="A335:O335"/>
    <mergeCell ref="B646:C646"/>
    <mergeCell ref="D48:I48"/>
    <mergeCell ref="G550:J550"/>
    <mergeCell ref="E734:O734"/>
    <mergeCell ref="E579:F579"/>
    <mergeCell ref="E573:F573"/>
    <mergeCell ref="B639:C639"/>
    <mergeCell ref="K593:N593"/>
    <mergeCell ref="D639:E639"/>
    <mergeCell ref="E706:O706"/>
    <mergeCell ref="A195:O195"/>
    <mergeCell ref="F639:G639"/>
    <mergeCell ref="K584:N584"/>
    <mergeCell ref="H655:J655"/>
    <mergeCell ref="H646:J646"/>
    <mergeCell ref="A309:O309"/>
    <mergeCell ref="B589:D589"/>
    <mergeCell ref="G20:I20"/>
    <mergeCell ref="A740:C740"/>
    <mergeCell ref="B641:C641"/>
    <mergeCell ref="A17:O17"/>
    <mergeCell ref="G562:J562"/>
    <mergeCell ref="K595:N595"/>
    <mergeCell ref="N518:O518"/>
    <mergeCell ref="D641:E641"/>
    <mergeCell ref="E735:O735"/>
    <mergeCell ref="A12:B12"/>
    <mergeCell ref="A495:O495"/>
    <mergeCell ref="H657:J657"/>
    <mergeCell ref="E673:O673"/>
    <mergeCell ref="G22:I22"/>
    <mergeCell ref="F634:G634"/>
    <mergeCell ref="A14:B14"/>
    <mergeCell ref="E589:F589"/>
    <mergeCell ref="B584:D584"/>
    <mergeCell ref="F606:G606"/>
    <mergeCell ref="A710:C710"/>
    <mergeCell ref="C8:J8"/>
    <mergeCell ref="J47:N47"/>
    <mergeCell ref="C32:D32"/>
    <mergeCell ref="E670:O670"/>
    <mergeCell ref="M29:N29"/>
    <mergeCell ref="E32:F32"/>
    <mergeCell ref="F611:G611"/>
    <mergeCell ref="M23:N23"/>
    <mergeCell ref="K620:M620"/>
    <mergeCell ref="E572:F572"/>
    <mergeCell ref="E566:F566"/>
    <mergeCell ref="A712:C712"/>
    <mergeCell ref="B636:C636"/>
    <mergeCell ref="E553:F553"/>
    <mergeCell ref="J34:L34"/>
    <mergeCell ref="E528:F528"/>
    <mergeCell ref="B548:D548"/>
    <mergeCell ref="K613:M613"/>
    <mergeCell ref="A687:C687"/>
    <mergeCell ref="K600:M600"/>
    <mergeCell ref="D49:I49"/>
    <mergeCell ref="E574:F574"/>
    <mergeCell ref="K552:N552"/>
    <mergeCell ref="A429:O429"/>
    <mergeCell ref="J36:L36"/>
    <mergeCell ref="K615:M615"/>
    <mergeCell ref="B579:D579"/>
    <mergeCell ref="A469:O469"/>
    <mergeCell ref="G33:I33"/>
    <mergeCell ref="G581:J581"/>
    <mergeCell ref="D614:E614"/>
    <mergeCell ref="J60:N60"/>
    <mergeCell ref="G575:J575"/>
    <mergeCell ref="F614:G614"/>
    <mergeCell ref="A235:O235"/>
    <mergeCell ref="E569:F569"/>
    <mergeCell ref="M20:N20"/>
    <mergeCell ref="A25:B25"/>
    <mergeCell ref="E740:O740"/>
    <mergeCell ref="C25:D25"/>
    <mergeCell ref="F624:G624"/>
    <mergeCell ref="J31:L31"/>
    <mergeCell ref="F629:G629"/>
    <mergeCell ref="G35:I35"/>
    <mergeCell ref="B574:D574"/>
    <mergeCell ref="F616:G616"/>
    <mergeCell ref="G577:J577"/>
    <mergeCell ref="J45:N45"/>
    <mergeCell ref="A700:C700"/>
    <mergeCell ref="M22:N22"/>
    <mergeCell ref="H603:J603"/>
    <mergeCell ref="H652:J652"/>
    <mergeCell ref="E742:O742"/>
    <mergeCell ref="G576:J576"/>
    <mergeCell ref="H617:J617"/>
    <mergeCell ref="K618:M618"/>
    <mergeCell ref="B647:C647"/>
    <mergeCell ref="D54:I54"/>
    <mergeCell ref="E708:O708"/>
    <mergeCell ref="K557:N557"/>
    <mergeCell ref="H632:J632"/>
    <mergeCell ref="E585:F585"/>
    <mergeCell ref="K542:N542"/>
    <mergeCell ref="G578:J578"/>
    <mergeCell ref="F613:G613"/>
    <mergeCell ref="B649:C649"/>
    <mergeCell ref="E694:O694"/>
    <mergeCell ref="A20:B20"/>
    <mergeCell ref="E737:O737"/>
    <mergeCell ref="B528:D528"/>
    <mergeCell ref="J51:N51"/>
    <mergeCell ref="A138:O138"/>
    <mergeCell ref="D642:E642"/>
    <mergeCell ref="F642:G642"/>
    <mergeCell ref="A13:B13"/>
    <mergeCell ref="A325:O325"/>
    <mergeCell ref="A496:O496"/>
    <mergeCell ref="K6:O6"/>
    <mergeCell ref="B592:D592"/>
    <mergeCell ref="B650:C650"/>
    <mergeCell ref="A718:C718"/>
  </mergeCells>
  <hyperlinks>
    <hyperlink xmlns:r="http://schemas.openxmlformats.org/officeDocument/2006/relationships" ref="P1" r:id="rId1"/>
  </hyperlinks>
  <pageMargins left="0.4" right="0.4" top="0.5" bottom="0.5" header="0.5" footer="0.5"/>
  <pageSetup orientation="landscape" fitToHeight="0" fitToWidth="1"/>
  <headerFooter>
    <oddHeader/>
    <oddFooter>&amp;LIRIS · Job Architecture &amp; Job Design · Final v1.12 · October 2026 · Internal — Confidential&amp;RPage &amp;P of &amp;N</oddFooter>
    <evenHeader/>
    <evenFooter/>
    <firstHeader/>
    <firstFooter/>
  </headerFooter>
</worksheet>
</file>

<file path=xl/worksheets/sheet26.xml><?xml version="1.0" encoding="utf-8"?>
<worksheet xmlns="http://schemas.openxmlformats.org/spreadsheetml/2006/main">
  <sheetPr>
    <tabColor rgb="001F3864"/>
    <outlinePr summaryBelow="1" summaryRight="1"/>
    <pageSetUpPr fitToPage="1"/>
  </sheetPr>
  <dimension ref="A1:O46"/>
  <sheetViews>
    <sheetView showGridLines="0" workbookViewId="0">
      <pane ySplit="4" topLeftCell="A5" activePane="bottomLeft" state="frozen"/>
      <selection pane="bottomLeft" activeCell="A1" sqref="A1"/>
    </sheetView>
  </sheetViews>
  <sheetFormatPr baseColWidth="8" defaultRowHeight="15"/>
  <cols>
    <col width="26"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3" customWidth="1" min="15" max="15"/>
  </cols>
  <sheetData>
    <row r="1" ht="34" customHeight="1">
      <c r="A1" s="1" t="inlineStr">
        <is>
          <t>IRIS Role Catalogue — every role at IRIS, defined once</t>
        </is>
      </c>
      <c r="O1" s="99" t="inlineStr">
        <is>
          <t>◂ Contents</t>
        </is>
      </c>
    </row>
    <row r="2" ht="32" customHeight="1">
      <c r="A2" s="3" t="inlineStr">
        <is>
          <t>One entry per job family × sub-family × level × track, pooled across all business lines. Each entry carries the framework's requirements for the level and the role-holders' own inputs where they can be shown anonymously. No names.</t>
        </is>
      </c>
    </row>
    <row r="3">
      <c r="A3" s="4" t="inlineStr">
        <is>
          <t>IRIS · Job Architecture &amp; Job Design · Final v1.12 · October 2026 · Internal — Confidential</t>
        </is>
      </c>
    </row>
    <row r="4" ht="15" customHeight="1"/>
    <row r="5" ht="20" customHeight="1">
      <c r="A5" s="6" t="inlineStr">
        <is>
          <t>What is in the catalogue</t>
        </is>
      </c>
    </row>
    <row r="6" ht="15" customHeight="1">
      <c r="A6" s="7" t="inlineStr">
        <is>
          <t>Measure</t>
        </is>
      </c>
      <c r="B6" s="64" t="n"/>
      <c r="C6" s="64" t="n"/>
      <c r="D6" s="63" t="n"/>
      <c r="E6" s="7" t="inlineStr">
        <is>
          <t>Value</t>
        </is>
      </c>
      <c r="F6" s="63" t="n"/>
      <c r="G6" s="7" t="inlineStr">
        <is>
          <t>Note</t>
        </is>
      </c>
      <c r="H6" s="64" t="n"/>
      <c r="I6" s="64" t="n"/>
      <c r="J6" s="64" t="n"/>
      <c r="K6" s="64" t="n"/>
      <c r="L6" s="64" t="n"/>
      <c r="M6" s="64" t="n"/>
      <c r="N6" s="63" t="n"/>
    </row>
    <row r="7" ht="15" customHeight="1">
      <c r="A7" s="14" t="inlineStr">
        <is>
          <t>Catalogue roles</t>
        </is>
      </c>
      <c r="B7" s="64" t="n"/>
      <c r="C7" s="64" t="n"/>
      <c r="D7" s="63" t="n"/>
      <c r="E7" s="8" t="n">
        <v>175</v>
      </c>
      <c r="F7" s="63" t="n"/>
      <c r="G7" s="9" t="inlineStr">
        <is>
          <t>Job family × sub-family × level × track · IC or manager, IRIS-wide</t>
        </is>
      </c>
      <c r="H7" s="64" t="n"/>
      <c r="I7" s="64" t="n"/>
      <c r="J7" s="64" t="n"/>
      <c r="K7" s="64" t="n"/>
      <c r="L7" s="64" t="n"/>
      <c r="M7" s="64" t="n"/>
      <c r="N7" s="63" t="n"/>
    </row>
    <row r="8" ht="15" customHeight="1">
      <c r="A8" s="14" t="inlineStr">
        <is>
          <t>People covered</t>
        </is>
      </c>
      <c r="B8" s="64" t="n"/>
      <c r="C8" s="64" t="n"/>
      <c r="D8" s="63" t="n"/>
      <c r="E8" s="8" t="n">
        <v>586</v>
      </c>
      <c r="F8" s="63" t="n"/>
      <c r="G8" s="9" t="inlineStr">
        <is>
          <t>Everyone in the people workbooks</t>
        </is>
      </c>
      <c r="H8" s="64" t="n"/>
      <c r="I8" s="64" t="n"/>
      <c r="J8" s="64" t="n"/>
      <c r="K8" s="64" t="n"/>
      <c r="L8" s="64" t="n"/>
      <c r="M8" s="64" t="n"/>
      <c r="N8" s="63" t="n"/>
    </row>
    <row r="9" ht="28" customHeight="1">
      <c r="A9" s="14" t="inlineStr">
        <is>
          <t>Roles with one holder</t>
        </is>
      </c>
      <c r="B9" s="64" t="n"/>
      <c r="C9" s="64" t="n"/>
      <c r="D9" s="63" t="n"/>
      <c r="E9" s="8" t="n">
        <v>84</v>
      </c>
      <c r="F9" s="63" t="n"/>
      <c r="G9" s="9" t="inlineStr">
        <is>
          <t>Their content still comes from pooled evidence or the framework — never one person's answers</t>
        </is>
      </c>
      <c r="H9" s="64" t="n"/>
      <c r="I9" s="64" t="n"/>
      <c r="J9" s="64" t="n"/>
      <c r="K9" s="64" t="n"/>
      <c r="L9" s="64" t="n"/>
      <c r="M9" s="64" t="n"/>
      <c r="N9" s="63" t="n"/>
    </row>
    <row r="10" ht="28" customHeight="1">
      <c r="A10" s="14" t="inlineStr">
        <is>
          <t>Purpose &amp; responsibilities from: Framework + role-holders' themes · 3+ answered</t>
        </is>
      </c>
      <c r="B10" s="64" t="n"/>
      <c r="C10" s="64" t="n"/>
      <c r="D10" s="63" t="n"/>
      <c r="E10" s="8" t="n">
        <v>50</v>
      </c>
      <c r="F10" s="63" t="n"/>
      <c r="G10" s="9" t="n"/>
      <c r="H10" s="64" t="n"/>
      <c r="I10" s="64" t="n"/>
      <c r="J10" s="64" t="n"/>
      <c r="K10" s="64" t="n"/>
      <c r="L10" s="64" t="n"/>
      <c r="M10" s="64" t="n"/>
      <c r="N10" s="63" t="n"/>
    </row>
    <row r="11" ht="28" customHeight="1">
      <c r="A11" s="14" t="inlineStr">
        <is>
          <t>Purpose &amp; responsibilities from: Framework + sub-family themes · 3+ answered</t>
        </is>
      </c>
      <c r="B11" s="64" t="n"/>
      <c r="C11" s="64" t="n"/>
      <c r="D11" s="63" t="n"/>
      <c r="E11" s="8" t="n">
        <v>83</v>
      </c>
      <c r="F11" s="63" t="n"/>
      <c r="G11" s="9" t="n"/>
      <c r="H11" s="64" t="n"/>
      <c r="I11" s="64" t="n"/>
      <c r="J11" s="64" t="n"/>
      <c r="K11" s="64" t="n"/>
      <c r="L11" s="64" t="n"/>
      <c r="M11" s="64" t="n"/>
      <c r="N11" s="63" t="n"/>
    </row>
    <row r="12" ht="15" customHeight="1">
      <c r="A12" s="14" t="inlineStr">
        <is>
          <t>Purpose &amp; responsibilities from: Framework + KRAs</t>
        </is>
      </c>
      <c r="B12" s="64" t="n"/>
      <c r="C12" s="64" t="n"/>
      <c r="D12" s="63" t="n"/>
      <c r="E12" s="8" t="n">
        <v>0</v>
      </c>
      <c r="F12" s="63" t="n"/>
      <c r="G12" s="9" t="n"/>
      <c r="H12" s="64" t="n"/>
      <c r="I12" s="64" t="n"/>
      <c r="J12" s="64" t="n"/>
      <c r="K12" s="64" t="n"/>
      <c r="L12" s="64" t="n"/>
      <c r="M12" s="64" t="n"/>
      <c r="N12" s="63" t="n"/>
    </row>
    <row r="13" ht="28" customHeight="1">
      <c r="A13" s="14" t="inlineStr">
        <is>
          <t>Purpose &amp; responsibilities from: Framework only · fewer than 3 answered</t>
        </is>
      </c>
      <c r="B13" s="64" t="n"/>
      <c r="C13" s="64" t="n"/>
      <c r="D13" s="63" t="n"/>
      <c r="E13" s="8" t="n">
        <v>42</v>
      </c>
      <c r="F13" s="63" t="n"/>
      <c r="G13" s="9" t="n"/>
      <c r="H13" s="64" t="n"/>
      <c r="I13" s="64" t="n"/>
      <c r="J13" s="64" t="n"/>
      <c r="K13" s="64" t="n"/>
      <c r="L13" s="64" t="n"/>
      <c r="M13" s="64" t="n"/>
      <c r="N13" s="63" t="n"/>
    </row>
    <row r="14" ht="15" customHeight="1"/>
    <row r="15" ht="20" customHeight="1">
      <c r="A15" s="6" t="inlineStr">
        <is>
          <t>How each entry is built</t>
        </is>
      </c>
    </row>
    <row r="16" ht="15" customHeight="1">
      <c r="A16" s="7" t="inlineStr">
        <is>
          <t>Part</t>
        </is>
      </c>
      <c r="B16" s="64" t="n"/>
      <c r="C16" s="63" t="n"/>
      <c r="D16" s="7" t="inlineStr">
        <is>
          <t>Source</t>
        </is>
      </c>
      <c r="E16" s="64" t="n"/>
      <c r="F16" s="64" t="n"/>
      <c r="G16" s="63" t="n"/>
      <c r="H16" s="7" t="inlineStr">
        <is>
          <t>Rule</t>
        </is>
      </c>
      <c r="I16" s="64" t="n"/>
      <c r="J16" s="64" t="n"/>
      <c r="K16" s="64" t="n"/>
      <c r="L16" s="64" t="n"/>
      <c r="M16" s="64" t="n"/>
      <c r="N16" s="63" t="n"/>
    </row>
    <row r="17" ht="67" customHeight="1">
      <c r="A17" s="14" t="inlineStr">
        <is>
          <t>Purpose, responsibilities, deliverables, decision rights</t>
        </is>
      </c>
      <c r="B17" s="64" t="n"/>
      <c r="C17" s="63" t="n"/>
      <c r="D17" s="9" t="inlineStr">
        <is>
          <t>The sub-family definition and the level standard, plus the role-holders' own survey answers</t>
        </is>
      </c>
      <c r="E17" s="64" t="n"/>
      <c r="F17" s="64" t="n"/>
      <c r="G17" s="63" t="n"/>
      <c r="H17" s="9" t="inlineStr">
        <is>
          <t>Written in catalogue language · never one person's words. Below it, the common themes in the holders' answers, with counts: from the role itself when 3+ holders answered, otherwise from the sub-family across all levels · 3+ answered; with fewer, the framework text stands alone. 'Evidence basis' says which.</t>
        </is>
      </c>
      <c r="I17" s="64" t="n"/>
      <c r="J17" s="64" t="n"/>
      <c r="K17" s="64" t="n"/>
      <c r="L17" s="64" t="n"/>
      <c r="M17" s="64" t="n"/>
      <c r="N17" s="63" t="n"/>
    </row>
    <row r="18" ht="28" customHeight="1">
      <c r="A18" s="14" t="inlineStr">
        <is>
          <t>Skills, tools, KRAs</t>
        </is>
      </c>
      <c r="B18" s="64" t="n"/>
      <c r="C18" s="63" t="n"/>
      <c r="D18" s="9" t="inlineStr">
        <is>
          <t>Holders' answers, HRIS skill sets, manager-set KRAs</t>
        </is>
      </c>
      <c r="E18" s="64" t="n"/>
      <c r="F18" s="64" t="n"/>
      <c r="G18" s="63" t="n"/>
      <c r="H18" s="9" t="inlineStr">
        <is>
          <t>Counted; an item appears only if two or more people named it</t>
        </is>
      </c>
      <c r="I18" s="64" t="n"/>
      <c r="J18" s="64" t="n"/>
      <c r="K18" s="64" t="n"/>
      <c r="L18" s="64" t="n"/>
      <c r="M18" s="64" t="n"/>
      <c r="N18" s="63" t="n"/>
    </row>
    <row r="19" ht="15" customHeight="1">
      <c r="A19" s="14" t="inlineStr">
        <is>
          <t>Views of the role</t>
        </is>
      </c>
      <c r="B19" s="64" t="n"/>
      <c r="C19" s="63" t="n"/>
      <c r="D19" s="9" t="inlineStr">
        <is>
          <t>Survey</t>
        </is>
      </c>
      <c r="E19" s="64" t="n"/>
      <c r="F19" s="64" t="n"/>
      <c r="G19" s="63" t="n"/>
      <c r="H19" s="9" t="inlineStr">
        <is>
          <t>Counted themes only, never quoted, and only where 3+ answered</t>
        </is>
      </c>
      <c r="I19" s="64" t="n"/>
      <c r="J19" s="64" t="n"/>
      <c r="K19" s="64" t="n"/>
      <c r="L19" s="64" t="n"/>
      <c r="M19" s="64" t="n"/>
      <c r="N19" s="63" t="n"/>
    </row>
    <row r="20" ht="28" customHeight="1">
      <c r="A20" s="14" t="inlineStr">
        <is>
          <t>Level requirements, experience, education, credentials, span</t>
        </is>
      </c>
      <c r="B20" s="64" t="n"/>
      <c r="C20" s="63" t="n"/>
      <c r="D20" s="9" t="inlineStr">
        <is>
          <t>Master framework</t>
        </is>
      </c>
      <c r="E20" s="64" t="n"/>
      <c r="F20" s="64" t="n"/>
      <c r="G20" s="63" t="n"/>
      <c r="H20" s="9" t="inlineStr">
        <is>
          <t>The same for every role at the level</t>
        </is>
      </c>
      <c r="I20" s="64" t="n"/>
      <c r="J20" s="64" t="n"/>
      <c r="K20" s="64" t="n"/>
      <c r="L20" s="64" t="n"/>
      <c r="M20" s="64" t="n"/>
      <c r="N20" s="63" t="n"/>
    </row>
    <row r="21" ht="28" customHeight="1">
      <c r="A21" s="14" t="inlineStr">
        <is>
          <t>Competencies</t>
        </is>
      </c>
      <c r="B21" s="64" t="n"/>
      <c r="C21" s="63" t="n"/>
      <c r="D21" s="9" t="inlineStr">
        <is>
          <t>Competency model and the family's functional set</t>
        </is>
      </c>
      <c r="E21" s="64" t="n"/>
      <c r="F21" s="64" t="n"/>
      <c r="G21" s="63" t="n"/>
      <c r="H21" s="9" t="inlineStr">
        <is>
          <t>Required proficiency by level; must-haves starred</t>
        </is>
      </c>
      <c r="I21" s="64" t="n"/>
      <c r="J21" s="64" t="n"/>
      <c r="K21" s="64" t="n"/>
      <c r="L21" s="64" t="n"/>
      <c r="M21" s="64" t="n"/>
      <c r="N21" s="63" t="n"/>
    </row>
    <row r="22" ht="15" customHeight="1">
      <c r="A22" s="14" t="inlineStr">
        <is>
          <t>Market</t>
        </is>
      </c>
      <c r="B22" s="64" t="n"/>
      <c r="C22" s="63" t="n"/>
      <c r="D22" s="9" t="inlineStr">
        <is>
          <t>Crosswalk and peer ladders</t>
        </is>
      </c>
      <c r="E22" s="64" t="n"/>
      <c r="F22" s="64" t="n"/>
      <c r="G22" s="63" t="n"/>
      <c r="H22" s="9" t="inlineStr">
        <is>
          <t>Grade codes only for non-technology families</t>
        </is>
      </c>
      <c r="I22" s="64" t="n"/>
      <c r="J22" s="64" t="n"/>
      <c r="K22" s="64" t="n"/>
      <c r="L22" s="64" t="n"/>
      <c r="M22" s="64" t="n"/>
      <c r="N22" s="63" t="n"/>
    </row>
    <row r="23" ht="15" customHeight="1"/>
    <row r="24" ht="15" customHeight="1"/>
    <row r="25" ht="20" customHeight="1">
      <c r="A25" s="6" t="inlineStr">
        <is>
          <t>How a role's level is worked out — in four steps</t>
        </is>
      </c>
    </row>
    <row r="26" ht="28" customHeight="1">
      <c r="A26" s="12" t="inlineStr">
        <is>
          <t>The score measures the size of the role, not how well the person performs, and it is not linked to pay. It uses the same scale as the ladder · A1 = 1, A2 = 2 … B1 = 4 … E2 = 12, so a score reads as a level.</t>
        </is>
      </c>
    </row>
    <row r="27" ht="15" customHeight="1">
      <c r="A27" s="7" t="inlineStr">
        <is>
          <t>Step</t>
        </is>
      </c>
      <c r="B27" s="7" t="inlineStr">
        <is>
          <t>What happens</t>
        </is>
      </c>
      <c r="C27" s="64" t="n"/>
      <c r="D27" s="64" t="n"/>
      <c r="E27" s="64" t="n"/>
      <c r="F27" s="64" t="n"/>
      <c r="G27" s="63" t="n"/>
      <c r="H27" s="7" t="inlineStr">
        <is>
          <t>In plain words</t>
        </is>
      </c>
      <c r="I27" s="64" t="n"/>
      <c r="J27" s="64" t="n"/>
      <c r="K27" s="64" t="n"/>
      <c r="L27" s="64" t="n"/>
      <c r="M27" s="64" t="n"/>
      <c r="N27" s="63" t="n"/>
    </row>
    <row r="28" ht="54" customHeight="1">
      <c r="A28" s="14" t="inlineStr">
        <is>
          <t>1 · Rate</t>
        </is>
      </c>
      <c r="B28" s="9" t="inlineStr">
        <is>
          <r>
            <rPr>
              <rFont val="Calibri"/>
              <b val="1"/>
              <sz val="10"/>
            </rPr>
            <t>Six factors are each rated:</t>
          </r>
          <r>
            <rPr>
              <rFont val="Calibri"/>
              <sz val="10"/>
            </rPr>
            <t xml:space="preserve"> Complexity, Autonomy, Accountability, Leadership, Experience &amp; Qualification, Business Impact. Each rating starts from the designation and reporting line; survey or KRA evidence can move it by up to one level.</t>
          </r>
        </is>
      </c>
      <c r="C28" s="64" t="n"/>
      <c r="D28" s="64" t="n"/>
      <c r="E28" s="64" t="n"/>
      <c r="F28" s="64" t="n"/>
      <c r="G28" s="63" t="n"/>
      <c r="H28" s="9" t="inlineStr">
        <is>
          <t>How hard the work is, how freely the person decides, what the role answers for, how much it leads others, the experience it needs and its impact on the business.</t>
        </is>
      </c>
      <c r="I28" s="64" t="n"/>
      <c r="J28" s="64" t="n"/>
      <c r="K28" s="64" t="n"/>
      <c r="L28" s="64" t="n"/>
      <c r="M28" s="64" t="n"/>
      <c r="N28" s="63" t="n"/>
    </row>
    <row r="29" ht="41" customHeight="1">
      <c r="A29" s="14" t="inlineStr">
        <is>
          <t>2 · Weigh</t>
        </is>
      </c>
      <c r="B29" s="9" t="inlineStr">
        <is>
          <t>Each factor has a weight; the six weights add to 100%. They depend on the band and track and the department's type of work, and leaders can edit them on the Weightage Matrix.</t>
        </is>
      </c>
      <c r="C29" s="64" t="n"/>
      <c r="D29" s="64" t="n"/>
      <c r="E29" s="64" t="n"/>
      <c r="F29" s="64" t="n"/>
      <c r="G29" s="63" t="n"/>
      <c r="H29" s="9" t="inlineStr">
        <is>
          <t>Junior roles count the work itself most · Leadership counts 0% in Band A. Senior roles count accountability, leadership and business impact most. Experience counts little.</t>
        </is>
      </c>
      <c r="I29" s="64" t="n"/>
      <c r="J29" s="64" t="n"/>
      <c r="K29" s="64" t="n"/>
      <c r="L29" s="64" t="n"/>
      <c r="M29" s="64" t="n"/>
      <c r="N29" s="63" t="n"/>
    </row>
    <row r="30" ht="41" customHeight="1">
      <c r="A30" s="14" t="inlineStr">
        <is>
          <t>3 · Score</t>
        </is>
      </c>
      <c r="B30" s="9" t="inlineStr">
        <is>
          <t>Score = the six ratings × their weights, added up. Rounded to the nearest whole number ·.5 rounds up, it gives the indicated level.</t>
        </is>
      </c>
      <c r="C30" s="64" t="n"/>
      <c r="D30" s="64" t="n"/>
      <c r="E30" s="64" t="n"/>
      <c r="F30" s="64" t="n"/>
      <c r="G30" s="63" t="n"/>
      <c r="H30" s="9" t="inlineStr">
        <is>
          <t>A weighted average rating — so 4.73 means 'between B1 and B2, nearer B2', which rounds to B2.</t>
        </is>
      </c>
      <c r="I30" s="64" t="n"/>
      <c r="J30" s="64" t="n"/>
      <c r="K30" s="64" t="n"/>
      <c r="L30" s="64" t="n"/>
      <c r="M30" s="64" t="n"/>
      <c r="N30" s="63" t="n"/>
    </row>
    <row r="31" ht="67" customHeight="1">
      <c r="A31" s="14" t="inlineStr">
        <is>
          <t>4 · Check</t>
        </is>
      </c>
      <c r="B31" s="9" t="inlineStr">
        <is>
          <r>
            <rPr>
              <rFont val="Calibri"/>
              <b val="1"/>
              <sz val="10"/>
            </rPr>
            <t>Rules confirm or adjust the indicated level:</t>
          </r>
          <r>
            <rPr>
              <rFont val="Calibri"/>
              <sz val="10"/>
            </rPr>
            <t xml:space="preserve"> the work itself must support it, senior levels need the structure in the org chart, experience limits apply in Bands A–B, POD Leads and managers start at B1, and Player-Coaches can sit on a Player-Coach transition step.</t>
          </r>
        </is>
      </c>
      <c r="C31" s="64" t="n"/>
      <c r="D31" s="64" t="n"/>
      <c r="E31" s="64" t="n"/>
      <c r="F31" s="64" t="n"/>
      <c r="G31" s="63" t="n"/>
      <c r="H31" s="9" t="inlineStr">
        <is>
          <t>The score proposes; the rules make sure the role really carries that level. Any change is named, with its numbers, on sheet 2 of the HR Super Master.</t>
        </is>
      </c>
      <c r="I31" s="64" t="n"/>
      <c r="J31" s="64" t="n"/>
      <c r="K31" s="64" t="n"/>
      <c r="L31" s="64" t="n"/>
      <c r="M31" s="64" t="n"/>
      <c r="N31" s="63" t="n"/>
    </row>
    <row r="32" ht="15" customHeight="1"/>
    <row r="33" ht="15" customHeight="1">
      <c r="A33" s="16" t="inlineStr">
        <is>
          <t>Worked example · invented numbers — a Band B individual contributor doing technology work:</t>
        </is>
      </c>
    </row>
    <row r="34" ht="15" customHeight="1">
      <c r="A34" s="7" t="inlineStr">
        <is>
          <t>Factor</t>
        </is>
      </c>
      <c r="B34" s="7" t="inlineStr">
        <is>
          <t>Complexity</t>
        </is>
      </c>
      <c r="C34" s="63" t="n"/>
      <c r="D34" s="7" t="inlineStr">
        <is>
          <t>Autonomy</t>
        </is>
      </c>
      <c r="E34" s="63" t="n"/>
      <c r="F34" s="7" t="inlineStr">
        <is>
          <t>Accountability</t>
        </is>
      </c>
      <c r="G34" s="63" t="n"/>
      <c r="H34" s="7" t="inlineStr">
        <is>
          <t>Leadership</t>
        </is>
      </c>
      <c r="I34" s="63" t="n"/>
      <c r="J34" s="7" t="inlineStr">
        <is>
          <t>Experience</t>
        </is>
      </c>
      <c r="K34" s="63" t="n"/>
      <c r="L34" s="7" t="inlineStr">
        <is>
          <t>Bus. Impact</t>
        </is>
      </c>
      <c r="M34" s="63" t="n"/>
      <c r="N34" s="7" t="inlineStr">
        <is>
          <t>Score</t>
        </is>
      </c>
    </row>
    <row r="35" ht="15" customHeight="1">
      <c r="A35" s="14" t="inlineStr">
        <is>
          <t>Rating</t>
        </is>
      </c>
      <c r="B35" s="8" t="inlineStr">
        <is>
          <t>5</t>
        </is>
      </c>
      <c r="C35" s="63" t="n"/>
      <c r="D35" s="8" t="inlineStr">
        <is>
          <t>4</t>
        </is>
      </c>
      <c r="E35" s="63" t="n"/>
      <c r="F35" s="8" t="inlineStr">
        <is>
          <t>5</t>
        </is>
      </c>
      <c r="G35" s="63" t="n"/>
      <c r="H35" s="8" t="inlineStr">
        <is>
          <t>3</t>
        </is>
      </c>
      <c r="I35" s="63" t="n"/>
      <c r="J35" s="8" t="inlineStr">
        <is>
          <t>5</t>
        </is>
      </c>
      <c r="K35" s="63" t="n"/>
      <c r="L35" s="8" t="inlineStr">
        <is>
          <t>5</t>
        </is>
      </c>
      <c r="M35" s="63" t="n"/>
      <c r="N35" s="8" t="n"/>
    </row>
    <row r="36" ht="15" customHeight="1">
      <c r="A36" s="14" t="inlineStr">
        <is>
          <t>Weight</t>
        </is>
      </c>
      <c r="B36" s="8" t="inlineStr">
        <is>
          <t>56%</t>
        </is>
      </c>
      <c r="C36" s="63" t="n"/>
      <c r="D36" s="8" t="inlineStr">
        <is>
          <t>17%</t>
        </is>
      </c>
      <c r="E36" s="63" t="n"/>
      <c r="F36" s="8" t="inlineStr">
        <is>
          <t>5%</t>
        </is>
      </c>
      <c r="G36" s="63" t="n"/>
      <c r="H36" s="8" t="inlineStr">
        <is>
          <t>5%</t>
        </is>
      </c>
      <c r="I36" s="63" t="n"/>
      <c r="J36" s="8" t="inlineStr">
        <is>
          <t>10%</t>
        </is>
      </c>
      <c r="K36" s="63" t="n"/>
      <c r="L36" s="8" t="inlineStr">
        <is>
          <t>7%</t>
        </is>
      </c>
      <c r="M36" s="63" t="n"/>
      <c r="N36" s="8" t="inlineStr">
        <is>
          <t>100%</t>
        </is>
      </c>
    </row>
    <row r="37" ht="15" customHeight="1">
      <c r="A37" s="14" t="inlineStr">
        <is>
          <t>Rating × weight</t>
        </is>
      </c>
      <c r="B37" s="8" t="inlineStr">
        <is>
          <t>2.80</t>
        </is>
      </c>
      <c r="C37" s="63" t="n"/>
      <c r="D37" s="8" t="inlineStr">
        <is>
          <t>0.68</t>
        </is>
      </c>
      <c r="E37" s="63" t="n"/>
      <c r="F37" s="8" t="inlineStr">
        <is>
          <t>0.25</t>
        </is>
      </c>
      <c r="G37" s="63" t="n"/>
      <c r="H37" s="8" t="inlineStr">
        <is>
          <t>0.15</t>
        </is>
      </c>
      <c r="I37" s="63" t="n"/>
      <c r="J37" s="8" t="inlineStr">
        <is>
          <t>0.50</t>
        </is>
      </c>
      <c r="K37" s="63" t="n"/>
      <c r="L37" s="8" t="inlineStr">
        <is>
          <t>0.35</t>
        </is>
      </c>
      <c r="M37" s="63" t="n"/>
      <c r="N37" s="8" t="inlineStr">
        <is>
          <t>4.73 → B2</t>
        </is>
      </c>
    </row>
    <row r="38" ht="15" customHeight="1"/>
    <row r="39" ht="15" customHeight="1">
      <c r="A39" s="16" t="inlineStr">
        <is>
          <t>What the numbers mean — all businesses</t>
        </is>
      </c>
    </row>
    <row r="40" ht="15" customHeight="1">
      <c r="A40" s="7" t="inlineStr">
        <is>
          <t>Term</t>
        </is>
      </c>
      <c r="B40" s="7" t="inlineStr">
        <is>
          <t>Meaning</t>
        </is>
      </c>
      <c r="C40" s="64" t="n"/>
      <c r="D40" s="64" t="n"/>
      <c r="E40" s="64" t="n"/>
      <c r="F40" s="64" t="n"/>
      <c r="G40" s="64" t="n"/>
      <c r="H40" s="64" t="n"/>
      <c r="I40" s="64" t="n"/>
      <c r="J40" s="64" t="n"/>
      <c r="K40" s="64" t="n"/>
      <c r="L40" s="63" t="n"/>
      <c r="M40" s="7" t="inlineStr">
        <is>
          <t>People</t>
        </is>
      </c>
      <c r="N40" s="63" t="n"/>
    </row>
    <row r="41" ht="15" customHeight="1">
      <c r="A41" s="14" t="inlineStr">
        <is>
          <t>Score</t>
        </is>
      </c>
      <c r="B41" s="9" t="inlineStr">
        <is>
          <t>The size of the role in level units. Not performance, not pay.</t>
        </is>
      </c>
      <c r="C41" s="64" t="n"/>
      <c r="D41" s="64" t="n"/>
      <c r="E41" s="64" t="n"/>
      <c r="F41" s="64" t="n"/>
      <c r="G41" s="64" t="n"/>
      <c r="H41" s="64" t="n"/>
      <c r="I41" s="64" t="n"/>
      <c r="J41" s="64" t="n"/>
      <c r="K41" s="64" t="n"/>
      <c r="L41" s="63" t="n"/>
      <c r="M41" s="8" t="n">
        <v>540</v>
      </c>
      <c r="N41" s="63" t="n"/>
    </row>
    <row r="42" ht="15" customHeight="1">
      <c r="A42" s="14" t="inlineStr">
        <is>
          <t>Indicated level</t>
        </is>
      </c>
      <c r="B42" s="9" t="inlineStr">
        <is>
          <t>The score rounded to the nearest level.</t>
        </is>
      </c>
      <c r="C42" s="64" t="n"/>
      <c r="D42" s="64" t="n"/>
      <c r="E42" s="64" t="n"/>
      <c r="F42" s="64" t="n"/>
      <c r="G42" s="64" t="n"/>
      <c r="H42" s="64" t="n"/>
      <c r="I42" s="64" t="n"/>
      <c r="J42" s="64" t="n"/>
      <c r="K42" s="64" t="n"/>
      <c r="L42" s="63" t="n"/>
      <c r="M42" s="8" t="n">
        <v>540</v>
      </c>
      <c r="N42" s="63" t="n"/>
    </row>
    <row r="43" ht="15" customHeight="1">
      <c r="A43" s="14" t="inlineStr">
        <is>
          <t>Final level</t>
        </is>
      </c>
      <c r="B43" s="9" t="inlineStr">
        <is>
          <t>The level after the rules. Where it differs from the indicated level, a rule moved it and the reason is recorded.</t>
        </is>
      </c>
      <c r="C43" s="64" t="n"/>
      <c r="D43" s="64" t="n"/>
      <c r="E43" s="64" t="n"/>
      <c r="F43" s="64" t="n"/>
      <c r="G43" s="64" t="n"/>
      <c r="H43" s="64" t="n"/>
      <c r="I43" s="64" t="n"/>
      <c r="J43" s="64" t="n"/>
      <c r="K43" s="64" t="n"/>
      <c r="L43" s="63" t="n"/>
      <c r="M43" s="8" t="inlineStr">
        <is>
          <t>134 differ</t>
        </is>
      </c>
      <c r="N43" s="63" t="n"/>
    </row>
    <row r="44" ht="15" customHeight="1">
      <c r="A44" s="14" t="inlineStr">
        <is>
          <t>Close call</t>
        </is>
      </c>
      <c r="B44" s="9" t="inlineStr">
        <is>
          <t>The score decided the level and sits within ±0.05 of a rounding point. Sent to the calibration panel.</t>
        </is>
      </c>
      <c r="C44" s="64" t="n"/>
      <c r="D44" s="64" t="n"/>
      <c r="E44" s="64" t="n"/>
      <c r="F44" s="64" t="n"/>
      <c r="G44" s="64" t="n"/>
      <c r="H44" s="64" t="n"/>
      <c r="I44" s="64" t="n"/>
      <c r="J44" s="64" t="n"/>
      <c r="K44" s="64" t="n"/>
      <c r="L44" s="63" t="n"/>
      <c r="M44" s="8" t="n">
        <v>38</v>
      </c>
      <c r="N44" s="63" t="n"/>
    </row>
    <row r="45" ht="28" customHeight="1">
      <c r="A45" s="14" t="inlineStr">
        <is>
          <t>Near a gate</t>
        </is>
      </c>
      <c r="B45" s="9" t="inlineStr">
        <is>
          <t>A rule set the level, and the number behind that rule is within a quarter-point of flipping it. Sent to the calibration panel.</t>
        </is>
      </c>
      <c r="C45" s="64" t="n"/>
      <c r="D45" s="64" t="n"/>
      <c r="E45" s="64" t="n"/>
      <c r="F45" s="64" t="n"/>
      <c r="G45" s="64" t="n"/>
      <c r="H45" s="64" t="n"/>
      <c r="I45" s="64" t="n"/>
      <c r="J45" s="64" t="n"/>
      <c r="K45" s="64" t="n"/>
      <c r="L45" s="63" t="n"/>
      <c r="M45" s="8" t="n">
        <v>30</v>
      </c>
      <c r="N45" s="63" t="n"/>
    </row>
    <row r="46" ht="15" customHeight="1">
      <c r="A46" s="14" t="inlineStr">
        <is>
          <t>Not scored</t>
        </is>
      </c>
      <c r="B46" s="9" t="inlineStr">
        <is>
          <t>Interns and first-year trainees, consultants and anyone with incomplete ratings are placed by rule.</t>
        </is>
      </c>
      <c r="C46" s="64" t="n"/>
      <c r="D46" s="64" t="n"/>
      <c r="E46" s="64" t="n"/>
      <c r="F46" s="64" t="n"/>
      <c r="G46" s="64" t="n"/>
      <c r="H46" s="64" t="n"/>
      <c r="I46" s="64" t="n"/>
      <c r="J46" s="64" t="n"/>
      <c r="K46" s="64" t="n"/>
      <c r="L46" s="63" t="n"/>
      <c r="M46" s="8" t="n">
        <v>46</v>
      </c>
      <c r="N46" s="63" t="n"/>
    </row>
  </sheetData>
  <mergeCells count="102">
    <mergeCell ref="D18:G18"/>
    <mergeCell ref="H35:I35"/>
    <mergeCell ref="M43:N43"/>
    <mergeCell ref="A39:N39"/>
    <mergeCell ref="A21:C21"/>
    <mergeCell ref="D36:E36"/>
    <mergeCell ref="E8:F8"/>
    <mergeCell ref="A13:D13"/>
    <mergeCell ref="D20:G20"/>
    <mergeCell ref="G6:N6"/>
    <mergeCell ref="D22:G22"/>
    <mergeCell ref="A26:N26"/>
    <mergeCell ref="D21:G21"/>
    <mergeCell ref="A7:D7"/>
    <mergeCell ref="H37:I37"/>
    <mergeCell ref="M45:N45"/>
    <mergeCell ref="B40:L40"/>
    <mergeCell ref="B31:G31"/>
    <mergeCell ref="H17:N17"/>
    <mergeCell ref="B35:C35"/>
    <mergeCell ref="B41:L41"/>
    <mergeCell ref="D35:E35"/>
    <mergeCell ref="E12:F12"/>
    <mergeCell ref="H19:N19"/>
    <mergeCell ref="H28:N28"/>
    <mergeCell ref="D34:E34"/>
    <mergeCell ref="F34:G34"/>
    <mergeCell ref="M44:N44"/>
    <mergeCell ref="A1:N1"/>
    <mergeCell ref="G8:N8"/>
    <mergeCell ref="H34:I34"/>
    <mergeCell ref="A9:D9"/>
    <mergeCell ref="J34:K34"/>
    <mergeCell ref="H29:N29"/>
    <mergeCell ref="G10:N10"/>
    <mergeCell ref="D19:G19"/>
    <mergeCell ref="H36:I36"/>
    <mergeCell ref="A11:D11"/>
    <mergeCell ref="J36:K36"/>
    <mergeCell ref="A3:N3"/>
    <mergeCell ref="H31:N31"/>
    <mergeCell ref="B37:C37"/>
    <mergeCell ref="D37:E37"/>
    <mergeCell ref="H21:N21"/>
    <mergeCell ref="M41:N41"/>
    <mergeCell ref="A5:N5"/>
    <mergeCell ref="B27:G27"/>
    <mergeCell ref="H16:N16"/>
    <mergeCell ref="A16:C16"/>
    <mergeCell ref="A8:D8"/>
    <mergeCell ref="G12:N12"/>
    <mergeCell ref="H22:N22"/>
    <mergeCell ref="A18:C18"/>
    <mergeCell ref="A10:D10"/>
    <mergeCell ref="B29:G29"/>
    <mergeCell ref="B43:L43"/>
    <mergeCell ref="G7:N7"/>
    <mergeCell ref="H30:N30"/>
    <mergeCell ref="A22:C22"/>
    <mergeCell ref="A25:N25"/>
    <mergeCell ref="E13:F13"/>
    <mergeCell ref="H20:N20"/>
    <mergeCell ref="F36:G36"/>
    <mergeCell ref="B42:L42"/>
    <mergeCell ref="A20:C20"/>
    <mergeCell ref="M40:N40"/>
    <mergeCell ref="J35:K35"/>
    <mergeCell ref="E6:F6"/>
    <mergeCell ref="L35:M35"/>
    <mergeCell ref="B44:L44"/>
    <mergeCell ref="B34:C34"/>
    <mergeCell ref="A2:N2"/>
    <mergeCell ref="D17:G17"/>
    <mergeCell ref="E7:F7"/>
    <mergeCell ref="A12:D12"/>
    <mergeCell ref="G9:N9"/>
    <mergeCell ref="H27:N27"/>
    <mergeCell ref="G11:N11"/>
    <mergeCell ref="A15:N15"/>
    <mergeCell ref="J37:K37"/>
    <mergeCell ref="B46:L46"/>
    <mergeCell ref="L37:M37"/>
    <mergeCell ref="H18:N18"/>
    <mergeCell ref="B28:G28"/>
    <mergeCell ref="E10:F10"/>
    <mergeCell ref="A17:C17"/>
    <mergeCell ref="G13:N13"/>
    <mergeCell ref="B30:G30"/>
    <mergeCell ref="E9:F9"/>
    <mergeCell ref="F35:G35"/>
    <mergeCell ref="A19:C19"/>
    <mergeCell ref="A6:D6"/>
    <mergeCell ref="M46:N46"/>
    <mergeCell ref="E11:F11"/>
    <mergeCell ref="M42:N42"/>
    <mergeCell ref="A33:N33"/>
    <mergeCell ref="F37:G37"/>
    <mergeCell ref="L34:M34"/>
    <mergeCell ref="D16:G16"/>
    <mergeCell ref="B36:C36"/>
    <mergeCell ref="L36:M36"/>
    <mergeCell ref="B45:L45"/>
  </mergeCells>
  <hyperlinks>
    <hyperlink xmlns:r="http://schemas.openxmlformats.org/officeDocument/2006/relationships" ref="O1" r:id="rId1"/>
  </hyperlinks>
  <pageMargins left="0.4" right="0.4" top="0.5" bottom="0.5" header="0.5" footer="0.5"/>
  <pageSetup orientation="landscape" fitToHeight="0" fitToWidth="1"/>
  <headerFooter>
    <oddHeader/>
    <oddFooter>&amp;LIRIS · Job Architecture &amp; Job Design · Final v1.12 · October 2026 · Internal — Confidential&amp;RPage &amp;P of &amp;N</oddFooter>
    <evenHeader/>
    <evenFooter/>
    <firstHeader/>
    <firstFooter/>
  </headerFooter>
</worksheet>
</file>

<file path=xl/worksheets/sheet27.xml><?xml version="1.0" encoding="utf-8"?>
<worksheet xmlns="http://schemas.openxmlformats.org/spreadsheetml/2006/main">
  <sheetPr>
    <tabColor rgb="00C55A11"/>
    <outlinePr summaryBelow="1" summaryRight="1"/>
    <pageSetUpPr fitToPage="1"/>
  </sheetPr>
  <dimension ref="A1:AW201"/>
  <sheetViews>
    <sheetView showGridLines="0" zoomScale="85" workbookViewId="0">
      <pane xSplit="4" ySplit="6" topLeftCell="E7"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18" customWidth="1" min="2" max="2"/>
    <col width="22" customWidth="1" min="3" max="3"/>
    <col width="6" customWidth="1" min="4" max="4"/>
    <col width="14" customWidth="1" min="5" max="5"/>
    <col width="9" customWidth="1" min="6" max="6"/>
    <col width="28" customWidth="1" min="7" max="7"/>
    <col width="7" customWidth="1" min="8" max="8"/>
    <col width="18" customWidth="1" min="9" max="9"/>
    <col width="44" customWidth="1" min="10" max="10"/>
    <col width="40" customWidth="1" min="11" max="11"/>
    <col width="32" customWidth="1" min="12" max="12"/>
    <col width="30" customWidth="1" min="13" max="13"/>
    <col width="30" customWidth="1" min="14" max="14"/>
    <col width="34" customWidth="1" min="15" max="15"/>
    <col width="28" customWidth="1" min="16" max="16"/>
    <col width="26" customWidth="1" min="17" max="17"/>
    <col width="26" customWidth="1" min="18" max="18"/>
    <col width="24" customWidth="1" min="19" max="19"/>
    <col width="22" customWidth="1" min="20" max="20"/>
    <col width="22" customWidth="1" min="21" max="21"/>
    <col width="22" customWidth="1" min="22" max="22"/>
    <col width="10" customWidth="1" min="23" max="23"/>
    <col width="22" customWidth="1" min="24" max="24"/>
    <col width="20" customWidth="1" min="25" max="25"/>
    <col width="18" customWidth="1" min="26" max="26"/>
    <col width="22" customWidth="1" min="27" max="27"/>
    <col width="30" customWidth="1" min="28" max="28"/>
    <col width="30" customWidth="1" min="29" max="29"/>
    <col width="9" customWidth="1" min="30" max="30"/>
    <col width="8" customWidth="1" min="31" max="31"/>
    <col width="34" customWidth="1" min="32" max="32"/>
    <col width="26" customWidth="1" min="33" max="33"/>
    <col width="26" customWidth="1" min="34" max="34"/>
    <col width="28" customWidth="1" min="35" max="35"/>
    <col width="26" customWidth="1" min="36" max="36"/>
    <col width="24" customWidth="1" min="37" max="37"/>
    <col width="26" customWidth="1" min="38" max="38"/>
    <col width="26" customWidth="1" min="39" max="39"/>
    <col width="24" customWidth="1" min="40" max="40"/>
    <col width="34" customWidth="1" min="41" max="41"/>
    <col width="22" customWidth="1" min="42" max="42"/>
    <col width="32" customWidth="1" min="43" max="43"/>
    <col width="28" customWidth="1" min="44" max="44"/>
    <col width="28" customWidth="1" min="45" max="45"/>
    <col width="30" customWidth="1" min="46" max="46"/>
    <col width="22" customWidth="1" min="47" max="47"/>
    <col width="22" customWidth="1" min="48" max="48"/>
    <col width="13" customWidth="1" min="49" max="49"/>
  </cols>
  <sheetData>
    <row r="1" ht="34" customHeight="1">
      <c r="A1" s="1" t="inlineStr">
        <is>
          <t>Role Catalogue — family → sub-family → level · bottom to top</t>
        </is>
      </c>
      <c r="AW1" s="99" t="inlineStr">
        <is>
          <t>◂ Contents</t>
        </is>
      </c>
    </row>
    <row r="2" ht="30" customHeight="1">
      <c r="A2" s="3" t="inlineStr">
        <is>
          <t>Sheet 2 · One row per catalogue role. Columns: the role, what it is for and does · holders' own inputs where anonymous, what the level requires, capability, market and career, learning and the voice of the role, and the evidence basis.</t>
        </is>
      </c>
    </row>
    <row r="3">
      <c r="A3" s="4" t="inlineStr">
        <is>
          <t>IRIS · Job Architecture &amp; Job Design · Final v1.12 · October 2026 · Internal — Confidential</t>
        </is>
      </c>
    </row>
    <row r="4"/>
    <row r="5" ht="32" customHeight="1">
      <c r="A5" s="80" t="inlineStr">
        <is>
          <t>ROLE</t>
        </is>
      </c>
      <c r="J5" s="81" t="inlineStr">
        <is>
          <t>PURPOSE &amp; RESPONSIBILITIES · catalogue text + common themes from role-holders' own answers</t>
        </is>
      </c>
      <c r="R5" s="82" t="inlineStr">
        <is>
          <t>WHAT THE LEVEL REQUIRES · framework standard</t>
        </is>
      </c>
      <c r="AA5" s="83" t="inlineStr">
        <is>
          <t>CAPABILITY</t>
        </is>
      </c>
      <c r="AD5" s="84" t="inlineStr">
        <is>
          <t>MARKET &amp; CAREER</t>
        </is>
      </c>
      <c r="AI5" s="85" t="inlineStr">
        <is>
          <t>LEARNING &amp; VOICE OF THE ROLE · counted themes — never quoted</t>
        </is>
      </c>
      <c r="AO5" s="86" t="inlineStr">
        <is>
          <t>DISCIPLINE DETAIL — from IRIS Career Architecture V2 · HR research, adopted 7 Oct 2026; comparable stage by scope, not a grade</t>
        </is>
      </c>
      <c r="AU5" s="87" t="inlineStr">
        <is>
          <t>EVIDENCE</t>
        </is>
      </c>
    </row>
    <row r="6" ht="46" customHeight="1">
      <c r="A6" s="76" t="inlineStr">
        <is>
          <t>Catalogue ID</t>
        </is>
      </c>
      <c r="B6" s="76" t="inlineStr">
        <is>
          <t>Job family</t>
        </is>
      </c>
      <c r="C6" s="76" t="inlineStr">
        <is>
          <t>Sub-family</t>
        </is>
      </c>
      <c r="D6" s="76" t="inlineStr">
        <is>
          <t>Level</t>
        </is>
      </c>
      <c r="E6" s="76" t="inlineStr">
        <is>
          <t>Level title</t>
        </is>
      </c>
      <c r="F6" s="76" t="inlineStr">
        <is>
          <t>Track</t>
        </is>
      </c>
      <c r="G6" s="76" t="inlineStr">
        <is>
          <t>Designations used at IRIS</t>
        </is>
      </c>
      <c r="H6" s="76" t="inlineStr">
        <is>
          <t>Holders</t>
        </is>
      </c>
      <c r="I6" s="76" t="inlineStr">
        <is>
          <t>Holders by business</t>
        </is>
      </c>
      <c r="J6" s="7" t="inlineStr">
        <is>
          <t>Purpose</t>
        </is>
      </c>
      <c r="K6" s="7" t="inlineStr">
        <is>
          <t>Key responsibilities</t>
        </is>
      </c>
      <c r="L6" s="7" t="inlineStr">
        <is>
          <t>Deliverables</t>
        </is>
      </c>
      <c r="M6" s="7" t="inlineStr">
        <is>
          <t>Accountable for</t>
        </is>
      </c>
      <c r="N6" s="7" t="inlineStr">
        <is>
          <t>Decision rights</t>
        </is>
      </c>
      <c r="O6" s="7" t="inlineStr">
        <is>
          <t>Manager-set KRAs · common themes</t>
        </is>
      </c>
      <c r="P6" s="7" t="inlineStr">
        <is>
          <t>Skills &amp; knowledge · counts</t>
        </is>
      </c>
      <c r="Q6" s="7" t="inlineStr">
        <is>
          <t>Tools &amp; platforms · counts</t>
        </is>
      </c>
      <c r="R6" s="88" t="inlineStr">
        <is>
          <t>What the role owns</t>
        </is>
      </c>
      <c r="S6" s="88" t="inlineStr">
        <is>
          <t>Complexity &amp; expertise</t>
        </is>
      </c>
      <c r="T6" s="88" t="inlineStr">
        <is>
          <t>Autonomy &amp; decisions</t>
        </is>
      </c>
      <c r="U6" s="88" t="inlineStr">
        <is>
          <t>Accountability &amp; impact</t>
        </is>
      </c>
      <c r="V6" s="88" t="inlineStr">
        <is>
          <t>Leadership</t>
        </is>
      </c>
      <c r="W6" s="88" t="inlineStr">
        <is>
          <t>Experience · guide</t>
        </is>
      </c>
      <c r="X6" s="88" t="inlineStr">
        <is>
          <t>Education</t>
        </is>
      </c>
      <c r="Y6" s="88" t="inlineStr">
        <is>
          <t>Credentials</t>
        </is>
      </c>
      <c r="Z6" s="88" t="inlineStr">
        <is>
          <t>Span of control</t>
        </is>
      </c>
      <c r="AA6" s="89" t="inlineStr">
        <is>
          <t>Proficiency by cluster</t>
        </is>
      </c>
      <c r="AB6" s="89" t="inlineStr">
        <is>
          <t>★ Must-have competencies</t>
        </is>
      </c>
      <c r="AC6" s="89" t="inlineStr">
        <is>
          <t>Other functional competencies</t>
        </is>
      </c>
      <c r="AD6" s="90" t="inlineStr">
        <is>
          <t>Radford / Mercer</t>
        </is>
      </c>
      <c r="AE6" s="90" t="inlineStr">
        <is>
          <t>SFIA 9</t>
        </is>
      </c>
      <c r="AF6" s="90" t="inlineStr">
        <is>
          <t>Peer equivalents</t>
        </is>
      </c>
      <c r="AG6" s="90" t="inlineStr">
        <is>
          <t>Professional standard</t>
        </is>
      </c>
      <c r="AH6" s="90" t="inlineStr">
        <is>
          <t>Next step</t>
        </is>
      </c>
      <c r="AI6" s="91" t="inlineStr">
        <is>
          <t>Learning needs · topics, people</t>
        </is>
      </c>
      <c r="AJ6" s="91" t="inlineStr">
        <is>
          <t>Manager-identified training</t>
        </is>
      </c>
      <c r="AK6" s="91" t="inlineStr">
        <is>
          <t>What helped people learn</t>
        </is>
      </c>
      <c r="AL6" s="91" t="inlineStr">
        <is>
          <t>What slows the role down · themes</t>
        </is>
      </c>
      <c r="AM6" s="91" t="inlineStr">
        <is>
          <t>If one thing could change · themes</t>
        </is>
      </c>
      <c r="AN6" s="91" t="inlineStr">
        <is>
          <t>How the role is changing</t>
        </is>
      </c>
      <c r="AO6" s="92" t="inlineStr">
        <is>
          <t>Family boundary · purpose · includes · excludes</t>
        </is>
      </c>
      <c r="AP6" s="92" t="inlineStr">
        <is>
          <t>Comparable V2 stage · external research label</t>
        </is>
      </c>
      <c r="AQ6" s="92" t="inlineStr">
        <is>
          <t>Discipline work expectation</t>
        </is>
      </c>
      <c r="AR6" s="92" t="inlineStr">
        <is>
          <t>Readiness evidence</t>
        </is>
      </c>
      <c r="AS6" s="92" t="inlineStr">
        <is>
          <t>Typical work sample</t>
        </is>
      </c>
      <c r="AT6" s="92" t="inlineStr">
        <is>
          <t>Peer evidence · observed titles</t>
        </is>
      </c>
      <c r="AU6" s="93" t="inlineStr">
        <is>
          <t>Evidence basis for purpose and responsibilities</t>
        </is>
      </c>
      <c r="AV6" s="93" t="inlineStr">
        <is>
          <t>Respondents</t>
        </is>
      </c>
    </row>
    <row r="7">
      <c r="A7" s="94" t="inlineStr">
        <is>
          <t>Administration, Legal &amp; Secretarial — 6 roles · 9 people</t>
        </is>
      </c>
    </row>
    <row r="8" ht="171" customHeight="1">
      <c r="A8" s="17" t="inlineStr">
        <is>
          <t>RC-001</t>
        </is>
      </c>
      <c r="B8" s="9" t="inlineStr">
        <is>
          <t>Administration, Legal &amp; Secretarial</t>
        </is>
      </c>
      <c r="C8" s="9" t="inlineStr">
        <is>
          <t>Administration &amp; Facilities</t>
        </is>
      </c>
      <c r="D8" s="18" t="inlineStr">
        <is>
          <t>A3</t>
        </is>
      </c>
      <c r="E8" s="19" t="inlineStr">
        <is>
          <t>Senior Associate</t>
        </is>
      </c>
      <c r="F8" s="9" t="inlineStr">
        <is>
          <t>IC</t>
        </is>
      </c>
      <c r="G8" s="9" t="inlineStr">
        <is>
          <t>Senior Administration Executive</t>
        </is>
      </c>
      <c r="H8" s="8" t="n">
        <v>4</v>
      </c>
      <c r="I8" s="9" t="inlineStr">
        <is>
          <t>Corporate 4</t>
        </is>
      </c>
      <c r="J8" s="9" t="inlineStr">
        <is>
          <t>Manages travel, facilities, office administration and vendors. At A3: varied work; reviews juniors; go-to for a process.</t>
        </is>
      </c>
      <c r="K8" s="9" t="inlineStr">
        <is>
          <t>Manages travel, facilities, office administration and vendors; Varied and non-standard work; handles exceptions; A module / process, or work with client or regulatory consequences</t>
        </is>
      </c>
      <c r="L8" s="9" t="inlineStr">
        <is>
          <t>A module / process, or work with client or regulatory consequences</t>
        </is>
      </c>
      <c r="M8" s="9" t="inlineStr">
        <is>
          <t>A module / process, or work with client or regulatory consequences</t>
        </is>
      </c>
      <c r="N8" s="9" t="inlineStr">
        <is>
          <t>Technical / QC / client calls on own work</t>
        </is>
      </c>
      <c r="O8" s="9" t="inlineStr">
        <is>
          <t>—</t>
        </is>
      </c>
      <c r="P8" s="9" t="inlineStr">
        <is>
          <t>Administration</t>
        </is>
      </c>
      <c r="Q8" s="9" t="inlineStr">
        <is>
          <t>—</t>
        </is>
      </c>
      <c r="R8" s="9" t="inlineStr">
        <is>
          <t>Varied work; reviews juniors; go-to for a process</t>
        </is>
      </c>
      <c r="S8" s="9" t="inlineStr">
        <is>
          <t>Varied and non-standard work; handles exceptions</t>
        </is>
      </c>
      <c r="T8" s="9" t="inlineStr">
        <is>
          <t>Technical / QC / client calls on own work</t>
        </is>
      </c>
      <c r="U8" s="9" t="inlineStr">
        <is>
          <t>A module / process, or work with client or regulatory consequences</t>
        </is>
      </c>
      <c r="V8" s="9" t="inlineStr">
        <is>
          <t>Not scored in Band A</t>
        </is>
      </c>
      <c r="W8" s="9" t="inlineStr">
        <is>
          <t>2–4 yrs</t>
        </is>
      </c>
      <c r="X8" s="9" t="inlineStr">
        <is>
          <t>Graduate; relevant certification preferred</t>
        </is>
      </c>
      <c r="Y8" s="9" t="inlineStr">
        <is>
          <t>Domain certifications · optional</t>
        </is>
      </c>
      <c r="Z8" s="9" t="inlineStr">
        <is>
          <t>None · guides 1–3 juniors informally</t>
        </is>
      </c>
      <c r="AA8" s="9" t="inlineStr">
        <is>
          <t>Core 2 · Future-ready 2 · Functional 3 · Leadership —</t>
        </is>
      </c>
      <c r="AB8" s="9" t="inlineStr">
        <is>
          <t>Regulatory &amp; BFSI Domain · Stakeholder &amp; Client Management</t>
        </is>
      </c>
      <c r="AC8" s="9" t="inlineStr">
        <is>
          <t>Process Improvement &amp; Quality Mindset · Advanced Excel &amp; Productivity Tools · Communication &amp; Presentation · Time, Priority &amp; Self-Management</t>
        </is>
      </c>
      <c r="AD8" s="8" t="inlineStr">
        <is>
          <t>P2</t>
        </is>
      </c>
      <c r="AE8" s="8" t="inlineStr">
        <is>
          <t>3 Apply</t>
        </is>
      </c>
      <c r="AF8" s="9" t="inlineStr">
        <is>
          <t>IRIS Vs Competitor Benchmark — corporate services ladder: Senior Executive</t>
        </is>
      </c>
      <c r="AG8" s="9" t="inlineStr">
        <is>
          <t>ICSI · Company Secretary; Companies Act 2013; IFMA · facilities; CIPS · procurement</t>
        </is>
      </c>
      <c r="AH8" s="9" t="inlineStr">
        <is>
          <t>B1 · Specialist</t>
        </is>
      </c>
      <c r="AI8" s="9" t="inlineStr">
        <is>
          <t>Data, SQL &amp; analytics</t>
        </is>
      </c>
      <c r="AJ8" s="9" t="inlineStr">
        <is>
          <t>—</t>
        </is>
      </c>
      <c r="AK8" s="9" t="inlineStr">
        <is>
          <t>—</t>
        </is>
      </c>
      <c r="AL8" s="9" t="inlineStr">
        <is>
          <t>—</t>
        </is>
      </c>
      <c r="AM8" s="9" t="inlineStr">
        <is>
          <t>—</t>
        </is>
      </c>
      <c r="AN8" s="9" t="inlineStr">
        <is>
          <t>—</t>
        </is>
      </c>
      <c r="AO8" s="9" t="inlineStr">
        <is>
          <r>
            <rPr>
              <rFont val="Calibri"/>
              <b val="1"/>
              <sz val="10"/>
            </rPr>
            <t>Administration &amp; Workplace:</t>
          </r>
          <r>
            <rPr>
              <rFont val="Calibri"/>
              <sz val="10"/>
            </rPr>
            <t xml:space="preserve"> Provide reliable workplace services. Includes: Facilities, office services and workplace planning. Excludes: Strategic procurement; enterprise operating leadership.
</t>
          </r>
          <r>
            <rPr>
              <rFont val="Calibri"/>
              <b val="1"/>
              <sz val="10"/>
            </rPr>
            <t>Legal &amp; Corporate Governance:</t>
          </r>
          <r>
            <rPr>
              <rFont val="Calibri"/>
              <sz val="10"/>
            </rPr>
            <t xml:space="preserve"> Provide legal advice and governance support. Includes: Commercial legal and company-secretarial/governance professions. Excludes: Internal audit assurance; generic administrative filing.</t>
          </r>
        </is>
      </c>
      <c r="AP8" s="9" t="inlineStr">
        <is>
          <t>ADM01-2 · Workplace / Facilities Coordinator</t>
        </is>
      </c>
      <c r="AQ8" s="9" t="inlineStr">
        <is>
          <t>Coordinate workplace services, vendors and issue resolution.</t>
        </is>
      </c>
      <c r="AR8" s="9" t="inlineStr">
        <is>
          <t>Demonstrate routine delivery plus judgement in bounded exceptions.</t>
        </is>
      </c>
      <c r="AS8" s="9" t="inlineStr">
        <is>
          <t>A workplace service plan with vendor controls, risk assessment and service measures</t>
        </is>
      </c>
      <c r="AT8" s="9" t="inlineStr">
        <is>
          <r>
            <rPr>
              <rFont val="Calibri"/>
              <b val="1"/>
              <sz val="10"/>
            </rPr>
            <t>Workiva:</t>
          </r>
          <r>
            <rPr>
              <rFont val="Calibri"/>
              <sz val="10"/>
            </rPr>
            <t xml:space="preserve"> Senior AV Engineer · Related work. Gap: Vendor coordination without purchasing authority is informative but not facilities leadership</t>
          </r>
        </is>
      </c>
      <c r="AU8" s="57" t="inlineStr">
        <is>
          <t>Framework only · fewer than 3 answered</t>
        </is>
      </c>
      <c r="AV8" s="9" t="inlineStr">
        <is>
          <t>4 holders, 1 answered the survey; sub-family 2 answered</t>
        </is>
      </c>
    </row>
    <row r="9" ht="171" customHeight="1">
      <c r="A9" s="17" t="inlineStr">
        <is>
          <t>RC-002</t>
        </is>
      </c>
      <c r="B9" s="9" t="inlineStr">
        <is>
          <t>Administration, Legal &amp; Secretarial</t>
        </is>
      </c>
      <c r="C9" s="9" t="inlineStr">
        <is>
          <t>Administration &amp; Facilities</t>
        </is>
      </c>
      <c r="D9" s="21" t="inlineStr">
        <is>
          <t>B2</t>
        </is>
      </c>
      <c r="E9" s="22" t="inlineStr">
        <is>
          <t>Manager</t>
        </is>
      </c>
      <c r="F9" s="9" t="inlineStr">
        <is>
          <t>Manager</t>
        </is>
      </c>
      <c r="G9" s="9" t="inlineStr">
        <is>
          <t>Manager – Administration</t>
        </is>
      </c>
      <c r="H9" s="8" t="n">
        <v>1</v>
      </c>
      <c r="I9" s="9" t="inlineStr">
        <is>
          <t>Corporate 1</t>
        </is>
      </c>
      <c r="J9" s="9" t="inlineStr">
        <is>
          <t>Manages travel, facilities, office administration and vendors. At B2: deep domain expertise, or one team.</t>
        </is>
      </c>
      <c r="K9" s="9" t="inlineStr">
        <is>
          <t>Manages travel, facilities, office administration and vendors; Hardest problems in the domain; One team or a client portfolio</t>
        </is>
      </c>
      <c r="L9" s="9" t="inlineStr">
        <is>
          <t>One team or a client portfolio</t>
        </is>
      </c>
      <c r="M9" s="9" t="inlineStr">
        <is>
          <t>One team or a client portfolio</t>
        </is>
      </c>
      <c r="N9" s="9" t="inlineStr">
        <is>
          <t>Allocates people and sets team priorities</t>
        </is>
      </c>
      <c r="O9" s="9" t="inlineStr">
        <is>
          <t>—</t>
        </is>
      </c>
      <c r="P9" s="9" t="inlineStr">
        <is>
          <t>Administration</t>
        </is>
      </c>
      <c r="Q9" s="9" t="inlineStr">
        <is>
          <t>—</t>
        </is>
      </c>
      <c r="R9" s="9" t="inlineStr">
        <is>
          <t>Deep domain expertise, or one team</t>
        </is>
      </c>
      <c r="S9" s="9" t="inlineStr">
        <is>
          <t>Hardest problems in the domain</t>
        </is>
      </c>
      <c r="T9" s="9" t="inlineStr">
        <is>
          <t>Allocates people and sets team priorities</t>
        </is>
      </c>
      <c r="U9" s="9" t="inlineStr">
        <is>
          <t>One team or a client portfolio</t>
        </is>
      </c>
      <c r="V9" s="9" t="inlineStr">
        <is>
          <r>
            <rPr>
              <rFont val="Calibri"/>
              <b val="1"/>
              <sz val="10"/>
            </rPr>
            <t>IC:</t>
          </r>
          <r>
            <rPr>
              <rFont val="Calibri"/>
              <sz val="10"/>
            </rPr>
            <t xml:space="preserve"> guides others in the domain · People: manages a team of 6+</t>
          </r>
        </is>
      </c>
      <c r="W9" s="9" t="inlineStr">
        <is>
          <t>6–9 yrs</t>
        </is>
      </c>
      <c r="X9" s="9" t="inlineStr">
        <is>
          <t>Graduate or postgraduate; professional qualification preferred</t>
        </is>
      </c>
      <c r="Y9" s="9" t="inlineStr">
        <is>
          <t>Domain certifications · optional</t>
        </is>
      </c>
      <c r="Z9" s="9" t="inlineStr">
        <is>
          <r>
            <rPr>
              <rFont val="Calibri"/>
              <b val="1"/>
              <sz val="10"/>
            </rPr>
            <t>IC:</t>
          </r>
          <r>
            <rPr>
              <rFont val="Calibri"/>
              <sz val="10"/>
            </rPr>
            <t xml:space="preserve"> none · People: 6–8 knowledge work, 8–12 standardised delivery</t>
          </r>
        </is>
      </c>
      <c r="AA9" s="9" t="inlineStr">
        <is>
          <t>Core 3 · Future-ready 3 · Functional 4 · Leadership 3</t>
        </is>
      </c>
      <c r="AB9" s="9" t="inlineStr">
        <is>
          <t>Regulatory &amp; BFSI Domain · Stakeholder &amp; Client Management</t>
        </is>
      </c>
      <c r="AC9" s="9" t="inlineStr">
        <is>
          <t>Process Improvement &amp; Quality Mindset · Advanced Excel &amp; Productivity Tools · Communication &amp; Presentation · Time, Priority &amp; Self-Management</t>
        </is>
      </c>
      <c r="AD9" s="8" t="inlineStr">
        <is>
          <t>P4 / M3</t>
        </is>
      </c>
      <c r="AE9" s="8" t="inlineStr">
        <is>
          <t>4–5</t>
        </is>
      </c>
      <c r="AF9" s="9" t="inlineStr">
        <is>
          <t>IRIS Vs Competitor Benchmark — corporate services ladder: Manager</t>
        </is>
      </c>
      <c r="AG9" s="9" t="inlineStr">
        <is>
          <t>ICSI · Company Secretary; Companies Act 2013; IFMA · facilities; CIPS · procurement</t>
        </is>
      </c>
      <c r="AH9" s="9" t="inlineStr">
        <is>
          <t>B3 · Lead Specialist</t>
        </is>
      </c>
      <c r="AI9" s="9" t="inlineStr">
        <is>
          <t>Strategy &amp; business acumen · Broader exposure &amp; ownership</t>
        </is>
      </c>
      <c r="AJ9" s="9" t="inlineStr">
        <is>
          <t>—</t>
        </is>
      </c>
      <c r="AK9" s="9" t="inlineStr">
        <is>
          <t>—</t>
        </is>
      </c>
      <c r="AL9" s="9" t="inlineStr">
        <is>
          <t>—</t>
        </is>
      </c>
      <c r="AM9" s="9" t="inlineStr">
        <is>
          <t>—</t>
        </is>
      </c>
      <c r="AN9" s="9" t="inlineStr">
        <is>
          <t>—</t>
        </is>
      </c>
      <c r="AO9" s="9" t="inlineStr">
        <is>
          <r>
            <rPr>
              <rFont val="Calibri"/>
              <b val="1"/>
              <sz val="10"/>
            </rPr>
            <t>Administration &amp; Workplace:</t>
          </r>
          <r>
            <rPr>
              <rFont val="Calibri"/>
              <sz val="10"/>
            </rPr>
            <t xml:space="preserve"> Provide reliable workplace services. Includes: Facilities, office services and workplace planning. Excludes: Strategic procurement; enterprise operating leadership.
</t>
          </r>
          <r>
            <rPr>
              <rFont val="Calibri"/>
              <b val="1"/>
              <sz val="10"/>
            </rPr>
            <t>Legal &amp; Corporate Governance:</t>
          </r>
          <r>
            <rPr>
              <rFont val="Calibri"/>
              <sz val="10"/>
            </rPr>
            <t xml:space="preserve"> Provide legal advice and governance support. Includes: Commercial legal and company-secretarial/governance professions. Excludes: Internal audit assurance; generic administrative filing.</t>
          </r>
        </is>
      </c>
      <c r="AP9" s="9" t="inlineStr">
        <is>
          <t>LD16-1 · Facilities / Workplace Manager</t>
        </is>
      </c>
      <c r="AQ9" s="9" t="inlineStr">
        <is>
          <t>Own staffing decisions, performance support, service quality and delegated team resources</t>
        </is>
      </c>
      <c r="AR9" s="9" t="inlineStr">
        <is>
          <t>Do not manufacture three reporting layers. Choose roles the organisation needs. A specialist may remain on an equally valued expert path.</t>
        </is>
      </c>
      <c r="AS9" s="9" t="inlineStr">
        <is>
          <t>—</t>
        </is>
      </c>
      <c r="AT9" s="9" t="inlineStr">
        <is>
          <t>—</t>
        </is>
      </c>
      <c r="AU9" s="57" t="inlineStr">
        <is>
          <t>Framework only · fewer than 3 answered</t>
        </is>
      </c>
      <c r="AV9" s="9" t="inlineStr">
        <is>
          <t>1 holder, 1 answered the survey; sub-family 2 answered</t>
        </is>
      </c>
    </row>
    <row r="10" ht="171" customHeight="1">
      <c r="A10" s="17" t="inlineStr">
        <is>
          <t>RC-003</t>
        </is>
      </c>
      <c r="B10" s="9" t="inlineStr">
        <is>
          <t>Administration, Legal &amp; Secretarial</t>
        </is>
      </c>
      <c r="C10" s="9" t="inlineStr">
        <is>
          <t>Administration &amp; Facilities</t>
        </is>
      </c>
      <c r="D10" s="39" t="inlineStr">
        <is>
          <t>X1</t>
        </is>
      </c>
      <c r="E10" s="40" t="inlineStr">
        <is>
          <t>Associate Consultant</t>
        </is>
      </c>
      <c r="F10" s="9" t="inlineStr">
        <is>
          <t>IC</t>
        </is>
      </c>
      <c r="G10" s="9" t="inlineStr">
        <is>
          <t>Associate Consultant – Administration &amp; Facilities</t>
        </is>
      </c>
      <c r="H10" s="8" t="n">
        <v>1</v>
      </c>
      <c r="I10" s="9" t="inlineStr">
        <is>
          <t>Corporate 1</t>
        </is>
      </c>
      <c r="J10" s="9" t="inlineStr">
        <is>
          <t>Manages travel, facilities, office administration and vendors. At X1: defined deliverables under a statement of work · ≈ A2–A3.</t>
        </is>
      </c>
      <c r="K10" s="9" t="inlineStr">
        <is>
          <t>Manages travel, facilities, office administration and vendors</t>
        </is>
      </c>
      <c r="L10" s="9" t="inlineStr">
        <is>
          <t>Manages travel, facilities, office administration and vendors.</t>
        </is>
      </c>
      <c r="M10" s="9" t="inlineStr">
        <is>
          <t>Deliverables under the statement of work</t>
        </is>
      </c>
      <c r="N10" s="9" t="inlineStr">
        <is>
          <t>Within the statement of work</t>
        </is>
      </c>
      <c r="O10" s="9" t="inlineStr">
        <is>
          <t>—</t>
        </is>
      </c>
      <c r="P10" s="9" t="inlineStr">
        <is>
          <t>Administration</t>
        </is>
      </c>
      <c r="Q10" s="9" t="inlineStr">
        <is>
          <t>—</t>
        </is>
      </c>
      <c r="R10" s="9" t="inlineStr">
        <is>
          <t>Defined deliverables under a statement of work · ≈ A2–A3</t>
        </is>
      </c>
      <c r="S10" s="9" t="inlineStr">
        <is>
          <t>—</t>
        </is>
      </c>
      <c r="T10" s="9" t="inlineStr">
        <is>
          <t>—</t>
        </is>
      </c>
      <c r="U10" s="9" t="inlineStr">
        <is>
          <t>—</t>
        </is>
      </c>
      <c r="V10" s="9" t="inlineStr">
        <is>
          <t>—</t>
        </is>
      </c>
      <c r="W10" s="9" t="inlineStr">
        <is>
          <t>0–5 yrs</t>
        </is>
      </c>
      <c r="X10" s="9" t="inlineStr">
        <is>
          <t>As for equivalent role</t>
        </is>
      </c>
      <c r="Y10" s="9" t="inlineStr">
        <is>
          <t>Domain certifications · optional</t>
        </is>
      </c>
      <c r="Z10" s="9" t="inlineStr">
        <is>
          <t>Not counted in spans</t>
        </is>
      </c>
      <c r="AA10" s="9" t="inlineStr">
        <is>
          <t>Per statement of work</t>
        </is>
      </c>
      <c r="AB10" s="9" t="inlineStr">
        <is>
          <t>Regulatory &amp; BFSI Domain · Stakeholder &amp; Client Management</t>
        </is>
      </c>
      <c r="AC10" s="9" t="inlineStr">
        <is>
          <t>Process Improvement &amp; Quality Mindset · Advanced Excel &amp; Productivity Tools · Communication &amp; Presentation · Time, Priority &amp; Self-Management</t>
        </is>
      </c>
      <c r="AD10" s="8" t="inlineStr">
        <is>
          <t>Contractor</t>
        </is>
      </c>
      <c r="AE10" s="8" t="inlineStr">
        <is>
          <t>—</t>
        </is>
      </c>
      <c r="AF10" s="9" t="inlineStr">
        <is>
          <t>—</t>
        </is>
      </c>
      <c r="AG10" s="9" t="inlineStr">
        <is>
          <t>ICSI · Company Secretary; Companies Act 2013; IFMA · facilities; CIPS · procurement</t>
        </is>
      </c>
      <c r="AH10" s="9" t="inlineStr">
        <is>
          <t>—</t>
        </is>
      </c>
      <c r="AI10" s="9" t="inlineStr">
        <is>
          <t>—</t>
        </is>
      </c>
      <c r="AJ10" s="9" t="inlineStr">
        <is>
          <t>—</t>
        </is>
      </c>
      <c r="AK10" s="9" t="inlineStr">
        <is>
          <t>—</t>
        </is>
      </c>
      <c r="AL10" s="9" t="inlineStr">
        <is>
          <t>—</t>
        </is>
      </c>
      <c r="AM10" s="9" t="inlineStr">
        <is>
          <t>—</t>
        </is>
      </c>
      <c r="AN10" s="9" t="inlineStr">
        <is>
          <t>—</t>
        </is>
      </c>
      <c r="AO10" s="9" t="inlineStr">
        <is>
          <r>
            <rPr>
              <rFont val="Calibri"/>
              <b val="1"/>
              <sz val="10"/>
            </rPr>
            <t>Administration &amp; Workplace:</t>
          </r>
          <r>
            <rPr>
              <rFont val="Calibri"/>
              <sz val="10"/>
            </rPr>
            <t xml:space="preserve"> Provide reliable workplace services. Includes: Facilities, office services and workplace planning. Excludes: Strategic procurement; enterprise operating leadership.
</t>
          </r>
          <r>
            <rPr>
              <rFont val="Calibri"/>
              <b val="1"/>
              <sz val="10"/>
            </rPr>
            <t>Legal &amp; Corporate Governance:</t>
          </r>
          <r>
            <rPr>
              <rFont val="Calibri"/>
              <sz val="10"/>
            </rPr>
            <t xml:space="preserve"> Provide legal advice and governance support. Includes: Commercial legal and company-secretarial/governance professions. Excludes: Internal audit assurance; generic administrative filing.</t>
          </r>
        </is>
      </c>
      <c r="AP10" s="9" t="inlineStr">
        <is>
          <t>—</t>
        </is>
      </c>
      <c r="AQ10" s="9" t="inlineStr">
        <is>
          <t>—</t>
        </is>
      </c>
      <c r="AR10" s="9" t="inlineStr">
        <is>
          <t>—</t>
        </is>
      </c>
      <c r="AS10" s="9" t="inlineStr">
        <is>
          <t>—</t>
        </is>
      </c>
      <c r="AT10" s="9" t="inlineStr">
        <is>
          <t>—</t>
        </is>
      </c>
      <c r="AU10" s="57" t="inlineStr">
        <is>
          <t>Framework only · fewer than 3 answered</t>
        </is>
      </c>
      <c r="AV10" s="9" t="inlineStr">
        <is>
          <t>1 holder, 0 answered the survey; sub-family 2 answered</t>
        </is>
      </c>
    </row>
    <row r="11" ht="171" customHeight="1">
      <c r="A11" s="17" t="inlineStr">
        <is>
          <t>RC-004</t>
        </is>
      </c>
      <c r="B11" s="9" t="inlineStr">
        <is>
          <t>Administration, Legal &amp; Secretarial</t>
        </is>
      </c>
      <c r="C11" s="9" t="inlineStr">
        <is>
          <t>Company Secretarial &amp; Legal</t>
        </is>
      </c>
      <c r="D11" s="18" t="inlineStr">
        <is>
          <t>A1</t>
        </is>
      </c>
      <c r="E11" s="19" t="inlineStr">
        <is>
          <t>Intern / Trainee</t>
        </is>
      </c>
      <c r="F11" s="9" t="inlineStr">
        <is>
          <t>IC</t>
        </is>
      </c>
      <c r="G11" s="9" t="inlineStr">
        <is>
          <t>Intern – Company Secretarial &amp; Legal</t>
        </is>
      </c>
      <c r="H11" s="8" t="n">
        <v>1</v>
      </c>
      <c r="I11" s="9" t="inlineStr">
        <is>
          <t>Corporate 1</t>
        </is>
      </c>
      <c r="J11" s="9" t="inlineStr">
        <is>
          <t>Handles statutory filings, board matters, contracts and legal compliance. At A1: learning the role; all work reviewed.</t>
        </is>
      </c>
      <c r="K11" s="9" t="inlineStr">
        <is>
          <t>Handles statutory filings, board matters, contracts and legal compliance; Learning; follows worked examples; Learning tasks</t>
        </is>
      </c>
      <c r="L11" s="9" t="inlineStr">
        <is>
          <t>Learning tasks</t>
        </is>
      </c>
      <c r="M11" s="9" t="inlineStr">
        <is>
          <t>Learning tasks</t>
        </is>
      </c>
      <c r="N11" s="9" t="inlineStr">
        <is>
          <t>Needs approval / close guidance</t>
        </is>
      </c>
      <c r="O11" s="9" t="inlineStr">
        <is>
          <t>—</t>
        </is>
      </c>
      <c r="P11" s="9" t="inlineStr">
        <is>
          <t>Secretarial · Legal</t>
        </is>
      </c>
      <c r="Q11" s="9" t="inlineStr">
        <is>
          <t>—</t>
        </is>
      </c>
      <c r="R11" s="9" t="inlineStr">
        <is>
          <t>Learning the role; all work reviewed</t>
        </is>
      </c>
      <c r="S11" s="9" t="inlineStr">
        <is>
          <t>Learning; follows worked examples</t>
        </is>
      </c>
      <c r="T11" s="9" t="inlineStr">
        <is>
          <t>Needs approval / close guidance</t>
        </is>
      </c>
      <c r="U11" s="9" t="inlineStr">
        <is>
          <t>Learning tasks</t>
        </is>
      </c>
      <c r="V11" s="9" t="inlineStr">
        <is>
          <t>Not scored in Band A</t>
        </is>
      </c>
      <c r="W11" s="9" t="inlineStr">
        <is>
          <t>0 yrs · fresher / intern</t>
        </is>
      </c>
      <c r="X11" s="9" t="inlineStr">
        <is>
          <t>Pursuing or completed graduation / diploma</t>
        </is>
      </c>
      <c r="Y11" s="9" t="inlineStr">
        <is>
          <t>Domain certifications · optional</t>
        </is>
      </c>
      <c r="Z11" s="9" t="inlineStr">
        <is>
          <t>No direct reports</t>
        </is>
      </c>
      <c r="AA11" s="9" t="inlineStr">
        <is>
          <t>Core 1 · Future-ready 1 · Functional 1 · Leadership —</t>
        </is>
      </c>
      <c r="AB11" s="9" t="inlineStr">
        <is>
          <t>Regulatory &amp; BFSI Domain · Stakeholder &amp; Client Management</t>
        </is>
      </c>
      <c r="AC11" s="9" t="inlineStr">
        <is>
          <t>Process Improvement &amp; Quality Mindset · Advanced Excel &amp; Productivity Tools · Communication &amp; Presentation · Time, Priority &amp; Self-Management</t>
        </is>
      </c>
      <c r="AD11" s="8" t="inlineStr">
        <is>
          <t>Entry / P1 · intern</t>
        </is>
      </c>
      <c r="AE11" s="8" t="inlineStr">
        <is>
          <t>1 Follow</t>
        </is>
      </c>
      <c r="AF11" s="9" t="inlineStr">
        <is>
          <t>IRIS Vs Competitor Benchmark — corporate services ladder: Trainee</t>
        </is>
      </c>
      <c r="AG11" s="9" t="inlineStr">
        <is>
          <t>ICSI · Company Secretary; Companies Act 2013; IFMA · facilities; CIPS · procurement</t>
        </is>
      </c>
      <c r="AH11" s="9" t="inlineStr">
        <is>
          <t>A2 · Associate</t>
        </is>
      </c>
      <c r="AI11" s="9" t="inlineStr">
        <is>
          <t>Domain, regulatory &amp; XBRL · Broader exposure &amp; ownership</t>
        </is>
      </c>
      <c r="AJ11" s="9" t="inlineStr">
        <is>
          <t>—</t>
        </is>
      </c>
      <c r="AK11" s="9" t="inlineStr">
        <is>
          <t>—</t>
        </is>
      </c>
      <c r="AL11" s="9" t="inlineStr">
        <is>
          <t>—</t>
        </is>
      </c>
      <c r="AM11" s="9" t="inlineStr">
        <is>
          <t>—</t>
        </is>
      </c>
      <c r="AN11" s="9" t="inlineStr">
        <is>
          <t>—</t>
        </is>
      </c>
      <c r="AO11" s="9" t="inlineStr">
        <is>
          <r>
            <rPr>
              <rFont val="Calibri"/>
              <b val="1"/>
              <sz val="10"/>
            </rPr>
            <t>Administration &amp; Workplace:</t>
          </r>
          <r>
            <rPr>
              <rFont val="Calibri"/>
              <sz val="10"/>
            </rPr>
            <t xml:space="preserve"> Provide reliable workplace services. Includes: Facilities, office services and workplace planning. Excludes: Strategic procurement; enterprise operating leadership.
</t>
          </r>
          <r>
            <rPr>
              <rFont val="Calibri"/>
              <b val="1"/>
              <sz val="10"/>
            </rPr>
            <t>Legal &amp; Corporate Governance:</t>
          </r>
          <r>
            <rPr>
              <rFont val="Calibri"/>
              <sz val="10"/>
            </rPr>
            <t xml:space="preserve"> Provide legal advice and governance support. Includes: Commercial legal and company-secretarial/governance professions. Excludes: Internal audit assurance; generic administrative filing.</t>
          </r>
        </is>
      </c>
      <c r="AP11" s="9" t="inlineStr">
        <is>
          <t>LEG01-0 · Secretarial Intern</t>
        </is>
      </c>
      <c r="AQ11" s="9" t="inlineStr">
        <is>
          <r>
            <rPr>
              <rFont val="Calibri"/>
              <b val="1"/>
              <sz val="10"/>
            </rPr>
            <t>Assist with a supervised work sample:</t>
          </r>
          <r>
            <rPr>
              <rFont val="Calibri"/>
              <sz val="10"/>
            </rPr>
            <t xml:space="preserve"> maintain governance records and coordinate prescribed processes.</t>
          </r>
        </is>
      </c>
      <c r="AR11" s="9" t="inlineStr">
        <is>
          <t>Reviewed learning assignment; no independent material sign-off.</t>
        </is>
      </c>
      <c r="AS11" s="9" t="inlineStr">
        <is>
          <t>A board-cycle and compliance pack with accurate records and escalation of material issues</t>
        </is>
      </c>
      <c r="AT11" s="9" t="inlineStr">
        <is>
          <r>
            <rPr>
              <rFont val="Calibri"/>
              <b val="1"/>
              <sz val="10"/>
            </rPr>
            <t>SAP:</t>
          </r>
          <r>
            <rPr>
              <rFont val="Calibri"/>
              <sz val="10"/>
            </rPr>
            <t xml:space="preserve"> Legal counsel · Adjacent sector, related profession. Gap: Privacy counsel is not company-secretarial work; separate professional pathway retained</t>
          </r>
        </is>
      </c>
      <c r="AU11" s="57" t="inlineStr">
        <is>
          <t>Framework only · fewer than 3 answered</t>
        </is>
      </c>
      <c r="AV11" s="9" t="inlineStr">
        <is>
          <t>1 holder, 1 answered the survey; sub-family 2 answered</t>
        </is>
      </c>
    </row>
    <row r="12" ht="171" customHeight="1">
      <c r="A12" s="17" t="inlineStr">
        <is>
          <t>RC-005</t>
        </is>
      </c>
      <c r="B12" s="9" t="inlineStr">
        <is>
          <t>Administration, Legal &amp; Secretarial</t>
        </is>
      </c>
      <c r="C12" s="9" t="inlineStr">
        <is>
          <t>Company Secretarial &amp; Legal</t>
        </is>
      </c>
      <c r="D12" s="18" t="inlineStr">
        <is>
          <t>A3</t>
        </is>
      </c>
      <c r="E12" s="19" t="inlineStr">
        <is>
          <t>Senior Associate</t>
        </is>
      </c>
      <c r="F12" s="9" t="inlineStr">
        <is>
          <t>IC</t>
        </is>
      </c>
      <c r="G12" s="9" t="inlineStr">
        <is>
          <t>Senior Secretarial Executive</t>
        </is>
      </c>
      <c r="H12" s="8" t="n">
        <v>1</v>
      </c>
      <c r="I12" s="9" t="inlineStr">
        <is>
          <t>Corporate 1</t>
        </is>
      </c>
      <c r="J12" s="9" t="inlineStr">
        <is>
          <t>Handles statutory filings, board matters, contracts and legal compliance. At A3: varied work; reviews juniors; go-to for a process.</t>
        </is>
      </c>
      <c r="K12" s="9" t="inlineStr">
        <is>
          <t>Handles statutory filings, board matters, contracts and legal compliance; Varied and non-standard work; handles exceptions; A module / process, or work with client or regulatory consequences</t>
        </is>
      </c>
      <c r="L12" s="9" t="inlineStr">
        <is>
          <t>A module / process, or work with client or regulatory consequences</t>
        </is>
      </c>
      <c r="M12" s="9" t="inlineStr">
        <is>
          <t>A module / process, or work with client or regulatory consequences</t>
        </is>
      </c>
      <c r="N12" s="9" t="inlineStr">
        <is>
          <t>Technical / QC / client calls on own work</t>
        </is>
      </c>
      <c r="O12" s="9" t="inlineStr">
        <is>
          <t>—</t>
        </is>
      </c>
      <c r="P12" s="9" t="inlineStr">
        <is>
          <t>Secretarial · Legal</t>
        </is>
      </c>
      <c r="Q12" s="9" t="inlineStr">
        <is>
          <t>—</t>
        </is>
      </c>
      <c r="R12" s="9" t="inlineStr">
        <is>
          <t>Varied work; reviews juniors; go-to for a process</t>
        </is>
      </c>
      <c r="S12" s="9" t="inlineStr">
        <is>
          <t>Varied and non-standard work; handles exceptions</t>
        </is>
      </c>
      <c r="T12" s="9" t="inlineStr">
        <is>
          <t>Technical / QC / client calls on own work</t>
        </is>
      </c>
      <c r="U12" s="9" t="inlineStr">
        <is>
          <t>A module / process, or work with client or regulatory consequences</t>
        </is>
      </c>
      <c r="V12" s="9" t="inlineStr">
        <is>
          <t>Not scored in Band A</t>
        </is>
      </c>
      <c r="W12" s="9" t="inlineStr">
        <is>
          <t>2–4 yrs</t>
        </is>
      </c>
      <c r="X12" s="9" t="inlineStr">
        <is>
          <t>Graduate; relevant certification preferred</t>
        </is>
      </c>
      <c r="Y12" s="9" t="inlineStr">
        <is>
          <t>Domain certifications · optional</t>
        </is>
      </c>
      <c r="Z12" s="9" t="inlineStr">
        <is>
          <t>None · guides 1–3 juniors informally</t>
        </is>
      </c>
      <c r="AA12" s="9" t="inlineStr">
        <is>
          <t>Core 2 · Future-ready 2 · Functional 3 · Leadership —</t>
        </is>
      </c>
      <c r="AB12" s="9" t="inlineStr">
        <is>
          <t>Regulatory &amp; BFSI Domain · Stakeholder &amp; Client Management</t>
        </is>
      </c>
      <c r="AC12" s="9" t="inlineStr">
        <is>
          <t>Process Improvement &amp; Quality Mindset · Advanced Excel &amp; Productivity Tools · Communication &amp; Presentation · Time, Priority &amp; Self-Management</t>
        </is>
      </c>
      <c r="AD12" s="8" t="inlineStr">
        <is>
          <t>P2</t>
        </is>
      </c>
      <c r="AE12" s="8" t="inlineStr">
        <is>
          <t>3 Apply</t>
        </is>
      </c>
      <c r="AF12" s="9" t="inlineStr">
        <is>
          <t>IRIS Vs Competitor Benchmark — corporate services ladder: Senior Executive</t>
        </is>
      </c>
      <c r="AG12" s="9" t="inlineStr">
        <is>
          <t>ICSI · Company Secretary; Companies Act 2013; IFMA · facilities; CIPS · procurement</t>
        </is>
      </c>
      <c r="AH12" s="9" t="inlineStr">
        <is>
          <t>B1 · Specialist</t>
        </is>
      </c>
      <c r="AI12" s="9" t="inlineStr">
        <is>
          <t>Leadership &amp; people management · Domain, regulatory &amp; XBRL · Client, sales &amp; stakeholders · Strategy &amp; business acumen · Broader exposure &amp; ownership</t>
        </is>
      </c>
      <c r="AJ12" s="9" t="inlineStr">
        <is>
          <t>—</t>
        </is>
      </c>
      <c r="AK12" s="9" t="inlineStr">
        <is>
          <t>—</t>
        </is>
      </c>
      <c r="AL12" s="9" t="inlineStr">
        <is>
          <t>—</t>
        </is>
      </c>
      <c r="AM12" s="9" t="inlineStr">
        <is>
          <t>—</t>
        </is>
      </c>
      <c r="AN12" s="9" t="inlineStr">
        <is>
          <t>—</t>
        </is>
      </c>
      <c r="AO12" s="9" t="inlineStr">
        <is>
          <r>
            <rPr>
              <rFont val="Calibri"/>
              <b val="1"/>
              <sz val="10"/>
            </rPr>
            <t>Administration &amp; Workplace:</t>
          </r>
          <r>
            <rPr>
              <rFont val="Calibri"/>
              <sz val="10"/>
            </rPr>
            <t xml:space="preserve"> Provide reliable workplace services. Includes: Facilities, office services and workplace planning. Excludes: Strategic procurement; enterprise operating leadership.
</t>
          </r>
          <r>
            <rPr>
              <rFont val="Calibri"/>
              <b val="1"/>
              <sz val="10"/>
            </rPr>
            <t>Legal &amp; Corporate Governance:</t>
          </r>
          <r>
            <rPr>
              <rFont val="Calibri"/>
              <sz val="10"/>
            </rPr>
            <t xml:space="preserve"> Provide legal advice and governance support. Includes: Commercial legal and company-secretarial/governance professions. Excludes: Internal audit assurance; generic administrative filing.</t>
          </r>
        </is>
      </c>
      <c r="AP12" s="9" t="inlineStr">
        <is>
          <t>LEG01-2 · Governance Executive</t>
        </is>
      </c>
      <c r="AQ12" s="9" t="inlineStr">
        <is>
          <t>Maintain governance records and coordinate prescribed processes.</t>
        </is>
      </c>
      <c r="AR12" s="9" t="inlineStr">
        <is>
          <t>Demonstrate routine delivery plus judgement in bounded exceptions.</t>
        </is>
      </c>
      <c r="AS12" s="9" t="inlineStr">
        <is>
          <t>A board-cycle and compliance pack with accurate records and escalation of material issues</t>
        </is>
      </c>
      <c r="AT12" s="9" t="inlineStr">
        <is>
          <r>
            <rPr>
              <rFont val="Calibri"/>
              <b val="1"/>
              <sz val="10"/>
            </rPr>
            <t>SAP:</t>
          </r>
          <r>
            <rPr>
              <rFont val="Calibri"/>
              <sz val="10"/>
            </rPr>
            <t xml:space="preserve"> Legal counsel · Adjacent sector, related profession. Gap: Privacy counsel is not company-secretarial work; separate professional pathway retained</t>
          </r>
        </is>
      </c>
      <c r="AU12" s="57" t="inlineStr">
        <is>
          <t>Framework only · fewer than 3 answered</t>
        </is>
      </c>
      <c r="AV12" s="9" t="inlineStr">
        <is>
          <t>1 holder, 1 answered the survey; sub-family 2 answered</t>
        </is>
      </c>
    </row>
    <row r="13" ht="171" customHeight="1">
      <c r="A13" s="17" t="inlineStr">
        <is>
          <t>RC-006</t>
        </is>
      </c>
      <c r="B13" s="9" t="inlineStr">
        <is>
          <t>Administration, Legal &amp; Secretarial</t>
        </is>
      </c>
      <c r="C13" s="9" t="inlineStr">
        <is>
          <t>Company Secretarial &amp; Legal</t>
        </is>
      </c>
      <c r="D13" s="27" t="inlineStr">
        <is>
          <t>C1</t>
        </is>
      </c>
      <c r="E13" s="28" t="inlineStr">
        <is>
          <t>Principal</t>
        </is>
      </c>
      <c r="F13" s="9" t="inlineStr">
        <is>
          <t>IC</t>
        </is>
      </c>
      <c r="G13" s="9" t="inlineStr">
        <is>
          <t>Company Secretary – POD Lead</t>
        </is>
      </c>
      <c r="H13" s="8" t="n">
        <v>1</v>
      </c>
      <c r="I13" s="9" t="inlineStr">
        <is>
          <t>Corporate 1</t>
        </is>
      </c>
      <c r="J13" s="9" t="inlineStr">
        <is>
          <t>Handles statutory filings, board matters, contracts and legal compliance. At C1: a sub-function, or principal authority across products.</t>
        </is>
      </c>
      <c r="K13" s="9" t="inlineStr">
        <is>
          <t>Handles statutory filings, board matters, contracts and legal compliance; Ambiguous, cross-product problems; Sub-function results or domain quality across products</t>
        </is>
      </c>
      <c r="L13" s="9" t="inlineStr">
        <is>
          <t>Sub-function results or domain quality across products</t>
        </is>
      </c>
      <c r="M13" s="9" t="inlineStr">
        <is>
          <t>Sub-function results or domain quality across products</t>
        </is>
      </c>
      <c r="N13" s="9" t="inlineStr">
        <is>
          <t>Sets direction for a sub-function or domain</t>
        </is>
      </c>
      <c r="O13" s="9" t="inlineStr">
        <is>
          <t>—</t>
        </is>
      </c>
      <c r="P13" s="9" t="inlineStr">
        <is>
          <t>Secretarial · Legal</t>
        </is>
      </c>
      <c r="Q13" s="9" t="inlineStr">
        <is>
          <t>—</t>
        </is>
      </c>
      <c r="R13" s="9" t="inlineStr">
        <is>
          <t>A sub-function, or principal authority across products</t>
        </is>
      </c>
      <c r="S13" s="9" t="inlineStr">
        <is>
          <t>Ambiguous, cross-product problems</t>
        </is>
      </c>
      <c r="T13" s="9" t="inlineStr">
        <is>
          <t>Sets direction for a sub-function or domain</t>
        </is>
      </c>
      <c r="U13" s="9" t="inlineStr">
        <is>
          <t>Sub-function results or domain quality across products</t>
        </is>
      </c>
      <c r="V13" s="9" t="inlineStr">
        <is>
          <t>Leads managers or a community of practice</t>
        </is>
      </c>
      <c r="W13" s="9" t="inlineStr">
        <is>
          <t>10–14 yrs</t>
        </is>
      </c>
      <c r="X13" s="9" t="inlineStr">
        <is>
          <t>Postgraduate / professional qualification preferred</t>
        </is>
      </c>
      <c r="Y13" s="9" t="inlineStr">
        <is>
          <t>Domain certifications · optional</t>
        </is>
      </c>
      <c r="Z13" s="9" t="inlineStr">
        <is>
          <t>5–8, mostly managers</t>
        </is>
      </c>
      <c r="AA13" s="9" t="inlineStr">
        <is>
          <t>Core 4 · Future-ready 4 · Functional 4 · Leadership 4</t>
        </is>
      </c>
      <c r="AB13" s="9" t="inlineStr">
        <is>
          <t>Regulatory &amp; BFSI Domain · Stakeholder &amp; Client Management</t>
        </is>
      </c>
      <c r="AC13" s="9" t="inlineStr">
        <is>
          <t>Process Improvement &amp; Quality Mindset · Advanced Excel &amp; Productivity Tools · Communication &amp; Presentation · Time, Priority &amp; Self-Management</t>
        </is>
      </c>
      <c r="AD13" s="8" t="inlineStr">
        <is>
          <t>P6 / M5</t>
        </is>
      </c>
      <c r="AE13" s="8" t="inlineStr">
        <is>
          <t>5–6</t>
        </is>
      </c>
      <c r="AF13" s="9" t="inlineStr">
        <is>
          <t>IRIS Vs Competitor Benchmark — corporate services ladder: Company Secretary</t>
        </is>
      </c>
      <c r="AG13" s="9" t="inlineStr">
        <is>
          <t>ICSI · Company Secretary; Companies Act 2013; IFMA · facilities; CIPS · procurement</t>
        </is>
      </c>
      <c r="AH13" s="9" t="inlineStr">
        <is>
          <t>C2 · Senior Principal / Architect</t>
        </is>
      </c>
      <c r="AI13" s="9" t="inlineStr">
        <is>
          <t>—</t>
        </is>
      </c>
      <c r="AJ13" s="9" t="inlineStr">
        <is>
          <t>—</t>
        </is>
      </c>
      <c r="AK13" s="9" t="inlineStr">
        <is>
          <t>—</t>
        </is>
      </c>
      <c r="AL13" s="9" t="inlineStr">
        <is>
          <t>—</t>
        </is>
      </c>
      <c r="AM13" s="9" t="inlineStr">
        <is>
          <t>—</t>
        </is>
      </c>
      <c r="AN13" s="9" t="inlineStr">
        <is>
          <t>—</t>
        </is>
      </c>
      <c r="AO13" s="9" t="inlineStr">
        <is>
          <r>
            <rPr>
              <rFont val="Calibri"/>
              <b val="1"/>
              <sz val="10"/>
            </rPr>
            <t>Administration &amp; Workplace:</t>
          </r>
          <r>
            <rPr>
              <rFont val="Calibri"/>
              <sz val="10"/>
            </rPr>
            <t xml:space="preserve"> Provide reliable workplace services. Includes: Facilities, office services and workplace planning. Excludes: Strategic procurement; enterprise operating leadership.
</t>
          </r>
          <r>
            <rPr>
              <rFont val="Calibri"/>
              <b val="1"/>
              <sz val="10"/>
            </rPr>
            <t>Legal &amp; Corporate Governance:</t>
          </r>
          <r>
            <rPr>
              <rFont val="Calibri"/>
              <sz val="10"/>
            </rPr>
            <t xml:space="preserve"> Provide legal advice and governance support. Includes: Commercial legal and company-secretarial/governance professions. Excludes: Internal audit assurance; generic administrative filing.</t>
          </r>
        </is>
      </c>
      <c r="AP13" s="9" t="inlineStr">
        <is>
          <t>LEG01-5 · Company Secretary · appointed role</t>
        </is>
      </c>
      <c r="AQ13" s="9" t="inlineStr">
        <is>
          <t>Own the governance advisory mandate and board interface after required appointment checks, across multiple products, units or a wider professional mandate.</t>
        </is>
      </c>
      <c r="AR13" s="9" t="inlineStr">
        <is>
          <t>Sustained cross-domain mandate and evidence of enterprise-relevant decisions; not simply a new title.</t>
        </is>
      </c>
      <c r="AS13" s="9" t="inlineStr">
        <is>
          <t>A board-cycle and compliance pack with accurate records and escalation of material issues</t>
        </is>
      </c>
      <c r="AT13" s="9" t="inlineStr">
        <is>
          <r>
            <rPr>
              <rFont val="Calibri"/>
              <b val="1"/>
              <sz val="10"/>
            </rPr>
            <t>SAP:</t>
          </r>
          <r>
            <rPr>
              <rFont val="Calibri"/>
              <sz val="10"/>
            </rPr>
            <t xml:space="preserve"> Legal counsel · Adjacent sector, related profession. Gap: Privacy counsel is not company-secretarial work; separate professional pathway retained</t>
          </r>
        </is>
      </c>
      <c r="AU13" s="57" t="inlineStr">
        <is>
          <t>Framework only · fewer than 3 answered</t>
        </is>
      </c>
      <c r="AV13" s="9" t="inlineStr">
        <is>
          <t>1 holder, 0 answered the survey; sub-family 2 answered</t>
        </is>
      </c>
    </row>
    <row r="14">
      <c r="A14" s="94" t="inlineStr">
        <is>
          <t>Business Analysis — 6 roles · 29 people</t>
        </is>
      </c>
    </row>
    <row r="15" ht="145" customHeight="1">
      <c r="A15" s="17" t="inlineStr">
        <is>
          <t>RC-007</t>
        </is>
      </c>
      <c r="B15" s="9" t="inlineStr">
        <is>
          <t>Business Analysis</t>
        </is>
      </c>
      <c r="C15" s="9" t="inlineStr">
        <is>
          <t>Business Analysis</t>
        </is>
      </c>
      <c r="D15" s="18" t="inlineStr">
        <is>
          <t>A1</t>
        </is>
      </c>
      <c r="E15" s="19" t="inlineStr">
        <is>
          <t>Intern / Trainee</t>
        </is>
      </c>
      <c r="F15" s="9" t="inlineStr">
        <is>
          <t>IC</t>
        </is>
      </c>
      <c r="G15" s="9" t="inlineStr">
        <is>
          <t>Trainee Business Analyst</t>
        </is>
      </c>
      <c r="H15" s="8" t="n">
        <v>1</v>
      </c>
      <c r="I15" s="9" t="inlineStr">
        <is>
          <t>iFile 1</t>
        </is>
      </c>
      <c r="J15" s="9" t="inlineStr">
        <is>
          <r>
            <rPr>
              <rFont val="Calibri"/>
              <sz val="10"/>
            </rPr>
            <t xml:space="preserve">Gathers and documents requirements · BRD/FRD/SRS/user stories, configures solutions and supports UAT and releases. At A1: learning the role; all work reviewed.
</t>
          </r>
          <r>
            <rPr>
              <rFont val="Calibri"/>
              <b val="1"/>
              <sz val="10"/>
            </rPr>
            <t>Common themes in sub-family holders, all levels' answers:</t>
          </r>
          <r>
            <rPr>
              <rFont val="Calibri"/>
              <sz val="10"/>
            </rPr>
            <t xml:space="preserve"> business · requirements · bridge · analyst · between · technical</t>
          </r>
        </is>
      </c>
      <c r="K15" s="9" t="inlineStr">
        <is>
          <r>
            <rPr>
              <rFont val="Calibri"/>
              <sz val="10"/>
            </rPr>
            <t xml:space="preserve">Gathers and documents requirements · BRD/FRD/SRS/user stories, configures solutions and supports UAT and releases; Learning; follows worked examples; Learning tasks
</t>
          </r>
          <r>
            <rPr>
              <rFont val="Calibri"/>
              <b val="1"/>
              <sz val="10"/>
            </rPr>
            <t>Common themes in sub-family holders, all levels' answers:</t>
          </r>
          <r>
            <rPr>
              <rFont val="Calibri"/>
              <sz val="10"/>
            </rPr>
            <t xml:space="preserve"> requirement · documentation · stakeholder · client · gathering · analysis</t>
          </r>
        </is>
      </c>
      <c r="L15" s="9" t="inlineStr">
        <is>
          <r>
            <rPr>
              <rFont val="Calibri"/>
              <sz val="10"/>
            </rPr>
            <t xml:space="preserve">Learning tasks
</t>
          </r>
          <r>
            <rPr>
              <rFont val="Calibri"/>
              <b val="1"/>
              <sz val="10"/>
            </rPr>
            <t>Common themes in sub-family holders, all levels' answers:</t>
          </r>
          <r>
            <rPr>
              <rFont val="Calibri"/>
              <sz val="10"/>
            </rPr>
            <t xml:space="preserve"> product · user stories · requirements · process · client · deliver</t>
          </r>
        </is>
      </c>
      <c r="M15" s="9" t="inlineStr">
        <is>
          <r>
            <rPr>
              <rFont val="Calibri"/>
              <sz val="10"/>
            </rPr>
            <t xml:space="preserve">Learning tasks
</t>
          </r>
          <r>
            <rPr>
              <rFont val="Calibri"/>
              <b val="1"/>
              <sz val="10"/>
            </rPr>
            <t>Common themes in sub-family holders, all levels' answers:</t>
          </r>
          <r>
            <rPr>
              <rFont val="Calibri"/>
              <sz val="10"/>
            </rPr>
            <t xml:space="preserve"> requirements · accountable · documentation · delivery · am · business</t>
          </r>
        </is>
      </c>
      <c r="N15" s="9" t="inlineStr">
        <is>
          <r>
            <rPr>
              <rFont val="Calibri"/>
              <sz val="10"/>
            </rPr>
            <t xml:space="preserve">Needs approval / close guidance
</t>
          </r>
          <r>
            <rPr>
              <rFont val="Calibri"/>
              <b val="1"/>
              <sz val="10"/>
            </rPr>
            <t>Common themes in sub-family holders, all levels' answers:</t>
          </r>
          <r>
            <rPr>
              <rFont val="Calibri"/>
              <sz val="10"/>
            </rPr>
            <t xml:space="preserve"> requirements · user · documentation · process · stories · assign</t>
          </r>
        </is>
      </c>
      <c r="O15" s="9" t="inlineStr">
        <is>
          <t>—</t>
        </is>
      </c>
      <c r="P15" s="9" t="inlineStr">
        <is>
          <t>Business Analysis · Documentation · Requirement analysis · Stakeholder Management · communication · XBRL · Requirement Elicitation · generative AI</t>
        </is>
      </c>
      <c r="Q15" s="9" t="inlineStr">
        <is>
          <t>Excel · Figma · Quickscrum · Word · Jira · Claude · XBRL · Copilot</t>
        </is>
      </c>
      <c r="R15" s="9" t="inlineStr">
        <is>
          <t>Learning the role; all work reviewed</t>
        </is>
      </c>
      <c r="S15" s="9" t="inlineStr">
        <is>
          <t>Learning; follows worked examples</t>
        </is>
      </c>
      <c r="T15" s="9" t="inlineStr">
        <is>
          <t>Needs approval / close guidance</t>
        </is>
      </c>
      <c r="U15" s="9" t="inlineStr">
        <is>
          <t>Learning tasks</t>
        </is>
      </c>
      <c r="V15" s="9" t="inlineStr">
        <is>
          <t>Not scored in Band A</t>
        </is>
      </c>
      <c r="W15" s="9" t="inlineStr">
        <is>
          <t>0 yrs · fresher / intern</t>
        </is>
      </c>
      <c r="X15" s="9" t="inlineStr">
        <is>
          <t>Pursuing or completed graduation / diploma</t>
        </is>
      </c>
      <c r="Y15" s="9" t="inlineStr">
        <is>
          <t>CBAP / CCBA · optional; Domain certifications · optional</t>
        </is>
      </c>
      <c r="Z15" s="9" t="inlineStr">
        <is>
          <t>No direct reports</t>
        </is>
      </c>
      <c r="AA15" s="9" t="inlineStr">
        <is>
          <t>Core 1 · Future-ready 1 · Functional 1 · Leadership —</t>
        </is>
      </c>
      <c r="AB15" s="9" t="inlineStr">
        <is>
          <t>Business Analysis &amp; Requirements Engineering · Regulatory &amp; BFSI Domain</t>
        </is>
      </c>
      <c r="AC15" s="9" t="inlineStr">
        <is>
          <t>Product, Platform &amp; Domain Knowledge · Database, SQL &amp; Data Engineering · Stakeholder &amp; Client Management · Communication &amp; Presentation</t>
        </is>
      </c>
      <c r="AD15" s="8" t="inlineStr">
        <is>
          <t>Entry / P1 · intern</t>
        </is>
      </c>
      <c r="AE15" s="8" t="inlineStr">
        <is>
          <t>1 Follow</t>
        </is>
      </c>
      <c r="AF15" s="9" t="inlineStr">
        <is>
          <t>—</t>
        </is>
      </c>
      <c r="AG15" s="9" t="inlineStr">
        <is>
          <t>IIBA BABOK v3; certifications ECBA · entry → CCBA → CBAP · senior</t>
        </is>
      </c>
      <c r="AH15" s="9" t="inlineStr">
        <is>
          <t>A2 · Associate</t>
        </is>
      </c>
      <c r="AI15" s="9" t="inlineStr">
        <is>
          <t>Strategy &amp; business acumen</t>
        </is>
      </c>
      <c r="AJ15" s="9" t="inlineStr">
        <is>
          <t>Requirement engineering &amp; BRD writing; Agile/Scrum; domain · RegTech/XBRL knowledge; stakeholder management | Transition to leadership: people management &amp; delegation, mentoring/coaching, project ownership &amp; stakeholder management, prioritisation under ambiguity, presentation &amp; influence skills</t>
        </is>
      </c>
      <c r="AK15" s="9" t="inlineStr">
        <is>
          <t>Mentoring / guidance from seniors · Formal / classroom training · On-the-job / hands-on · Online courses / self-learning</t>
        </is>
      </c>
      <c r="AL15" s="9" t="inlineStr">
        <is>
          <t>changing · requirements · dependencies · priorities · dependent</t>
        </is>
      </c>
      <c r="AM15" s="9" t="inlineStr">
        <is>
          <t>requirements · coordination · clearer · delivery · decisions</t>
        </is>
      </c>
      <c r="AN15" s="9" t="inlineStr">
        <is>
          <t>19 of 26 say the role is changing because of AI / automation</t>
        </is>
      </c>
      <c r="AO15" s="9" t="inlineStr">
        <is>
          <t>Define business needs and evaluate solutions. Includes: Elicitation, process analysis, traceability and solution evaluation. Excludes: Product investment authority; technical architecture.</t>
        </is>
      </c>
      <c r="AP15" s="9" t="inlineStr">
        <is>
          <t>BA01-0 · Business Analysis Intern</t>
        </is>
      </c>
      <c r="AQ15" s="9" t="inlineStr">
        <is>
          <r>
            <rPr>
              <rFont val="Calibri"/>
              <b val="1"/>
              <sz val="10"/>
            </rPr>
            <t>Assist with a supervised work sample:</t>
          </r>
          <r>
            <rPr>
              <rFont val="Calibri"/>
              <sz val="10"/>
            </rPr>
            <t xml:space="preserve"> elicit requirements, model processes and trace acceptance criteria.</t>
          </r>
        </is>
      </c>
      <c r="AR15" s="9" t="inlineStr">
        <is>
          <t>Reviewed learning assignment; no independent material sign-off.</t>
        </is>
      </c>
      <c r="AS15" s="9" t="inlineStr">
        <is>
          <t>A requirements set traced to business needs, acceptance tests and realized outcomes</t>
        </is>
      </c>
      <c r="AT15" s="9" t="inlineStr">
        <is>
          <r>
            <rPr>
              <rFont val="Calibri"/>
              <b val="1"/>
              <sz val="10"/>
            </rPr>
            <t>Regnology:</t>
          </r>
          <r>
            <rPr>
              <rFont val="Calibri"/>
              <sz val="10"/>
            </rPr>
            <t xml:space="preserve"> Senior risk consultant · Related work. Gap: Consultant requirement work supports domain context; government BA path supplies role stages</t>
          </r>
        </is>
      </c>
      <c r="AU15" s="19" t="inlineStr">
        <is>
          <t>Framework + sub-family themes · 3+ answered</t>
        </is>
      </c>
      <c r="AV15" s="9" t="inlineStr">
        <is>
          <t>1 holder, 1 answered the survey; sub-family 27 answered</t>
        </is>
      </c>
    </row>
    <row r="16" ht="119" customHeight="1">
      <c r="A16" s="17" t="inlineStr">
        <is>
          <t>RC-008</t>
        </is>
      </c>
      <c r="B16" s="9" t="inlineStr">
        <is>
          <t>Business Analysis</t>
        </is>
      </c>
      <c r="C16" s="9" t="inlineStr">
        <is>
          <t>Business Analysis</t>
        </is>
      </c>
      <c r="D16" s="18" t="inlineStr">
        <is>
          <t>A2</t>
        </is>
      </c>
      <c r="E16" s="19" t="inlineStr">
        <is>
          <t>Associate</t>
        </is>
      </c>
      <c r="F16" s="9" t="inlineStr">
        <is>
          <t>IC</t>
        </is>
      </c>
      <c r="G16" s="9" t="inlineStr">
        <is>
          <t>Business Analyst</t>
        </is>
      </c>
      <c r="H16" s="8" t="n">
        <v>2</v>
      </c>
      <c r="I16" s="9" t="inlineStr">
        <is>
          <t>CARBON 1 · iFile 1</t>
        </is>
      </c>
      <c r="J16" s="9" t="inlineStr">
        <is>
          <r>
            <rPr>
              <rFont val="Calibri"/>
              <sz val="10"/>
            </rPr>
            <t xml:space="preserve">Gathers and documents requirements · BRD/FRD/SRS/user stories, configures solutions and supports UAT and releases. At A2: standard work delivered independently.
</t>
          </r>
          <r>
            <rPr>
              <rFont val="Calibri"/>
              <b val="1"/>
              <sz val="10"/>
            </rPr>
            <t>Common themes in sub-family holders, all levels' answers:</t>
          </r>
          <r>
            <rPr>
              <rFont val="Calibri"/>
              <sz val="10"/>
            </rPr>
            <t xml:space="preserve"> business · requirements · bridge · analyst · between · technical</t>
          </r>
        </is>
      </c>
      <c r="K16" s="9" t="inlineStr">
        <is>
          <r>
            <rPr>
              <rFont val="Calibri"/>
              <sz val="10"/>
            </rPr>
            <t xml:space="preserve">Gathers and documents requirements · BRD/FRD/SRS/user stories, configures solutions and supports UAT and releases; Standard work of the discipline; Own deliverables · accuracy, TAT
</t>
          </r>
          <r>
            <rPr>
              <rFont val="Calibri"/>
              <b val="1"/>
              <sz val="10"/>
            </rPr>
            <t>Common themes in sub-family holders, all levels' answers:</t>
          </r>
          <r>
            <rPr>
              <rFont val="Calibri"/>
              <sz val="10"/>
            </rPr>
            <t xml:space="preserve"> requirement · documentation · stakeholder · client · gathering · analysis</t>
          </r>
        </is>
      </c>
      <c r="L16" s="9" t="inlineStr">
        <is>
          <r>
            <rPr>
              <rFont val="Calibri"/>
              <sz val="10"/>
            </rPr>
            <t xml:space="preserve">Own deliverables · accuracy, TAT
</t>
          </r>
          <r>
            <rPr>
              <rFont val="Calibri"/>
              <b val="1"/>
              <sz val="10"/>
            </rPr>
            <t>Common themes in sub-family holders, all levels' answers:</t>
          </r>
          <r>
            <rPr>
              <rFont val="Calibri"/>
              <sz val="10"/>
            </rPr>
            <t xml:space="preserve"> product · user stories · requirements · process · client · deliver</t>
          </r>
        </is>
      </c>
      <c r="M16" s="9" t="inlineStr">
        <is>
          <r>
            <rPr>
              <rFont val="Calibri"/>
              <sz val="10"/>
            </rPr>
            <t xml:space="preserve">Own deliverables · accuracy, TAT
</t>
          </r>
          <r>
            <rPr>
              <rFont val="Calibri"/>
              <b val="1"/>
              <sz val="10"/>
            </rPr>
            <t>Common themes in sub-family holders, all levels' answers:</t>
          </r>
          <r>
            <rPr>
              <rFont val="Calibri"/>
              <sz val="10"/>
            </rPr>
            <t xml:space="preserve"> requirements · accountable · documentation · delivery · am · business</t>
          </r>
        </is>
      </c>
      <c r="N16" s="9" t="inlineStr">
        <is>
          <r>
            <rPr>
              <rFont val="Calibri"/>
              <sz val="10"/>
            </rPr>
            <t xml:space="preserve">Chooses own approach within standards
</t>
          </r>
          <r>
            <rPr>
              <rFont val="Calibri"/>
              <b val="1"/>
              <sz val="10"/>
            </rPr>
            <t>Common themes in sub-family holders, all levels' answers:</t>
          </r>
          <r>
            <rPr>
              <rFont val="Calibri"/>
              <sz val="10"/>
            </rPr>
            <t xml:space="preserve"> requirements · user · documentation · process · stories · assign</t>
          </r>
        </is>
      </c>
      <c r="O16" s="9" t="inlineStr">
        <is>
          <t>—</t>
        </is>
      </c>
      <c r="P16" s="9" t="inlineStr">
        <is>
          <t>Business Analysis · Documentation · Requirement analysis · Stakeholder Management · communication · XBRL · Requirement Elicitation · generative AI</t>
        </is>
      </c>
      <c r="Q16" s="9" t="inlineStr">
        <is>
          <t>Excel · Figma · Quickscrum · Word · Jira · Claude · XBRL · Copilot</t>
        </is>
      </c>
      <c r="R16" s="9" t="inlineStr">
        <is>
          <t>Standard work delivered independently</t>
        </is>
      </c>
      <c r="S16" s="9" t="inlineStr">
        <is>
          <t>Standard work of the discipline</t>
        </is>
      </c>
      <c r="T16" s="9" t="inlineStr">
        <is>
          <t>Chooses own approach within standards</t>
        </is>
      </c>
      <c r="U16" s="9" t="inlineStr">
        <is>
          <t>Own deliverables · accuracy, TAT</t>
        </is>
      </c>
      <c r="V16" s="9" t="inlineStr">
        <is>
          <t>Not scored in Band A</t>
        </is>
      </c>
      <c r="W16" s="9" t="inlineStr">
        <is>
          <t>0–2 yrs</t>
        </is>
      </c>
      <c r="X16" s="9" t="inlineStr">
        <is>
          <t>Graduate · or diploma with experience</t>
        </is>
      </c>
      <c r="Y16" s="9" t="inlineStr">
        <is>
          <t>CBAP / CCBA · optional; Domain certifications · optional</t>
        </is>
      </c>
      <c r="Z16" s="9" t="inlineStr">
        <is>
          <t>No direct reports</t>
        </is>
      </c>
      <c r="AA16" s="9" t="inlineStr">
        <is>
          <t>Core 2 · Future-ready 2 · Functional 2 · Leadership —</t>
        </is>
      </c>
      <c r="AB16" s="9" t="inlineStr">
        <is>
          <t>Business Analysis &amp; Requirements Engineering · Regulatory &amp; BFSI Domain</t>
        </is>
      </c>
      <c r="AC16" s="9" t="inlineStr">
        <is>
          <t>Product, Platform &amp; Domain Knowledge · Database, SQL &amp; Data Engineering · Stakeholder &amp; Client Management · Communication &amp; Presentation</t>
        </is>
      </c>
      <c r="AD16" s="8" t="inlineStr">
        <is>
          <t>P1–P2</t>
        </is>
      </c>
      <c r="AE16" s="8" t="inlineStr">
        <is>
          <t>2 Assist</t>
        </is>
      </c>
      <c r="AF16" s="9" t="inlineStr">
        <is>
          <r>
            <rPr>
              <rFont val="Calibri"/>
              <b val="1"/>
              <sz val="10"/>
            </rPr>
            <t>Big Four consulting:</t>
          </r>
          <r>
            <rPr>
              <rFont val="Calibri"/>
              <sz val="10"/>
            </rPr>
            <t xml:space="preserve"> Analyst · IRIS Vs Market Benchmark — IIBA certification pathway: ECBA · Infosys / Accenture: JL3B · L11 Analyst</t>
          </r>
        </is>
      </c>
      <c r="AG16" s="9" t="inlineStr">
        <is>
          <t>IIBA BABOK v3; certifications ECBA · entry → CCBA → CBAP · senior</t>
        </is>
      </c>
      <c r="AH16" s="9" t="inlineStr">
        <is>
          <t>A3 · Senior Associate</t>
        </is>
      </c>
      <c r="AI16" s="9" t="inlineStr">
        <is>
          <t>Product &amp; tool knowledge · Strategy &amp; business acumen · Certification / formal course · Broader exposure &amp; ownership · Project / programme management</t>
        </is>
      </c>
      <c r="AJ16" s="9" t="inlineStr">
        <is>
          <t>Requirement engineering &amp; BRD/user-story writing; Agile/Scrum basics; RegTech/XBRL domain onboarding; stakeholder communication; Product visualization</t>
        </is>
      </c>
      <c r="AK16" s="9" t="inlineStr">
        <is>
          <t>Mentoring / guidance from seniors · Formal / classroom training · On-the-job / hands-on · Online courses / self-learning</t>
        </is>
      </c>
      <c r="AL16" s="9" t="inlineStr">
        <is>
          <t>changing · requirements · dependencies · priorities · dependent</t>
        </is>
      </c>
      <c r="AM16" s="9" t="inlineStr">
        <is>
          <t>requirements · coordination · clearer · delivery · decisions</t>
        </is>
      </c>
      <c r="AN16" s="9" t="inlineStr">
        <is>
          <t>19 of 26 say the role is changing because of AI / automation</t>
        </is>
      </c>
      <c r="AO16" s="9" t="inlineStr">
        <is>
          <t>Define business needs and evaluate solutions. Includes: Elicitation, process analysis, traceability and solution evaluation. Excludes: Product investment authority; technical architecture.</t>
        </is>
      </c>
      <c r="AP16" s="9" t="inlineStr">
        <is>
          <t>BA01-1 · Junior Business Analyst</t>
        </is>
      </c>
      <c r="AQ16" s="9" t="inlineStr">
        <is>
          <r>
            <rPr>
              <rFont val="Calibri"/>
              <b val="1"/>
              <sz val="10"/>
            </rPr>
            <t>Complete defined parts under review:</t>
          </r>
          <r>
            <rPr>
              <rFont val="Calibri"/>
              <sz val="10"/>
            </rPr>
            <t xml:space="preserve"> elicit requirements, model processes and trace acceptance criteria.</t>
          </r>
        </is>
      </c>
      <c r="AR16" s="9" t="inlineStr">
        <is>
          <t>Repeatable correct delivery, safe escalation and required entry eligibility.</t>
        </is>
      </c>
      <c r="AS16" s="9" t="inlineStr">
        <is>
          <t>A requirements set traced to business needs, acceptance tests and realized outcomes</t>
        </is>
      </c>
      <c r="AT16" s="9" t="inlineStr">
        <is>
          <r>
            <rPr>
              <rFont val="Calibri"/>
              <b val="1"/>
              <sz val="10"/>
            </rPr>
            <t>Regnology:</t>
          </r>
          <r>
            <rPr>
              <rFont val="Calibri"/>
              <sz val="10"/>
            </rPr>
            <t xml:space="preserve"> Senior risk consultant · Related work. Gap: Consultant requirement work supports domain context; government BA path supplies role stages</t>
          </r>
        </is>
      </c>
      <c r="AU16" s="19" t="inlineStr">
        <is>
          <t>Framework + sub-family themes · 3+ answered</t>
        </is>
      </c>
      <c r="AV16" s="9" t="inlineStr">
        <is>
          <t>2 holders, 2 answered the survey; sub-family 27 answered</t>
        </is>
      </c>
    </row>
    <row r="17" ht="132" customHeight="1">
      <c r="A17" s="17" t="inlineStr">
        <is>
          <t>RC-009</t>
        </is>
      </c>
      <c r="B17" s="9" t="inlineStr">
        <is>
          <t>Business Analysis</t>
        </is>
      </c>
      <c r="C17" s="9" t="inlineStr">
        <is>
          <t>Business Analysis</t>
        </is>
      </c>
      <c r="D17" s="18" t="inlineStr">
        <is>
          <t>A3</t>
        </is>
      </c>
      <c r="E17" s="19" t="inlineStr">
        <is>
          <t>Senior Associate</t>
        </is>
      </c>
      <c r="F17" s="9" t="inlineStr">
        <is>
          <t>IC</t>
        </is>
      </c>
      <c r="G17" s="9" t="inlineStr">
        <is>
          <t>Senior Business Analyst · Business Analysis Specialist</t>
        </is>
      </c>
      <c r="H17" s="8" t="n">
        <v>16</v>
      </c>
      <c r="I17" s="9" t="inlineStr">
        <is>
          <t>iFile 8 · iDEAL 8</t>
        </is>
      </c>
      <c r="J17" s="9" t="inlineStr">
        <is>
          <r>
            <rPr>
              <rFont val="Calibri"/>
              <sz val="10"/>
            </rPr>
            <t xml:space="preserve">Gathers and documents requirements · BRD/FRD/SRS/user stories, configures solutions and supports UAT and releases. At A3: varied work; reviews juniors; go-to for a process.
</t>
          </r>
          <r>
            <rPr>
              <rFont val="Calibri"/>
              <b val="1"/>
              <sz val="10"/>
            </rPr>
            <t>Common themes in role-holders' answers:</t>
          </r>
          <r>
            <rPr>
              <rFont val="Calibri"/>
              <sz val="10"/>
            </rPr>
            <t xml:space="preserve"> business · requirements · technical · between · client · understand</t>
          </r>
        </is>
      </c>
      <c r="K17" s="9" t="inlineStr">
        <is>
          <r>
            <rPr>
              <rFont val="Calibri"/>
              <sz val="10"/>
            </rPr>
            <t xml:space="preserve">Gathers and documents requirements · BRD/FRD/SRS/user stories, configures solutions and supports UAT and releases; Varied and non-standard work; handles exceptions; A module / process, or work with client or regulatory consequences
</t>
          </r>
          <r>
            <rPr>
              <rFont val="Calibri"/>
              <b val="1"/>
              <sz val="10"/>
            </rPr>
            <t>Common themes in role-holders' answers:</t>
          </r>
          <r>
            <rPr>
              <rFont val="Calibri"/>
              <sz val="10"/>
            </rPr>
            <t xml:space="preserve"> documentation · requirement · client · gathering · coordination · managing</t>
          </r>
        </is>
      </c>
      <c r="L17" s="9" t="inlineStr">
        <is>
          <r>
            <rPr>
              <rFont val="Calibri"/>
              <sz val="10"/>
            </rPr>
            <t xml:space="preserve">A module / process, or work with client or regulatory consequences
</t>
          </r>
          <r>
            <rPr>
              <rFont val="Calibri"/>
              <b val="1"/>
              <sz val="10"/>
            </rPr>
            <t>Common themes in role-holders' answers:</t>
          </r>
          <r>
            <rPr>
              <rFont val="Calibri"/>
              <sz val="10"/>
            </rPr>
            <t xml:space="preserve"> deliver · product · client · requirement · process · business</t>
          </r>
        </is>
      </c>
      <c r="M17" s="9" t="inlineStr">
        <is>
          <r>
            <rPr>
              <rFont val="Calibri"/>
              <sz val="10"/>
            </rPr>
            <t xml:space="preserve">A module / process, or work with client or regulatory consequences
</t>
          </r>
          <r>
            <rPr>
              <rFont val="Calibri"/>
              <b val="1"/>
              <sz val="10"/>
            </rPr>
            <t>Common themes in role-holders' answers:</t>
          </r>
          <r>
            <rPr>
              <rFont val="Calibri"/>
              <sz val="10"/>
            </rPr>
            <t xml:space="preserve"> requirements · accountable · delivery · quality · documentation · timely</t>
          </r>
        </is>
      </c>
      <c r="N17" s="9" t="inlineStr">
        <is>
          <r>
            <rPr>
              <rFont val="Calibri"/>
              <sz val="10"/>
            </rPr>
            <t xml:space="preserve">Technical / QC / client calls on own work
</t>
          </r>
          <r>
            <rPr>
              <rFont val="Calibri"/>
              <b val="1"/>
              <sz val="10"/>
            </rPr>
            <t>Common themes in role-holders' answers:</t>
          </r>
          <r>
            <rPr>
              <rFont val="Calibri"/>
              <sz val="10"/>
            </rPr>
            <t xml:space="preserve"> documentation · prioritize · user stories · process · project</t>
          </r>
        </is>
      </c>
      <c r="O17" s="9" t="inlineStr">
        <is>
          <r>
            <rPr>
              <rFont val="Calibri"/>
              <b val="1"/>
              <sz val="10"/>
            </rPr>
            <t>Common themes in manager-set KRAs:</t>
          </r>
          <r>
            <rPr>
              <rFont val="Calibri"/>
              <sz val="10"/>
            </rPr>
            <t xml:space="preserve"> delivery · assigned · uat · project · requests · satisfaction</t>
          </r>
        </is>
      </c>
      <c r="P17" s="9" t="inlineStr">
        <is>
          <t>Business Analysis · Documentation · Stakeholder management · Requirement analysis · communication · Communication skills</t>
        </is>
      </c>
      <c r="Q17" s="9" t="inlineStr">
        <is>
          <t>Excel · Figma · Claude · QuickScrum · Jira · Confluence · Word · Excel word</t>
        </is>
      </c>
      <c r="R17" s="9" t="inlineStr">
        <is>
          <t>Varied work; reviews juniors; go-to for a process</t>
        </is>
      </c>
      <c r="S17" s="9" t="inlineStr">
        <is>
          <t>Varied and non-standard work; handles exceptions</t>
        </is>
      </c>
      <c r="T17" s="9" t="inlineStr">
        <is>
          <t>Technical / QC / client calls on own work</t>
        </is>
      </c>
      <c r="U17" s="9" t="inlineStr">
        <is>
          <t>A module / process, or work with client or regulatory consequences</t>
        </is>
      </c>
      <c r="V17" s="9" t="inlineStr">
        <is>
          <t>Not scored in Band A</t>
        </is>
      </c>
      <c r="W17" s="9" t="inlineStr">
        <is>
          <t>2–4 yrs</t>
        </is>
      </c>
      <c r="X17" s="9" t="inlineStr">
        <is>
          <t>Graduate; relevant certification preferred</t>
        </is>
      </c>
      <c r="Y17" s="9" t="inlineStr">
        <is>
          <t>CBAP / CCBA · optional; Domain certifications · optional</t>
        </is>
      </c>
      <c r="Z17" s="9" t="inlineStr">
        <is>
          <t>None · guides 1–3 juniors informally</t>
        </is>
      </c>
      <c r="AA17" s="9" t="inlineStr">
        <is>
          <t>Core 2 · Future-ready 2 · Functional 3 · Leadership —</t>
        </is>
      </c>
      <c r="AB17" s="9" t="inlineStr">
        <is>
          <t>Business Analysis &amp; Requirements Engineering · Regulatory &amp; BFSI Domain</t>
        </is>
      </c>
      <c r="AC17" s="9" t="inlineStr">
        <is>
          <t>Product, Platform &amp; Domain Knowledge · Database, SQL &amp; Data Engineering · Stakeholder &amp; Client Management · Communication &amp; Presentation</t>
        </is>
      </c>
      <c r="AD17" s="8" t="inlineStr">
        <is>
          <t>P2</t>
        </is>
      </c>
      <c r="AE17" s="8" t="inlineStr">
        <is>
          <t>3 Apply</t>
        </is>
      </c>
      <c r="AF17" s="9" t="inlineStr">
        <is>
          <t>Regnology — regulatory reporting: Junior BA · Reg Reporting · Big Four consulting: Consultant · IRIS Vs Market Benchmark — IIBA certification pathway: ECBA · Infosys / Accenture: JL3A · L10 Senior Analyst</t>
        </is>
      </c>
      <c r="AG17" s="9" t="inlineStr">
        <is>
          <t>IIBA BABOK v3; certifications ECBA · entry → CCBA → CBAP · senior</t>
        </is>
      </c>
      <c r="AH17" s="9" t="inlineStr">
        <is>
          <t>B1 · Specialist</t>
        </is>
      </c>
      <c r="AI17" s="9" t="inlineStr">
        <is>
          <t>Project / programme management · AI / automation · Product &amp; tool knowledge · Broader exposure &amp; ownership · Leadership &amp; people management</t>
        </is>
      </c>
      <c r="AJ17" s="9" t="inlineStr">
        <is>
          <t>stakeholder · training effective · utilization · ai tools · domain</t>
        </is>
      </c>
      <c r="AK17" s="9" t="inlineStr">
        <is>
          <t>Mentoring / guidance from seniors · On-the-job / hands-on · Formal / classroom training</t>
        </is>
      </c>
      <c r="AL17" s="9" t="inlineStr">
        <is>
          <t>dependencies · requirements · changing · priorities · multiple</t>
        </is>
      </c>
      <c r="AM17" s="9" t="inlineStr">
        <is>
          <t>ownership · process · coordination · clearer · delivery</t>
        </is>
      </c>
      <c r="AN17" s="9" t="inlineStr">
        <is>
          <t>10 of 14 say the role is changing because of AI / automation</t>
        </is>
      </c>
      <c r="AO17" s="9" t="inlineStr">
        <is>
          <t>Define business needs and evaluate solutions. Includes: Elicitation, process analysis, traceability and solution evaluation. Excludes: Product investment authority; technical architecture.</t>
        </is>
      </c>
      <c r="AP17" s="9" t="inlineStr">
        <is>
          <t>BA01-2 · Business Analyst</t>
        </is>
      </c>
      <c r="AQ17" s="9" t="inlineStr">
        <is>
          <t>Elicit requirements, model processes and trace acceptance criteria.</t>
        </is>
      </c>
      <c r="AR17" s="9" t="inlineStr">
        <is>
          <t>Demonstrate routine delivery plus judgement in bounded exceptions.</t>
        </is>
      </c>
      <c r="AS17" s="9" t="inlineStr">
        <is>
          <t>A requirements set traced to business needs, acceptance tests and realized outcomes</t>
        </is>
      </c>
      <c r="AT17" s="9" t="inlineStr">
        <is>
          <r>
            <rPr>
              <rFont val="Calibri"/>
              <b val="1"/>
              <sz val="10"/>
            </rPr>
            <t>Regnology:</t>
          </r>
          <r>
            <rPr>
              <rFont val="Calibri"/>
              <sz val="10"/>
            </rPr>
            <t xml:space="preserve"> Senior risk consultant · Related work. Gap: Consultant requirement work supports domain context; government BA path supplies role stages</t>
          </r>
        </is>
      </c>
      <c r="AU17" s="22" t="inlineStr">
        <is>
          <t>Framework + role-holders' themes · 3+ answered</t>
        </is>
      </c>
      <c r="AV17" s="9" t="inlineStr">
        <is>
          <t>16 holders, 14 answered the survey; sub-family 27 answered</t>
        </is>
      </c>
    </row>
    <row r="18" ht="119" customHeight="1">
      <c r="A18" s="17" t="inlineStr">
        <is>
          <t>RC-010</t>
        </is>
      </c>
      <c r="B18" s="9" t="inlineStr">
        <is>
          <t>Business Analysis</t>
        </is>
      </c>
      <c r="C18" s="9" t="inlineStr">
        <is>
          <t>Business Analysis</t>
        </is>
      </c>
      <c r="D18" s="21" t="inlineStr">
        <is>
          <t>B1</t>
        </is>
      </c>
      <c r="E18" s="22" t="inlineStr">
        <is>
          <t>Specialist</t>
        </is>
      </c>
      <c r="F18" s="9" t="inlineStr">
        <is>
          <t>IC</t>
        </is>
      </c>
      <c r="G18" s="9" t="inlineStr">
        <is>
          <t>Business Analysis Specialist · Business Analysis Specialist – POD Lead · Senior Business Analysis Specialist</t>
        </is>
      </c>
      <c r="H18" s="8" t="n">
        <v>7</v>
      </c>
      <c r="I18" s="9" t="inlineStr">
        <is>
          <t>iDEAL 4 · iFile 2 · CARBON 1</t>
        </is>
      </c>
      <c r="J18" s="9" t="inlineStr">
        <is>
          <r>
            <rPr>
              <rFont val="Calibri"/>
              <sz val="10"/>
            </rPr>
            <t xml:space="preserve">Gathers and documents requirements · BRD/FRD/SRS/user stories, configures solutions and supports UAT and releases. At B1: a domain / module, or a small team.
</t>
          </r>
          <r>
            <rPr>
              <rFont val="Calibri"/>
              <b val="1"/>
              <sz val="10"/>
            </rPr>
            <t>Common themes in role-holders' answers:</t>
          </r>
          <r>
            <rPr>
              <rFont val="Calibri"/>
              <sz val="10"/>
            </rPr>
            <t xml:space="preserve"> business · smooth · between · client · am · requirements</t>
          </r>
        </is>
      </c>
      <c r="K18" s="9" t="inlineStr">
        <is>
          <r>
            <rPr>
              <rFont val="Calibri"/>
              <sz val="10"/>
            </rPr>
            <t xml:space="preserve">Gathers and documents requirements · BRD/FRD/SRS/user stories, configures solutions and supports UAT and releases; Domain specialist work; A domain or a small team
</t>
          </r>
          <r>
            <rPr>
              <rFont val="Calibri"/>
              <b val="1"/>
              <sz val="10"/>
            </rPr>
            <t>Common themes in role-holders' answers:</t>
          </r>
          <r>
            <rPr>
              <rFont val="Calibri"/>
              <sz val="10"/>
            </rPr>
            <t xml:space="preserve"> requirement · stakeholder · gathering · client · project · portfolio</t>
          </r>
        </is>
      </c>
      <c r="L18" s="9" t="inlineStr">
        <is>
          <r>
            <rPr>
              <rFont val="Calibri"/>
              <sz val="10"/>
            </rPr>
            <t xml:space="preserve">A domain or a small team
</t>
          </r>
          <r>
            <rPr>
              <rFont val="Calibri"/>
              <b val="1"/>
              <sz val="10"/>
            </rPr>
            <t>Common themes in role-holders' answers:</t>
          </r>
          <r>
            <rPr>
              <rFont val="Calibri"/>
              <sz val="10"/>
            </rPr>
            <t xml:space="preserve"> product · regulator</t>
          </r>
        </is>
      </c>
      <c r="M18" s="9" t="inlineStr">
        <is>
          <r>
            <rPr>
              <rFont val="Calibri"/>
              <sz val="10"/>
            </rPr>
            <t xml:space="preserve">A domain or a small team
</t>
          </r>
          <r>
            <rPr>
              <rFont val="Calibri"/>
              <b val="1"/>
              <sz val="10"/>
            </rPr>
            <t>Common themes in role-holders' answers:</t>
          </r>
          <r>
            <rPr>
              <rFont val="Calibri"/>
              <sz val="10"/>
            </rPr>
            <t xml:space="preserve"> requirement · client · time · issue · assigned</t>
          </r>
        </is>
      </c>
      <c r="N18" s="9" t="inlineStr">
        <is>
          <r>
            <rPr>
              <rFont val="Calibri"/>
              <sz val="10"/>
            </rPr>
            <t xml:space="preserve">Technical / QC / client calls for the domain
</t>
          </r>
          <r>
            <rPr>
              <rFont val="Calibri"/>
              <b val="1"/>
              <sz val="10"/>
            </rPr>
            <t>Common themes in role-holders' answers:</t>
          </r>
          <r>
            <rPr>
              <rFont val="Calibri"/>
              <sz val="10"/>
            </rPr>
            <t xml:space="preserve"> documentation</t>
          </r>
        </is>
      </c>
      <c r="O18" s="9" t="inlineStr">
        <is>
          <r>
            <rPr>
              <rFont val="Calibri"/>
              <b val="1"/>
              <sz val="10"/>
            </rPr>
            <t>Common themes in manager-set KRAs:</t>
          </r>
          <r>
            <rPr>
              <rFont val="Calibri"/>
              <sz val="10"/>
            </rPr>
            <t xml:space="preserve"> releases · satisfaction · delivery · assigned · uat · requirement</t>
          </r>
        </is>
      </c>
      <c r="P18" s="9" t="inlineStr">
        <is>
          <t>Business Analysis</t>
        </is>
      </c>
      <c r="Q18" s="9" t="inlineStr">
        <is>
          <t>—</t>
        </is>
      </c>
      <c r="R18" s="9" t="inlineStr">
        <is>
          <t>A domain / module, or a small team</t>
        </is>
      </c>
      <c r="S18" s="9" t="inlineStr">
        <is>
          <t>Domain specialist work</t>
        </is>
      </c>
      <c r="T18" s="9" t="inlineStr">
        <is>
          <t>Technical / QC / client calls for the domain</t>
        </is>
      </c>
      <c r="U18" s="9" t="inlineStr">
        <is>
          <t>A domain or a small team</t>
        </is>
      </c>
      <c r="V18" s="9" t="inlineStr">
        <is>
          <r>
            <rPr>
              <rFont val="Calibri"/>
              <b val="1"/>
              <sz val="10"/>
            </rPr>
            <t>IC:</t>
          </r>
          <r>
            <rPr>
              <rFont val="Calibri"/>
              <sz val="10"/>
            </rPr>
            <t xml:space="preserve"> mentors and reviews · People: hands-on team lead of 3–5</t>
          </r>
        </is>
      </c>
      <c r="W18" s="9" t="inlineStr">
        <is>
          <t>4–7 yrs</t>
        </is>
      </c>
      <c r="X18" s="9" t="inlineStr">
        <is>
          <t>Graduate + relevant qualification or certification preferred</t>
        </is>
      </c>
      <c r="Y18" s="9" t="inlineStr">
        <is>
          <t>CBAP / CCBA · optional; Domain certifications · optional</t>
        </is>
      </c>
      <c r="Z18" s="9" t="inlineStr">
        <is>
          <r>
            <rPr>
              <rFont val="Calibri"/>
              <b val="1"/>
              <sz val="10"/>
            </rPr>
            <t>IC:</t>
          </r>
          <r>
            <rPr>
              <rFont val="Calibri"/>
              <sz val="10"/>
            </rPr>
            <t xml:space="preserve"> none · Team Lead: 3–5</t>
          </r>
        </is>
      </c>
      <c r="AA18" s="9" t="inlineStr">
        <is>
          <t>Core 3 · Future-ready 3 · Functional 3 · Leadership 1</t>
        </is>
      </c>
      <c r="AB18" s="9" t="inlineStr">
        <is>
          <t>Business Analysis &amp; Requirements Engineering · Regulatory &amp; BFSI Domain</t>
        </is>
      </c>
      <c r="AC18" s="9" t="inlineStr">
        <is>
          <t>Product, Platform &amp; Domain Knowledge · Database, SQL &amp; Data Engineering · Stakeholder &amp; Client Management · Communication &amp; Presentation</t>
        </is>
      </c>
      <c r="AD18" s="8" t="inlineStr">
        <is>
          <t>P3 / M2</t>
        </is>
      </c>
      <c r="AE18" s="8" t="inlineStr">
        <is>
          <t>4 Enable</t>
        </is>
      </c>
      <c r="AF18" s="9" t="inlineStr">
        <is>
          <t>Regnology — regulatory reporting: BA · Reg Reporting · Big Four consulting: Senior Consultant · IRIS Vs Market Benchmark — IIBA certification pathway: CCBA · Infosys / Accenture: JL4 · L9 Consultant</t>
        </is>
      </c>
      <c r="AG18" s="9" t="inlineStr">
        <is>
          <t>IIBA BABOK v3; certifications ECBA · entry → CCBA → CBAP · senior</t>
        </is>
      </c>
      <c r="AH18" s="9" t="inlineStr">
        <is>
          <t>B2 · Senior Specialist</t>
        </is>
      </c>
      <c r="AI18" s="9" t="inlineStr">
        <is>
          <t>Leadership &amp; people management · AI / automation · Project / programme management · Certification / formal course · Product &amp; tool knowledge</t>
        </is>
      </c>
      <c r="AJ18" s="9" t="inlineStr">
        <is>
          <t>training effective · utilization · ai tools · stakeholder management · domain</t>
        </is>
      </c>
      <c r="AK18" s="9" t="inlineStr">
        <is>
          <t>Mentoring / guidance from seniors · Formal / classroom training · On-the-job / hands-on · Online courses / self-learning</t>
        </is>
      </c>
      <c r="AL18" s="9" t="inlineStr">
        <is>
          <t>No common theme</t>
        </is>
      </c>
      <c r="AM18" s="9" t="inlineStr">
        <is>
          <t>responsibilities</t>
        </is>
      </c>
      <c r="AN18" s="9" t="inlineStr">
        <is>
          <t>5 of 6 say the role is changing because of AI / automation</t>
        </is>
      </c>
      <c r="AO18" s="9" t="inlineStr">
        <is>
          <t>Define business needs and evaluate solutions. Includes: Elicitation, process analysis, traceability and solution evaluation. Excludes: Product investment authority; technical architecture.</t>
        </is>
      </c>
      <c r="AP18" s="9" t="inlineStr">
        <is>
          <t>BA01-3 · Senior Business Analyst</t>
        </is>
      </c>
      <c r="AQ18" s="9" t="inlineStr">
        <is>
          <t>Resolve conflicting needs and evaluate complex solution trade-offs.</t>
        </is>
      </c>
      <c r="AR18" s="9" t="inlineStr">
        <is>
          <t>Evidence of complex work, decisions and outcomes beyond routine delivery.</t>
        </is>
      </c>
      <c r="AS18" s="9" t="inlineStr">
        <is>
          <t>A requirements set traced to business needs, acceptance tests and realized outcomes</t>
        </is>
      </c>
      <c r="AT18" s="9" t="inlineStr">
        <is>
          <r>
            <rPr>
              <rFont val="Calibri"/>
              <b val="1"/>
              <sz val="10"/>
            </rPr>
            <t>Regnology:</t>
          </r>
          <r>
            <rPr>
              <rFont val="Calibri"/>
              <sz val="10"/>
            </rPr>
            <t xml:space="preserve"> Senior risk consultant · Related work. Gap: Consultant requirement work supports domain context; government BA path supplies role stages</t>
          </r>
        </is>
      </c>
      <c r="AU18" s="22" t="inlineStr">
        <is>
          <t>Framework + role-holders' themes · 3+ answered</t>
        </is>
      </c>
      <c r="AV18" s="9" t="inlineStr">
        <is>
          <t>7 holders, 7 answered the survey; sub-family 27 answered</t>
        </is>
      </c>
    </row>
    <row r="19" ht="145" customHeight="1">
      <c r="A19" s="17" t="inlineStr">
        <is>
          <t>RC-011</t>
        </is>
      </c>
      <c r="B19" s="9" t="inlineStr">
        <is>
          <t>Business Analysis</t>
        </is>
      </c>
      <c r="C19" s="9" t="inlineStr">
        <is>
          <t>Business Analysis</t>
        </is>
      </c>
      <c r="D19" s="21" t="inlineStr">
        <is>
          <t>B1</t>
        </is>
      </c>
      <c r="E19" s="22" t="inlineStr">
        <is>
          <t>Team Lead</t>
        </is>
      </c>
      <c r="F19" s="9" t="inlineStr">
        <is>
          <t>Manager</t>
        </is>
      </c>
      <c r="G19" s="9" t="inlineStr">
        <is>
          <t>Team Lead – Business Analysis</t>
        </is>
      </c>
      <c r="H19" s="8" t="n">
        <v>2</v>
      </c>
      <c r="I19" s="9" t="inlineStr">
        <is>
          <t>iFile 1 · iDEAL 1</t>
        </is>
      </c>
      <c r="J19" s="9" t="inlineStr">
        <is>
          <r>
            <rPr>
              <rFont val="Calibri"/>
              <sz val="10"/>
            </rPr>
            <t xml:space="preserve">Gathers and documents requirements · BRD/FRD/SRS/user stories, configures solutions and supports UAT and releases. At B1: a domain / module, or a small team.
</t>
          </r>
          <r>
            <rPr>
              <rFont val="Calibri"/>
              <b val="1"/>
              <sz val="10"/>
            </rPr>
            <t>Common themes in sub-family holders, all levels' answers:</t>
          </r>
          <r>
            <rPr>
              <rFont val="Calibri"/>
              <sz val="10"/>
            </rPr>
            <t xml:space="preserve"> business · requirements · bridge · analyst · between · technical</t>
          </r>
        </is>
      </c>
      <c r="K19" s="9" t="inlineStr">
        <is>
          <r>
            <rPr>
              <rFont val="Calibri"/>
              <sz val="10"/>
            </rPr>
            <t xml:space="preserve">Gathers and documents requirements · BRD/FRD/SRS/user stories, configures solutions and supports UAT and releases; Domain specialist work; A domain or a small team
</t>
          </r>
          <r>
            <rPr>
              <rFont val="Calibri"/>
              <b val="1"/>
              <sz val="10"/>
            </rPr>
            <t>Common themes in sub-family holders, all levels' answers:</t>
          </r>
          <r>
            <rPr>
              <rFont val="Calibri"/>
              <sz val="10"/>
            </rPr>
            <t xml:space="preserve"> requirement · documentation · stakeholder · client · gathering · analysis</t>
          </r>
        </is>
      </c>
      <c r="L19" s="9" t="inlineStr">
        <is>
          <r>
            <rPr>
              <rFont val="Calibri"/>
              <sz val="10"/>
            </rPr>
            <t xml:space="preserve">A domain or a small team
</t>
          </r>
          <r>
            <rPr>
              <rFont val="Calibri"/>
              <b val="1"/>
              <sz val="10"/>
            </rPr>
            <t>Common themes in sub-family holders, all levels' answers:</t>
          </r>
          <r>
            <rPr>
              <rFont val="Calibri"/>
              <sz val="10"/>
            </rPr>
            <t xml:space="preserve"> product · user stories · requirements · process · client · deliver</t>
          </r>
        </is>
      </c>
      <c r="M19" s="9" t="inlineStr">
        <is>
          <r>
            <rPr>
              <rFont val="Calibri"/>
              <sz val="10"/>
            </rPr>
            <t xml:space="preserve">A domain or a small team
</t>
          </r>
          <r>
            <rPr>
              <rFont val="Calibri"/>
              <b val="1"/>
              <sz val="10"/>
            </rPr>
            <t>Common themes in sub-family holders, all levels' answers:</t>
          </r>
          <r>
            <rPr>
              <rFont val="Calibri"/>
              <sz val="10"/>
            </rPr>
            <t xml:space="preserve"> requirements · accountable · documentation · delivery · am · business</t>
          </r>
        </is>
      </c>
      <c r="N19" s="9" t="inlineStr">
        <is>
          <r>
            <rPr>
              <rFont val="Calibri"/>
              <sz val="10"/>
            </rPr>
            <t xml:space="preserve">Technical / QC / client calls for the domain
</t>
          </r>
          <r>
            <rPr>
              <rFont val="Calibri"/>
              <b val="1"/>
              <sz val="10"/>
            </rPr>
            <t>Common themes in sub-family holders, all levels' answers:</t>
          </r>
          <r>
            <rPr>
              <rFont val="Calibri"/>
              <sz val="10"/>
            </rPr>
            <t xml:space="preserve"> requirements · user · documentation · process · stories · assign</t>
          </r>
        </is>
      </c>
      <c r="O19" s="9" t="inlineStr">
        <is>
          <r>
            <rPr>
              <rFont val="Calibri"/>
              <b val="1"/>
              <sz val="10"/>
            </rPr>
            <t>Common themes in manager-set KRAs:</t>
          </r>
          <r>
            <rPr>
              <rFont val="Calibri"/>
              <sz val="10"/>
            </rPr>
            <t xml:space="preserve"> client · first · quality · contribute · update · establish</t>
          </r>
        </is>
      </c>
      <c r="P19" s="9" t="inlineStr">
        <is>
          <t>Business Analysis · Documentation · Requirement analysis · Stakeholder Management · communication · XBRL · Requirement Elicitation · generative AI</t>
        </is>
      </c>
      <c r="Q19" s="9" t="inlineStr">
        <is>
          <t>Excel · Figma · Quickscrum · Word · Jira · Claude · XBRL · Copilot</t>
        </is>
      </c>
      <c r="R19" s="9" t="inlineStr">
        <is>
          <t>A domain / module, or a small team</t>
        </is>
      </c>
      <c r="S19" s="9" t="inlineStr">
        <is>
          <t>Domain specialist work</t>
        </is>
      </c>
      <c r="T19" s="9" t="inlineStr">
        <is>
          <t>Technical / QC / client calls for the domain</t>
        </is>
      </c>
      <c r="U19" s="9" t="inlineStr">
        <is>
          <t>A domain or a small team</t>
        </is>
      </c>
      <c r="V19" s="9" t="inlineStr">
        <is>
          <r>
            <rPr>
              <rFont val="Calibri"/>
              <b val="1"/>
              <sz val="10"/>
            </rPr>
            <t>IC:</t>
          </r>
          <r>
            <rPr>
              <rFont val="Calibri"/>
              <sz val="10"/>
            </rPr>
            <t xml:space="preserve"> mentors and reviews · People: hands-on team lead of 3–5</t>
          </r>
        </is>
      </c>
      <c r="W19" s="9" t="inlineStr">
        <is>
          <t>4–7 yrs</t>
        </is>
      </c>
      <c r="X19" s="9" t="inlineStr">
        <is>
          <t>Graduate + relevant qualification or certification preferred</t>
        </is>
      </c>
      <c r="Y19" s="9" t="inlineStr">
        <is>
          <t>CBAP / CCBA · optional; Domain certifications · optional</t>
        </is>
      </c>
      <c r="Z19" s="9" t="inlineStr">
        <is>
          <r>
            <rPr>
              <rFont val="Calibri"/>
              <b val="1"/>
              <sz val="10"/>
            </rPr>
            <t>IC:</t>
          </r>
          <r>
            <rPr>
              <rFont val="Calibri"/>
              <sz val="10"/>
            </rPr>
            <t xml:space="preserve"> none · Team Lead: 3–5</t>
          </r>
        </is>
      </c>
      <c r="AA19" s="9" t="inlineStr">
        <is>
          <t>Core 3 · Future-ready 3 · Functional 3 · Leadership 2</t>
        </is>
      </c>
      <c r="AB19" s="9" t="inlineStr">
        <is>
          <t>Business Analysis &amp; Requirements Engineering · Regulatory &amp; BFSI Domain</t>
        </is>
      </c>
      <c r="AC19" s="9" t="inlineStr">
        <is>
          <t>Product, Platform &amp; Domain Knowledge · Database, SQL &amp; Data Engineering · Stakeholder &amp; Client Management · Communication &amp; Presentation</t>
        </is>
      </c>
      <c r="AD19" s="8" t="inlineStr">
        <is>
          <t>P3 / M2</t>
        </is>
      </c>
      <c r="AE19" s="8" t="inlineStr">
        <is>
          <t>4 Enable</t>
        </is>
      </c>
      <c r="AF19" s="9" t="inlineStr">
        <is>
          <t>Regnology — regulatory reporting: BA · Reg Reporting · Big Four consulting: Senior Consultant · IRIS Vs Market Benchmark — IIBA certification pathway: CCBA · Infosys / Accenture: JL4 · L9 Consultant</t>
        </is>
      </c>
      <c r="AG19" s="9" t="inlineStr">
        <is>
          <t>IIBA BABOK v3; certifications ECBA · entry → CCBA → CBAP · senior</t>
        </is>
      </c>
      <c r="AH19" s="9" t="inlineStr">
        <is>
          <t>B2 · Senior Specialist</t>
        </is>
      </c>
      <c r="AI19" s="9" t="inlineStr">
        <is>
          <t>Project / programme management · Product &amp; tool knowledge · Certification / formal course</t>
        </is>
      </c>
      <c r="AJ19" s="9" t="inlineStr">
        <is>
          <t>Support process &amp; escalation management; CSAT/SLA analytics; client relationship management; team workload planning; Project Management | People management fundamentals, performance coaching &amp; delegation, formal team-lead onboarding, cross-functional stakeholder management</t>
        </is>
      </c>
      <c r="AK19" s="9" t="inlineStr">
        <is>
          <t>Mentoring / guidance from seniors · Formal / classroom training · On-the-job / hands-on · Online courses / self-learning</t>
        </is>
      </c>
      <c r="AL19" s="9" t="inlineStr">
        <is>
          <t>changing · requirements · dependencies · priorities · dependent</t>
        </is>
      </c>
      <c r="AM19" s="9" t="inlineStr">
        <is>
          <t>requirements · coordination · clearer · delivery · decisions</t>
        </is>
      </c>
      <c r="AN19" s="9" t="inlineStr">
        <is>
          <t>19 of 26 say the role is changing because of AI / automation</t>
        </is>
      </c>
      <c r="AO19" s="9" t="inlineStr">
        <is>
          <t>Define business needs and evaluate solutions. Includes: Elicitation, process analysis, traceability and solution evaluation. Excludes: Product investment authority; technical architecture.</t>
        </is>
      </c>
      <c r="AP19" s="9" t="inlineStr">
        <is>
          <t>LD09-1 · Business Analysis Manager</t>
        </is>
      </c>
      <c r="AQ19" s="9" t="inlineStr">
        <is>
          <t>Own staffing decisions, performance support, service quality and delegated team resources</t>
        </is>
      </c>
      <c r="AR19" s="9" t="inlineStr">
        <is>
          <t>Do not manufacture three reporting layers. Choose roles the organisation needs. A specialist may remain on an equally valued expert path.</t>
        </is>
      </c>
      <c r="AS19" s="9" t="inlineStr">
        <is>
          <t>—</t>
        </is>
      </c>
      <c r="AT19" s="9" t="inlineStr">
        <is>
          <t>—</t>
        </is>
      </c>
      <c r="AU19" s="19" t="inlineStr">
        <is>
          <t>Framework + sub-family themes · 3+ answered</t>
        </is>
      </c>
      <c r="AV19" s="9" t="inlineStr">
        <is>
          <t>2 holders, 2 answered the survey; sub-family 27 answered</t>
        </is>
      </c>
    </row>
    <row r="20" ht="119" customHeight="1">
      <c r="A20" s="17" t="inlineStr">
        <is>
          <t>RC-012</t>
        </is>
      </c>
      <c r="B20" s="9" t="inlineStr">
        <is>
          <t>Business Analysis</t>
        </is>
      </c>
      <c r="C20" s="9" t="inlineStr">
        <is>
          <t>Business Analysis</t>
        </is>
      </c>
      <c r="D20" s="21" t="inlineStr">
        <is>
          <t>B2</t>
        </is>
      </c>
      <c r="E20" s="22" t="inlineStr">
        <is>
          <t>Senior Specialist</t>
        </is>
      </c>
      <c r="F20" s="9" t="inlineStr">
        <is>
          <t>IC</t>
        </is>
      </c>
      <c r="G20" s="9" t="inlineStr">
        <is>
          <t>Senior Business Analysis Specialist – POD Lead</t>
        </is>
      </c>
      <c r="H20" s="8" t="n">
        <v>1</v>
      </c>
      <c r="I20" s="9" t="inlineStr">
        <is>
          <t>CARBON 1</t>
        </is>
      </c>
      <c r="J20" s="9" t="inlineStr">
        <is>
          <r>
            <rPr>
              <rFont val="Calibri"/>
              <sz val="10"/>
            </rPr>
            <t xml:space="preserve">Gathers and documents requirements · BRD/FRD/SRS/user stories, configures solutions and supports UAT and releases. At B2: deep domain expertise, or one team.
</t>
          </r>
          <r>
            <rPr>
              <rFont val="Calibri"/>
              <b val="1"/>
              <sz val="10"/>
            </rPr>
            <t>Common themes in sub-family holders, all levels' answers:</t>
          </r>
          <r>
            <rPr>
              <rFont val="Calibri"/>
              <sz val="10"/>
            </rPr>
            <t xml:space="preserve"> business · requirements · bridge · analyst · between · technical</t>
          </r>
        </is>
      </c>
      <c r="K20" s="9" t="inlineStr">
        <is>
          <r>
            <rPr>
              <rFont val="Calibri"/>
              <sz val="10"/>
            </rPr>
            <t xml:space="preserve">Gathers and documents requirements · BRD/FRD/SRS/user stories, configures solutions and supports UAT and releases; Hardest problems in the domain; One team or a client portfolio
</t>
          </r>
          <r>
            <rPr>
              <rFont val="Calibri"/>
              <b val="1"/>
              <sz val="10"/>
            </rPr>
            <t>Common themes in sub-family holders, all levels' answers:</t>
          </r>
          <r>
            <rPr>
              <rFont val="Calibri"/>
              <sz val="10"/>
            </rPr>
            <t xml:space="preserve"> requirement · documentation · stakeholder · client · gathering · analysis</t>
          </r>
        </is>
      </c>
      <c r="L20" s="9" t="inlineStr">
        <is>
          <r>
            <rPr>
              <rFont val="Calibri"/>
              <sz val="10"/>
            </rPr>
            <t xml:space="preserve">One team or a client portfolio
</t>
          </r>
          <r>
            <rPr>
              <rFont val="Calibri"/>
              <b val="1"/>
              <sz val="10"/>
            </rPr>
            <t>Common themes in sub-family holders, all levels' answers:</t>
          </r>
          <r>
            <rPr>
              <rFont val="Calibri"/>
              <sz val="10"/>
            </rPr>
            <t xml:space="preserve"> product · user stories · requirements · process · client · deliver</t>
          </r>
        </is>
      </c>
      <c r="M20" s="9" t="inlineStr">
        <is>
          <r>
            <rPr>
              <rFont val="Calibri"/>
              <sz val="10"/>
            </rPr>
            <t xml:space="preserve">One team or a client portfolio
</t>
          </r>
          <r>
            <rPr>
              <rFont val="Calibri"/>
              <b val="1"/>
              <sz val="10"/>
            </rPr>
            <t>Common themes in sub-family holders, all levels' answers:</t>
          </r>
          <r>
            <rPr>
              <rFont val="Calibri"/>
              <sz val="10"/>
            </rPr>
            <t xml:space="preserve"> requirements · accountable · documentation · delivery · am · business</t>
          </r>
        </is>
      </c>
      <c r="N20" s="9" t="inlineStr">
        <is>
          <r>
            <rPr>
              <rFont val="Calibri"/>
              <sz val="10"/>
            </rPr>
            <t xml:space="preserve">Allocates people and sets team priorities
</t>
          </r>
          <r>
            <rPr>
              <rFont val="Calibri"/>
              <b val="1"/>
              <sz val="10"/>
            </rPr>
            <t>Common themes in sub-family holders, all levels' answers:</t>
          </r>
          <r>
            <rPr>
              <rFont val="Calibri"/>
              <sz val="10"/>
            </rPr>
            <t xml:space="preserve"> requirements · user · documentation · process · stories · assign</t>
          </r>
        </is>
      </c>
      <c r="O20" s="9" t="inlineStr">
        <is>
          <t>—</t>
        </is>
      </c>
      <c r="P20" s="9" t="inlineStr">
        <is>
          <t>Business Analysis · Documentation · Requirement analysis · Stakeholder Management · communication · XBRL · Requirement Elicitation · generative AI</t>
        </is>
      </c>
      <c r="Q20" s="9" t="inlineStr">
        <is>
          <t>Excel · Figma · Quickscrum · Word · Jira · Claude · XBRL · Copilot</t>
        </is>
      </c>
      <c r="R20" s="9" t="inlineStr">
        <is>
          <t>Deep domain expertise, or one team</t>
        </is>
      </c>
      <c r="S20" s="9" t="inlineStr">
        <is>
          <t>Hardest problems in the domain</t>
        </is>
      </c>
      <c r="T20" s="9" t="inlineStr">
        <is>
          <t>Allocates people and sets team priorities</t>
        </is>
      </c>
      <c r="U20" s="9" t="inlineStr">
        <is>
          <t>One team or a client portfolio</t>
        </is>
      </c>
      <c r="V20" s="9" t="inlineStr">
        <is>
          <r>
            <rPr>
              <rFont val="Calibri"/>
              <b val="1"/>
              <sz val="10"/>
            </rPr>
            <t>IC:</t>
          </r>
          <r>
            <rPr>
              <rFont val="Calibri"/>
              <sz val="10"/>
            </rPr>
            <t xml:space="preserve"> guides others in the domain · People: manages a team of 6+</t>
          </r>
        </is>
      </c>
      <c r="W20" s="9" t="inlineStr">
        <is>
          <t>6–9 yrs</t>
        </is>
      </c>
      <c r="X20" s="9" t="inlineStr">
        <is>
          <t>Graduate or postgraduate; professional qualification preferred</t>
        </is>
      </c>
      <c r="Y20" s="9" t="inlineStr">
        <is>
          <t>CBAP / CCBA · optional; Domain certifications · optional</t>
        </is>
      </c>
      <c r="Z20" s="9" t="inlineStr">
        <is>
          <r>
            <rPr>
              <rFont val="Calibri"/>
              <b val="1"/>
              <sz val="10"/>
            </rPr>
            <t>IC:</t>
          </r>
          <r>
            <rPr>
              <rFont val="Calibri"/>
              <sz val="10"/>
            </rPr>
            <t xml:space="preserve"> none · People: 6–8 knowledge work, 8–12 standardised delivery</t>
          </r>
        </is>
      </c>
      <c r="AA20" s="9" t="inlineStr">
        <is>
          <t>Core 3 · Future-ready 3 · Functional 4 · Leadership 2</t>
        </is>
      </c>
      <c r="AB20" s="9" t="inlineStr">
        <is>
          <t>Business Analysis &amp; Requirements Engineering · Regulatory &amp; BFSI Domain</t>
        </is>
      </c>
      <c r="AC20" s="9" t="inlineStr">
        <is>
          <t>Product, Platform &amp; Domain Knowledge · Database, SQL &amp; Data Engineering · Stakeholder &amp; Client Management · Communication &amp; Presentation</t>
        </is>
      </c>
      <c r="AD20" s="8" t="inlineStr">
        <is>
          <t>P4 / M3</t>
        </is>
      </c>
      <c r="AE20" s="8" t="inlineStr">
        <is>
          <t>4–5</t>
        </is>
      </c>
      <c r="AF20" s="9" t="inlineStr">
        <is>
          <t>Regnology — regulatory reporting: Senior BA · Reg Reporting · Big Four consulting: Manager · IRIS Vs Market Benchmark — IIBA certification pathway: CBAP · Infosys / Accenture: JL5 · L8 Associate Manager</t>
        </is>
      </c>
      <c r="AG20" s="9" t="inlineStr">
        <is>
          <t>IIBA BABOK v3; certifications ECBA · entry → CCBA → CBAP · senior</t>
        </is>
      </c>
      <c r="AH20" s="9" t="inlineStr">
        <is>
          <t>B3 · Lead Specialist</t>
        </is>
      </c>
      <c r="AI20" s="9" t="inlineStr">
        <is>
          <t>AI / automation · Leadership &amp; people management · Product &amp; tool knowledge · Client, sales &amp; stakeholders · Strategy &amp; business acumen</t>
        </is>
      </c>
      <c r="AJ20" s="9" t="inlineStr">
        <is>
          <t>—</t>
        </is>
      </c>
      <c r="AK20" s="9" t="inlineStr">
        <is>
          <t>Mentoring / guidance from seniors · Formal / classroom training · On-the-job / hands-on · Online courses / self-learning</t>
        </is>
      </c>
      <c r="AL20" s="9" t="inlineStr">
        <is>
          <t>changing · requirements · dependencies · priorities · dependent</t>
        </is>
      </c>
      <c r="AM20" s="9" t="inlineStr">
        <is>
          <t>requirements · coordination · clearer · delivery · decisions</t>
        </is>
      </c>
      <c r="AN20" s="9" t="inlineStr">
        <is>
          <t>19 of 26 say the role is changing because of AI / automation</t>
        </is>
      </c>
      <c r="AO20" s="9" t="inlineStr">
        <is>
          <t>Define business needs and evaluate solutions. Includes: Elicitation, process analysis, traceability and solution evaluation. Excludes: Product investment authority; technical architecture.</t>
        </is>
      </c>
      <c r="AP20" s="9" t="inlineStr">
        <is>
          <t>BA01-3 · Senior Business Analyst</t>
        </is>
      </c>
      <c r="AQ20" s="9" t="inlineStr">
        <is>
          <t>Resolve conflicting needs and evaluate complex solution trade-offs.</t>
        </is>
      </c>
      <c r="AR20" s="9" t="inlineStr">
        <is>
          <t>Evidence of complex work, decisions and outcomes beyond routine delivery.</t>
        </is>
      </c>
      <c r="AS20" s="9" t="inlineStr">
        <is>
          <t>A requirements set traced to business needs, acceptance tests and realized outcomes</t>
        </is>
      </c>
      <c r="AT20" s="9" t="inlineStr">
        <is>
          <r>
            <rPr>
              <rFont val="Calibri"/>
              <b val="1"/>
              <sz val="10"/>
            </rPr>
            <t>Regnology:</t>
          </r>
          <r>
            <rPr>
              <rFont val="Calibri"/>
              <sz val="10"/>
            </rPr>
            <t xml:space="preserve"> Senior risk consultant · Related work. Gap: Consultant requirement work supports domain context; government BA path supplies role stages</t>
          </r>
        </is>
      </c>
      <c r="AU20" s="19" t="inlineStr">
        <is>
          <t>Framework + sub-family themes · 3+ answered</t>
        </is>
      </c>
      <c r="AV20" s="9" t="inlineStr">
        <is>
          <t>1 holder, 1 answered the survey; sub-family 27 answered</t>
        </is>
      </c>
    </row>
    <row r="21">
      <c r="A21" s="94" t="inlineStr">
        <is>
          <t>Consulting &amp; Professional Services — 16 roles · 89 people</t>
        </is>
      </c>
    </row>
    <row r="22" ht="184" customHeight="1">
      <c r="A22" s="17" t="inlineStr">
        <is>
          <t>RC-013</t>
        </is>
      </c>
      <c r="B22" s="9" t="inlineStr">
        <is>
          <t>Consulting &amp; Professional Services</t>
        </is>
      </c>
      <c r="C22" s="9" t="inlineStr">
        <is>
          <t>Professional Services Leadership</t>
        </is>
      </c>
      <c r="D22" s="27" t="inlineStr">
        <is>
          <t>C1</t>
        </is>
      </c>
      <c r="E22" s="28" t="inlineStr">
        <is>
          <t>Associate Head</t>
        </is>
      </c>
      <c r="F22" s="9" t="inlineStr">
        <is>
          <t>Manager</t>
        </is>
      </c>
      <c r="G22" s="9" t="inlineStr">
        <is>
          <t>Associate Head – XBRL Assisted Services · Associate Head – Assisted Services</t>
        </is>
      </c>
      <c r="H22" s="8" t="n">
        <v>2</v>
      </c>
      <c r="I22" s="9" t="inlineStr">
        <is>
          <t>CARBON 2</t>
        </is>
      </c>
      <c r="J22" s="9" t="inlineStr">
        <is>
          <t>Leads an assisted-services / consulting practice. At C1: a sub-function, or principal authority across products.</t>
        </is>
      </c>
      <c r="K22" s="9" t="inlineStr">
        <is>
          <t>Leads an assisted-services / consulting practice; Ambiguous, cross-product problems; Sub-function results or domain quality across products</t>
        </is>
      </c>
      <c r="L22" s="9" t="inlineStr">
        <is>
          <t>Sub-function results or domain quality across products</t>
        </is>
      </c>
      <c r="M22" s="9" t="inlineStr">
        <is>
          <t>Sub-function results or domain quality across products</t>
        </is>
      </c>
      <c r="N22" s="9" t="inlineStr">
        <is>
          <t>Sets direction for a sub-function or domain</t>
        </is>
      </c>
      <c r="O22" s="9" t="inlineStr">
        <is>
          <t>—</t>
        </is>
      </c>
      <c r="P22" s="9" t="inlineStr">
        <is>
          <t>XBRL Domain</t>
        </is>
      </c>
      <c r="Q22" s="9" t="inlineStr">
        <is>
          <t>—</t>
        </is>
      </c>
      <c r="R22" s="9" t="inlineStr">
        <is>
          <t>A sub-function, or principal authority across products</t>
        </is>
      </c>
      <c r="S22" s="9" t="inlineStr">
        <is>
          <t>Ambiguous, cross-product problems</t>
        </is>
      </c>
      <c r="T22" s="9" t="inlineStr">
        <is>
          <t>Sets direction for a sub-function or domain</t>
        </is>
      </c>
      <c r="U22" s="9" t="inlineStr">
        <is>
          <t>Sub-function results or domain quality across products</t>
        </is>
      </c>
      <c r="V22" s="9" t="inlineStr">
        <is>
          <t>Leads managers or a community of practice</t>
        </is>
      </c>
      <c r="W22" s="9" t="inlineStr">
        <is>
          <t>10–14 yrs</t>
        </is>
      </c>
      <c r="X22" s="9" t="inlineStr">
        <is>
          <t>Postgraduate / professional qualification preferred</t>
        </is>
      </c>
      <c r="Y22" s="9" t="inlineStr">
        <is>
          <t>XBRL US GAAP Certificate · AICPA &amp; XBRL US or equivalent; CA / CMA / ACCA / CFA / IFRS certificate</t>
        </is>
      </c>
      <c r="Z22" s="9" t="inlineStr">
        <is>
          <t>5–8, mostly managers</t>
        </is>
      </c>
      <c r="AA22" s="9" t="inlineStr">
        <is>
          <t>Core 4 · Future-ready 4 · Functional 4 · Leadership 4</t>
        </is>
      </c>
      <c r="AB22" s="9" t="inlineStr">
        <is>
          <t>XBRL, iXBRL &amp; Taxonomy · Accounting &amp; Reporting Standards · IFRS/US GAAP</t>
        </is>
      </c>
      <c r="AC22" s="9" t="inlineStr">
        <is>
          <t>Regulatory &amp; BFSI Domain · Process Improvement &amp; Quality Mindset · Advanced Excel &amp; Productivity Tools · AI, GenAI &amp; Prompt Engineering</t>
        </is>
      </c>
      <c r="AD22" s="8" t="inlineStr">
        <is>
          <t>P6 / M5</t>
        </is>
      </c>
      <c r="AE22" s="8" t="inlineStr">
        <is>
          <t>5–6</t>
        </is>
      </c>
      <c r="AF22" s="9" t="inlineStr">
        <is>
          <r>
            <rPr>
              <rFont val="Calibri"/>
              <b val="1"/>
              <sz val="10"/>
            </rPr>
            <t>Big Four:</t>
          </r>
          <r>
            <rPr>
              <rFont val="Calibri"/>
              <sz val="10"/>
            </rPr>
            <t xml:space="preserve"> Associate Director</t>
          </r>
        </is>
      </c>
      <c r="AG22" s="9" t="inlineStr">
        <is>
          <t>XBRL US GAAP Certificate · AICPA &amp; XBRL US; XBRL International specifications; IFRS / US GAAP / Ind AS</t>
        </is>
      </c>
      <c r="AH22" s="9" t="inlineStr">
        <is>
          <t>C2 · Senior Principal / Architect</t>
        </is>
      </c>
      <c r="AI22" s="9" t="inlineStr">
        <is>
          <t>Project / programme management · Broader exposure &amp; ownership · AI / automation · Data, SQL &amp; analytics</t>
        </is>
      </c>
      <c r="AJ22" s="9" t="inlineStr">
        <is>
          <t>XBRL taxonomy &amp; regulatory updates; domain/accounting refreshers; quality &amp; accuracy practices; tooling proficiency | People management: goal-setting &amp; feedback, 1:1 coaching, performance conversations | Leadership development: strategic thinking, cross-functional influence, financial/business acumen, succession &amp; talent development, change management, executive communication</t>
        </is>
      </c>
      <c r="AK22" s="9" t="inlineStr">
        <is>
          <t>—</t>
        </is>
      </c>
      <c r="AL22" s="9" t="inlineStr">
        <is>
          <t>—</t>
        </is>
      </c>
      <c r="AM22" s="9" t="inlineStr">
        <is>
          <t>—</t>
        </is>
      </c>
      <c r="AN22" s="9" t="inlineStr">
        <is>
          <t>—</t>
        </is>
      </c>
      <c r="AO22" s="9" t="inlineStr">
        <is>
          <t>Deliver expert reporting and client-domain services. Includes: XBRL execution, taxonomy advice, service delivery and technical documentation. Excludes: Internal corporate accounting; product roadmap ownership.</t>
        </is>
      </c>
      <c r="AP22" s="9" t="inlineStr">
        <is>
          <t>LD03-2 · Head of Professional Services</t>
        </is>
      </c>
      <c r="AQ22" s="9" t="inlineStr">
        <is>
          <t>Own integrated function strategy, capacity, controls and cross-team trade-offs</t>
        </is>
      </c>
      <c r="AR22" s="9" t="inlineStr">
        <is>
          <t>Do not manufacture three reporting layers. Choose roles the organisation needs. A specialist may remain on an equally valued expert path.</t>
        </is>
      </c>
      <c r="AS22" s="9" t="inlineStr">
        <is>
          <t>—</t>
        </is>
      </c>
      <c r="AT22" s="9" t="inlineStr">
        <is>
          <t>—</t>
        </is>
      </c>
      <c r="AU22" s="57" t="inlineStr">
        <is>
          <t>Framework only · fewer than 3 answered</t>
        </is>
      </c>
      <c r="AV22" s="9" t="inlineStr">
        <is>
          <t>2 holders, 2 answered the survey; sub-family 2 answered</t>
        </is>
      </c>
    </row>
    <row r="23" ht="80" customHeight="1">
      <c r="A23" s="17" t="inlineStr">
        <is>
          <t>RC-014</t>
        </is>
      </c>
      <c r="B23" s="9" t="inlineStr">
        <is>
          <t>Consulting &amp; Professional Services</t>
        </is>
      </c>
      <c r="C23" s="9" t="inlineStr">
        <is>
          <t>Professional Services Leadership</t>
        </is>
      </c>
      <c r="D23" s="27" t="inlineStr">
        <is>
          <t>C2</t>
        </is>
      </c>
      <c r="E23" s="28" t="inlineStr">
        <is>
          <t>Head of Function</t>
        </is>
      </c>
      <c r="F23" s="9" t="inlineStr">
        <is>
          <t>Manager</t>
        </is>
      </c>
      <c r="G23" s="9" t="inlineStr">
        <is>
          <t>Head – Consulting</t>
        </is>
      </c>
      <c r="H23" s="8" t="n">
        <v>1</v>
      </c>
      <c r="I23" s="9" t="inlineStr">
        <is>
          <t>iFile 1</t>
        </is>
      </c>
      <c r="J23" s="9" t="inlineStr">
        <is>
          <t>Leads an assisted-services / consulting practice. At C2: a function or department, or a company-wide discipline.</t>
        </is>
      </c>
      <c r="K23" s="9" t="inlineStr">
        <is>
          <t>Leads an assisted-services / consulting practice; Function-wide or company-wide problems; creates methods and standards; Function results, budget and risk</t>
        </is>
      </c>
      <c r="L23" s="9" t="inlineStr">
        <is>
          <t>Function results, budget and risk</t>
        </is>
      </c>
      <c r="M23" s="9" t="inlineStr">
        <is>
          <t>Function results, budget and risk</t>
        </is>
      </c>
      <c r="N23" s="9" t="inlineStr">
        <is>
          <t>Sets direction for a function</t>
        </is>
      </c>
      <c r="O23" s="9" t="inlineStr">
        <is>
          <t>—</t>
        </is>
      </c>
      <c r="P23" s="9" t="inlineStr">
        <is>
          <t>XBRL Domain</t>
        </is>
      </c>
      <c r="Q23" s="9" t="inlineStr">
        <is>
          <t>—</t>
        </is>
      </c>
      <c r="R23" s="9" t="inlineStr">
        <is>
          <t>A function or department, or a company-wide discipline</t>
        </is>
      </c>
      <c r="S23" s="9" t="inlineStr">
        <is>
          <t>Function-wide or company-wide problems; creates methods and standards</t>
        </is>
      </c>
      <c r="T23" s="9" t="inlineStr">
        <is>
          <t>Sets direction for a function</t>
        </is>
      </c>
      <c r="U23" s="9" t="inlineStr">
        <is>
          <t>Function results, budget and risk</t>
        </is>
      </c>
      <c r="V23" s="9" t="inlineStr">
        <is>
          <t>Leads a function; shapes functional strategy</t>
        </is>
      </c>
      <c r="W23" s="9" t="inlineStr">
        <is>
          <t>12–17 yrs</t>
        </is>
      </c>
      <c r="X23" s="9" t="inlineStr">
        <is>
          <t>Postgraduate / professional qualification preferred</t>
        </is>
      </c>
      <c r="Y23" s="9" t="inlineStr">
        <is>
          <t>XBRL US GAAP Certificate · AICPA &amp; XBRL US or equivalent; CA / CMA / ACCA / CFA / IFRS certificate</t>
        </is>
      </c>
      <c r="Z23" s="9" t="inlineStr">
        <is>
          <t>5–8 managers / associate heads</t>
        </is>
      </c>
      <c r="AA23" s="9" t="inlineStr">
        <is>
          <t>Core 4 · Future-ready 4 · Functional 5 · Leadership 4</t>
        </is>
      </c>
      <c r="AB23" s="9" t="inlineStr">
        <is>
          <t>XBRL, iXBRL &amp; Taxonomy · Accounting &amp; Reporting Standards · IFRS/US GAAP</t>
        </is>
      </c>
      <c r="AC23" s="9" t="inlineStr">
        <is>
          <t>Regulatory &amp; BFSI Domain · Process Improvement &amp; Quality Mindset · Advanced Excel &amp; Productivity Tools · AI, GenAI &amp; Prompt Engineering</t>
        </is>
      </c>
      <c r="AD23" s="8" t="inlineStr">
        <is>
          <t>P7 / M6</t>
        </is>
      </c>
      <c r="AE23" s="8" t="inlineStr">
        <is>
          <t>6 Initiate, influence</t>
        </is>
      </c>
      <c r="AF23" s="9" t="inlineStr">
        <is>
          <r>
            <rPr>
              <rFont val="Calibri"/>
              <b val="1"/>
              <sz val="10"/>
            </rPr>
            <t>Big Four:</t>
          </r>
          <r>
            <rPr>
              <rFont val="Calibri"/>
              <sz val="10"/>
            </rPr>
            <t xml:space="preserve"> Director</t>
          </r>
        </is>
      </c>
      <c r="AG23" s="9" t="inlineStr">
        <is>
          <t>XBRL US GAAP Certificate · AICPA &amp; XBRL US; XBRL International specifications; IFRS / US GAAP / Ind AS</t>
        </is>
      </c>
      <c r="AH23" s="9" t="inlineStr">
        <is>
          <t>D1 · Chief Specialist / Distinguished Principal · or C+ · Player-Coach transition step if leading people hands-on</t>
        </is>
      </c>
      <c r="AI23" s="9" t="inlineStr">
        <is>
          <t>—</t>
        </is>
      </c>
      <c r="AJ23" s="9" t="inlineStr">
        <is>
          <t>—</t>
        </is>
      </c>
      <c r="AK23" s="9" t="inlineStr">
        <is>
          <t>—</t>
        </is>
      </c>
      <c r="AL23" s="9" t="inlineStr">
        <is>
          <t>—</t>
        </is>
      </c>
      <c r="AM23" s="9" t="inlineStr">
        <is>
          <t>—</t>
        </is>
      </c>
      <c r="AN23" s="9" t="inlineStr">
        <is>
          <t>—</t>
        </is>
      </c>
      <c r="AO23" s="9" t="inlineStr">
        <is>
          <t>Deliver expert reporting and client-domain services. Includes: XBRL execution, taxonomy advice, service delivery and technical documentation. Excludes: Internal corporate accounting; product roadmap ownership.</t>
        </is>
      </c>
      <c r="AP23" s="9" t="inlineStr">
        <is>
          <t>LD03-2 · Head of Professional Services</t>
        </is>
      </c>
      <c r="AQ23" s="9" t="inlineStr">
        <is>
          <t>Own integrated function strategy, capacity, controls and cross-team trade-offs</t>
        </is>
      </c>
      <c r="AR23" s="9" t="inlineStr">
        <is>
          <t>Do not manufacture three reporting layers. Choose roles the organisation needs. A specialist may remain on an equally valued expert path.</t>
        </is>
      </c>
      <c r="AS23" s="9" t="inlineStr">
        <is>
          <t>—</t>
        </is>
      </c>
      <c r="AT23" s="9" t="inlineStr">
        <is>
          <t>—</t>
        </is>
      </c>
      <c r="AU23" s="57" t="inlineStr">
        <is>
          <t>Framework only · fewer than 3 answered</t>
        </is>
      </c>
      <c r="AV23" s="9" t="inlineStr">
        <is>
          <t>1 holder, 0 answered the survey; sub-family 2 answered</t>
        </is>
      </c>
    </row>
    <row r="24" ht="106" customHeight="1">
      <c r="A24" s="17" t="inlineStr">
        <is>
          <t>RC-015</t>
        </is>
      </c>
      <c r="B24" s="9" t="inlineStr">
        <is>
          <t>Consulting &amp; Professional Services</t>
        </is>
      </c>
      <c r="C24" s="9" t="inlineStr">
        <is>
          <t>Service Delivery Operations</t>
        </is>
      </c>
      <c r="D24" s="18" t="inlineStr">
        <is>
          <t>A3</t>
        </is>
      </c>
      <c r="E24" s="19" t="inlineStr">
        <is>
          <t>Senior Associate</t>
        </is>
      </c>
      <c r="F24" s="9" t="inlineStr">
        <is>
          <t>IC</t>
        </is>
      </c>
      <c r="G24" s="9" t="inlineStr">
        <is>
          <t>Senior Service Delivery Analyst</t>
        </is>
      </c>
      <c r="H24" s="8" t="n">
        <v>1</v>
      </c>
      <c r="I24" s="9" t="inlineStr">
        <is>
          <t>CARBON 1</t>
        </is>
      </c>
      <c r="J24" s="9" t="inlineStr">
        <is>
          <r>
            <rPr>
              <rFont val="Calibri"/>
              <sz val="10"/>
            </rPr>
            <t xml:space="preserve">Allocates work and shifts, tracks deliveries, prepares billing inputs and services MIS. At A3: varied work; reviews juniors; go-to for a process.
</t>
          </r>
          <r>
            <rPr>
              <rFont val="Calibri"/>
              <b val="1"/>
              <sz val="10"/>
            </rPr>
            <t>Common themes in sub-family holders, all levels' answers:</t>
          </r>
          <r>
            <rPr>
              <rFont val="Calibri"/>
              <sz val="10"/>
            </rPr>
            <t xml:space="preserve"> timely</t>
          </r>
        </is>
      </c>
      <c r="K24" s="9" t="inlineStr">
        <is>
          <r>
            <rPr>
              <rFont val="Calibri"/>
              <sz val="10"/>
            </rPr>
            <t xml:space="preserve">Allocates work and shifts, tracks deliveries, prepares billing inputs and services MIS; Varied and non-standard work; handles exceptions; A module / process, or work with client or regulatory consequences
</t>
          </r>
          <r>
            <rPr>
              <rFont val="Calibri"/>
              <b val="1"/>
              <sz val="10"/>
            </rPr>
            <t>Common themes in sub-family holders, all levels' answers:</t>
          </r>
          <r>
            <rPr>
              <rFont val="Calibri"/>
              <sz val="10"/>
            </rPr>
            <t xml:space="preserve"> monitoring · management · project · handling</t>
          </r>
        </is>
      </c>
      <c r="L24" s="9" t="inlineStr">
        <is>
          <r>
            <rPr>
              <rFont val="Calibri"/>
              <sz val="10"/>
            </rPr>
            <t xml:space="preserve">A module / process, or work with client or regulatory consequences
</t>
          </r>
          <r>
            <rPr>
              <rFont val="Calibri"/>
              <b val="1"/>
              <sz val="10"/>
            </rPr>
            <t>Common themes in sub-family holders, all levels' answers:</t>
          </r>
          <r>
            <rPr>
              <rFont val="Calibri"/>
              <sz val="10"/>
            </rPr>
            <t xml:space="preserve"> timely</t>
          </r>
        </is>
      </c>
      <c r="M24" s="9" t="inlineStr">
        <is>
          <r>
            <rPr>
              <rFont val="Calibri"/>
              <sz val="10"/>
            </rPr>
            <t xml:space="preserve">A module / process, or work with client or regulatory consequences
</t>
          </r>
          <r>
            <rPr>
              <rFont val="Calibri"/>
              <b val="1"/>
              <sz val="10"/>
            </rPr>
            <t>Common themes in sub-family holders, all levels' answers:</t>
          </r>
          <r>
            <rPr>
              <rFont val="Calibri"/>
              <sz val="10"/>
            </rPr>
            <t xml:space="preserve"> delivery · performance</t>
          </r>
        </is>
      </c>
      <c r="N24" s="9" t="inlineStr">
        <is>
          <r>
            <rPr>
              <rFont val="Calibri"/>
              <sz val="10"/>
            </rPr>
            <t xml:space="preserve">Technical / QC / client calls on own work
</t>
          </r>
          <r>
            <rPr>
              <rFont val="Calibri"/>
              <b val="1"/>
              <sz val="10"/>
            </rPr>
            <t>Common themes in sub-family holders, all levels' answers:</t>
          </r>
          <r>
            <rPr>
              <rFont val="Calibri"/>
              <sz val="10"/>
            </rPr>
            <t xml:space="preserve"> project</t>
          </r>
        </is>
      </c>
      <c r="O24" s="9" t="inlineStr">
        <is>
          <t>—</t>
        </is>
      </c>
      <c r="P24" s="9" t="inlineStr">
        <is>
          <t>XBRL Domain</t>
        </is>
      </c>
      <c r="Q24" s="9" t="inlineStr">
        <is>
          <t>—</t>
        </is>
      </c>
      <c r="R24" s="9" t="inlineStr">
        <is>
          <t>Varied work; reviews juniors; go-to for a process</t>
        </is>
      </c>
      <c r="S24" s="9" t="inlineStr">
        <is>
          <t>Varied and non-standard work; handles exceptions</t>
        </is>
      </c>
      <c r="T24" s="9" t="inlineStr">
        <is>
          <t>Technical / QC / client calls on own work</t>
        </is>
      </c>
      <c r="U24" s="9" t="inlineStr">
        <is>
          <t>A module / process, or work with client or regulatory consequences</t>
        </is>
      </c>
      <c r="V24" s="9" t="inlineStr">
        <is>
          <t>Not scored in Band A</t>
        </is>
      </c>
      <c r="W24" s="9" t="inlineStr">
        <is>
          <t>2–4 yrs</t>
        </is>
      </c>
      <c r="X24" s="9" t="inlineStr">
        <is>
          <t>Graduate; relevant certification preferred</t>
        </is>
      </c>
      <c r="Y24" s="9" t="inlineStr">
        <is>
          <t>XBRL US GAAP Certificate · AICPA &amp; XBRL US or equivalent; CA / CMA / ACCA / CFA / IFRS certificate</t>
        </is>
      </c>
      <c r="Z24" s="9" t="inlineStr">
        <is>
          <t>None · guides 1–3 juniors informally</t>
        </is>
      </c>
      <c r="AA24" s="9" t="inlineStr">
        <is>
          <t>Core 2 · Future-ready 2 · Functional 3 · Leadership —</t>
        </is>
      </c>
      <c r="AB24" s="9" t="inlineStr">
        <is>
          <t>XBRL, iXBRL &amp; Taxonomy · Accounting &amp; Reporting Standards · IFRS/US GAAP</t>
        </is>
      </c>
      <c r="AC24" s="9" t="inlineStr">
        <is>
          <t>Regulatory &amp; BFSI Domain · Process Improvement &amp; Quality Mindset · Advanced Excel &amp; Productivity Tools · AI, GenAI &amp; Prompt Engineering</t>
        </is>
      </c>
      <c r="AD24" s="8" t="inlineStr">
        <is>
          <t>P2</t>
        </is>
      </c>
      <c r="AE24" s="8" t="inlineStr">
        <is>
          <t>3 Apply</t>
        </is>
      </c>
      <c r="AF24" s="9" t="inlineStr">
        <is>
          <r>
            <rPr>
              <rFont val="Calibri"/>
              <b val="1"/>
              <sz val="10"/>
            </rPr>
            <t>DataTracks:</t>
          </r>
          <r>
            <rPr>
              <rFont val="Calibri"/>
              <sz val="10"/>
            </rPr>
            <t xml:space="preserve"> Senior Associate · 2–5 yrs · Big Four: Consultant · IRIS Vs Market Benchmark — XBRL US credential pathway: XBRL US GAAP Certificate</t>
          </r>
        </is>
      </c>
      <c r="AG24" s="9" t="inlineStr">
        <is>
          <t>XBRL US GAAP Certificate · AICPA &amp; XBRL US; XBRL International specifications; IFRS / US GAAP / Ind AS</t>
        </is>
      </c>
      <c r="AH24" s="9" t="inlineStr">
        <is>
          <t>B1 · Specialist</t>
        </is>
      </c>
      <c r="AI24" s="9" t="inlineStr">
        <is>
          <t>—</t>
        </is>
      </c>
      <c r="AJ24" s="9" t="inlineStr">
        <is>
          <t>—</t>
        </is>
      </c>
      <c r="AK24" s="9" t="inlineStr">
        <is>
          <t>Mentoring / guidance from seniors · On-the-job / hands-on · Formal / classroom training · Knowledge transfer · KT</t>
        </is>
      </c>
      <c r="AL24" s="9" t="inlineStr">
        <is>
          <t>receiving · documents</t>
        </is>
      </c>
      <c r="AM24" s="9" t="inlineStr">
        <is>
          <t>reduce · resource · planning · delivery · improved</t>
        </is>
      </c>
      <c r="AN24" s="9" t="inlineStr">
        <is>
          <t>2 of 2 say the role is changing because of AI / automation</t>
        </is>
      </c>
      <c r="AO24" s="9" t="inlineStr">
        <is>
          <t>Deliver expert reporting and client-domain services. Includes: XBRL execution, taxonomy advice, service delivery and technical documentation. Excludes: Internal corporate accounting; product roadmap ownership.</t>
        </is>
      </c>
      <c r="AP24" s="9" t="inlineStr">
        <is>
          <t>CON03-2 · Service Delivery Analyst</t>
        </is>
      </c>
      <c r="AQ24" s="9" t="inlineStr">
        <is>
          <t>Coordinate service schedules, controls and customer handoffs.</t>
        </is>
      </c>
      <c r="AR24" s="9" t="inlineStr">
        <is>
          <t>Demonstrate routine delivery plus judgement in bounded exceptions.</t>
        </is>
      </c>
      <c r="AS24" s="9" t="inlineStr">
        <is>
          <t>A delivery plan with quality checks, escalation paths and completion evidence</t>
        </is>
      </c>
      <c r="AT24" s="9" t="inlineStr">
        <is>
          <r>
            <rPr>
              <rFont val="Calibri"/>
              <b val="1"/>
              <sz val="10"/>
            </rPr>
            <t>Workiva:</t>
          </r>
          <r>
            <rPr>
              <rFont val="Calibri"/>
              <sz val="10"/>
            </rPr>
            <t xml:space="preserve"> Senior Manager of Product Support · Related work. Gap: Support operations are adjacent; no full reporting-service operations ladder found</t>
          </r>
        </is>
      </c>
      <c r="AU24" s="19" t="inlineStr">
        <is>
          <t>Framework + sub-family themes · 3+ answered</t>
        </is>
      </c>
      <c r="AV24" s="9" t="inlineStr">
        <is>
          <t>1 holder, 1 answered the survey; sub-family 3 answered</t>
        </is>
      </c>
    </row>
    <row r="25" ht="93" customHeight="1">
      <c r="A25" s="17" t="inlineStr">
        <is>
          <t>RC-016</t>
        </is>
      </c>
      <c r="B25" s="9" t="inlineStr">
        <is>
          <t>Consulting &amp; Professional Services</t>
        </is>
      </c>
      <c r="C25" s="9" t="inlineStr">
        <is>
          <t>Service Delivery Operations</t>
        </is>
      </c>
      <c r="D25" s="21" t="inlineStr">
        <is>
          <t>B1</t>
        </is>
      </c>
      <c r="E25" s="22" t="inlineStr">
        <is>
          <t>Specialist</t>
        </is>
      </c>
      <c r="F25" s="9" t="inlineStr">
        <is>
          <t>IC</t>
        </is>
      </c>
      <c r="G25" s="9" t="inlineStr">
        <is>
          <t>Service Delivery Specialist</t>
        </is>
      </c>
      <c r="H25" s="8" t="n">
        <v>1</v>
      </c>
      <c r="I25" s="9" t="inlineStr">
        <is>
          <t>CARBON 1</t>
        </is>
      </c>
      <c r="J25" s="9" t="inlineStr">
        <is>
          <r>
            <rPr>
              <rFont val="Calibri"/>
              <sz val="10"/>
            </rPr>
            <t xml:space="preserve">Allocates work and shifts, tracks deliveries, prepares billing inputs and services MIS. At B1: a domain / module, or a small team.
</t>
          </r>
          <r>
            <rPr>
              <rFont val="Calibri"/>
              <b val="1"/>
              <sz val="10"/>
            </rPr>
            <t>Common themes in sub-family holders, all levels' answers:</t>
          </r>
          <r>
            <rPr>
              <rFont val="Calibri"/>
              <sz val="10"/>
            </rPr>
            <t xml:space="preserve"> timely</t>
          </r>
        </is>
      </c>
      <c r="K25" s="9" t="inlineStr">
        <is>
          <r>
            <rPr>
              <rFont val="Calibri"/>
              <sz val="10"/>
            </rPr>
            <t xml:space="preserve">Allocates work and shifts, tracks deliveries, prepares billing inputs and services MIS; Domain specialist work; A domain or a small team
</t>
          </r>
          <r>
            <rPr>
              <rFont val="Calibri"/>
              <b val="1"/>
              <sz val="10"/>
            </rPr>
            <t>Common themes in sub-family holders, all levels' answers:</t>
          </r>
          <r>
            <rPr>
              <rFont val="Calibri"/>
              <sz val="10"/>
            </rPr>
            <t xml:space="preserve"> monitoring · management · project · handling</t>
          </r>
        </is>
      </c>
      <c r="L25" s="9" t="inlineStr">
        <is>
          <r>
            <rPr>
              <rFont val="Calibri"/>
              <sz val="10"/>
            </rPr>
            <t xml:space="preserve">A domain or a small team
</t>
          </r>
          <r>
            <rPr>
              <rFont val="Calibri"/>
              <b val="1"/>
              <sz val="10"/>
            </rPr>
            <t>Common themes in sub-family holders, all levels' answers:</t>
          </r>
          <r>
            <rPr>
              <rFont val="Calibri"/>
              <sz val="10"/>
            </rPr>
            <t xml:space="preserve"> timely</t>
          </r>
        </is>
      </c>
      <c r="M25" s="9" t="inlineStr">
        <is>
          <r>
            <rPr>
              <rFont val="Calibri"/>
              <sz val="10"/>
            </rPr>
            <t xml:space="preserve">A domain or a small team
</t>
          </r>
          <r>
            <rPr>
              <rFont val="Calibri"/>
              <b val="1"/>
              <sz val="10"/>
            </rPr>
            <t>Common themes in sub-family holders, all levels' answers:</t>
          </r>
          <r>
            <rPr>
              <rFont val="Calibri"/>
              <sz val="10"/>
            </rPr>
            <t xml:space="preserve"> delivery · performance</t>
          </r>
        </is>
      </c>
      <c r="N25" s="9" t="inlineStr">
        <is>
          <r>
            <rPr>
              <rFont val="Calibri"/>
              <sz val="10"/>
            </rPr>
            <t xml:space="preserve">Technical / QC / client calls for the domain
</t>
          </r>
          <r>
            <rPr>
              <rFont val="Calibri"/>
              <b val="1"/>
              <sz val="10"/>
            </rPr>
            <t>Common themes in sub-family holders, all levels' answers:</t>
          </r>
          <r>
            <rPr>
              <rFont val="Calibri"/>
              <sz val="10"/>
            </rPr>
            <t xml:space="preserve"> project</t>
          </r>
        </is>
      </c>
      <c r="O25" s="9" t="inlineStr">
        <is>
          <t>—</t>
        </is>
      </c>
      <c r="P25" s="9" t="inlineStr">
        <is>
          <t>XBRL Domain</t>
        </is>
      </c>
      <c r="Q25" s="9" t="inlineStr">
        <is>
          <t>—</t>
        </is>
      </c>
      <c r="R25" s="9" t="inlineStr">
        <is>
          <t>A domain / module, or a small team</t>
        </is>
      </c>
      <c r="S25" s="9" t="inlineStr">
        <is>
          <t>Domain specialist work</t>
        </is>
      </c>
      <c r="T25" s="9" t="inlineStr">
        <is>
          <t>Technical / QC / client calls for the domain</t>
        </is>
      </c>
      <c r="U25" s="9" t="inlineStr">
        <is>
          <t>A domain or a small team</t>
        </is>
      </c>
      <c r="V25" s="9" t="inlineStr">
        <is>
          <r>
            <rPr>
              <rFont val="Calibri"/>
              <b val="1"/>
              <sz val="10"/>
            </rPr>
            <t>IC:</t>
          </r>
          <r>
            <rPr>
              <rFont val="Calibri"/>
              <sz val="10"/>
            </rPr>
            <t xml:space="preserve"> mentors and reviews · People: hands-on team lead of 3–5</t>
          </r>
        </is>
      </c>
      <c r="W25" s="9" t="inlineStr">
        <is>
          <t>4–7 yrs</t>
        </is>
      </c>
      <c r="X25" s="9" t="inlineStr">
        <is>
          <t>Graduate + relevant qualification or certification preferred</t>
        </is>
      </c>
      <c r="Y25" s="9" t="inlineStr">
        <is>
          <t>XBRL US GAAP Certificate · AICPA &amp; XBRL US or equivalent; CA / CMA / ACCA / CFA / IFRS certificate</t>
        </is>
      </c>
      <c r="Z25" s="9" t="inlineStr">
        <is>
          <r>
            <rPr>
              <rFont val="Calibri"/>
              <b val="1"/>
              <sz val="10"/>
            </rPr>
            <t>IC:</t>
          </r>
          <r>
            <rPr>
              <rFont val="Calibri"/>
              <sz val="10"/>
            </rPr>
            <t xml:space="preserve"> none · Team Lead: 3–5</t>
          </r>
        </is>
      </c>
      <c r="AA25" s="9" t="inlineStr">
        <is>
          <t>Core 3 · Future-ready 3 · Functional 3 · Leadership 1</t>
        </is>
      </c>
      <c r="AB25" s="9" t="inlineStr">
        <is>
          <t>XBRL, iXBRL &amp; Taxonomy · Accounting &amp; Reporting Standards · IFRS/US GAAP</t>
        </is>
      </c>
      <c r="AC25" s="9" t="inlineStr">
        <is>
          <t>Regulatory &amp; BFSI Domain · Process Improvement &amp; Quality Mindset · Advanced Excel &amp; Productivity Tools · AI, GenAI &amp; Prompt Engineering</t>
        </is>
      </c>
      <c r="AD25" s="8" t="inlineStr">
        <is>
          <t>P3 / M2</t>
        </is>
      </c>
      <c r="AE25" s="8" t="inlineStr">
        <is>
          <t>4 Enable</t>
        </is>
      </c>
      <c r="AF25" s="9" t="inlineStr">
        <is>
          <r>
            <rPr>
              <rFont val="Calibri"/>
              <b val="1"/>
              <sz val="10"/>
            </rPr>
            <t>Big Four:</t>
          </r>
          <r>
            <rPr>
              <rFont val="Calibri"/>
              <sz val="10"/>
            </rPr>
            <t xml:space="preserve"> Senior Consultant · IRIS Vs Market Benchmark — XBRL US credential pathway: Certificate + specialist taxonomy</t>
          </r>
        </is>
      </c>
      <c r="AG25" s="9" t="inlineStr">
        <is>
          <t>XBRL US GAAP Certificate · AICPA &amp; XBRL US; XBRL International specifications; IFRS / US GAAP / Ind AS</t>
        </is>
      </c>
      <c r="AH25" s="9" t="inlineStr">
        <is>
          <t>B2 · Senior Specialist</t>
        </is>
      </c>
      <c r="AI25" s="9" t="inlineStr">
        <is>
          <t>Leadership &amp; people management · Project / programme management · Strategy &amp; business acumen · Broader exposure &amp; ownership</t>
        </is>
      </c>
      <c r="AJ25" s="9" t="inlineStr">
        <is>
          <t>—</t>
        </is>
      </c>
      <c r="AK25" s="9" t="inlineStr">
        <is>
          <t>Mentoring / guidance from seniors · On-the-job / hands-on · Formal / classroom training · Knowledge transfer · KT</t>
        </is>
      </c>
      <c r="AL25" s="9" t="inlineStr">
        <is>
          <t>receiving · documents</t>
        </is>
      </c>
      <c r="AM25" s="9" t="inlineStr">
        <is>
          <t>reduce · resource · planning · delivery · improved</t>
        </is>
      </c>
      <c r="AN25" s="9" t="inlineStr">
        <is>
          <t>2 of 2 say the role is changing because of AI / automation</t>
        </is>
      </c>
      <c r="AO25" s="9" t="inlineStr">
        <is>
          <t>Deliver expert reporting and client-domain services. Includes: XBRL execution, taxonomy advice, service delivery and technical documentation. Excludes: Internal corporate accounting; product roadmap ownership.</t>
        </is>
      </c>
      <c r="AP25" s="9" t="inlineStr">
        <is>
          <t>CON03-3 · Senior Service Delivery Analyst</t>
        </is>
      </c>
      <c r="AQ25" s="9" t="inlineStr">
        <is>
          <t>Resolve capacity conflicts, repeated defects and service exceptions.</t>
        </is>
      </c>
      <c r="AR25" s="9" t="inlineStr">
        <is>
          <t>Evidence of complex work, decisions and outcomes beyond routine delivery.</t>
        </is>
      </c>
      <c r="AS25" s="9" t="inlineStr">
        <is>
          <t>A delivery plan with quality checks, escalation paths and completion evidence</t>
        </is>
      </c>
      <c r="AT25" s="9" t="inlineStr">
        <is>
          <r>
            <rPr>
              <rFont val="Calibri"/>
              <b val="1"/>
              <sz val="10"/>
            </rPr>
            <t>Workiva:</t>
          </r>
          <r>
            <rPr>
              <rFont val="Calibri"/>
              <sz val="10"/>
            </rPr>
            <t xml:space="preserve"> Senior Manager of Product Support · Related work. Gap: Support operations are adjacent; no full reporting-service operations ladder found</t>
          </r>
        </is>
      </c>
      <c r="AU25" s="19" t="inlineStr">
        <is>
          <t>Framework + sub-family themes · 3+ answered</t>
        </is>
      </c>
      <c r="AV25" s="9" t="inlineStr">
        <is>
          <t>1 holder, 1 answered the survey; sub-family 3 answered</t>
        </is>
      </c>
    </row>
    <row r="26" ht="93" customHeight="1">
      <c r="A26" s="17" t="inlineStr">
        <is>
          <t>RC-017</t>
        </is>
      </c>
      <c r="B26" s="9" t="inlineStr">
        <is>
          <t>Consulting &amp; Professional Services</t>
        </is>
      </c>
      <c r="C26" s="9" t="inlineStr">
        <is>
          <t>Service Delivery Operations</t>
        </is>
      </c>
      <c r="D26" s="21" t="inlineStr">
        <is>
          <t>B2</t>
        </is>
      </c>
      <c r="E26" s="22" t="inlineStr">
        <is>
          <t>Manager</t>
        </is>
      </c>
      <c r="F26" s="9" t="inlineStr">
        <is>
          <t>Manager</t>
        </is>
      </c>
      <c r="G26" s="9" t="inlineStr">
        <is>
          <t>Senior Manager – Service Delivery</t>
        </is>
      </c>
      <c r="H26" s="8" t="n">
        <v>1</v>
      </c>
      <c r="I26" s="9" t="inlineStr">
        <is>
          <t>CARBON 1</t>
        </is>
      </c>
      <c r="J26" s="9" t="inlineStr">
        <is>
          <r>
            <rPr>
              <rFont val="Calibri"/>
              <sz val="10"/>
            </rPr>
            <t xml:space="preserve">Allocates work and shifts, tracks deliveries, prepares billing inputs and services MIS. At B2: deep domain expertise, or one team.
</t>
          </r>
          <r>
            <rPr>
              <rFont val="Calibri"/>
              <b val="1"/>
              <sz val="10"/>
            </rPr>
            <t>Common themes in sub-family holders, all levels' answers:</t>
          </r>
          <r>
            <rPr>
              <rFont val="Calibri"/>
              <sz val="10"/>
            </rPr>
            <t xml:space="preserve"> timely</t>
          </r>
        </is>
      </c>
      <c r="K26" s="9" t="inlineStr">
        <is>
          <r>
            <rPr>
              <rFont val="Calibri"/>
              <sz val="10"/>
            </rPr>
            <t xml:space="preserve">Allocates work and shifts, tracks deliveries, prepares billing inputs and services MIS; Hardest problems in the domain; One team or a client portfolio
</t>
          </r>
          <r>
            <rPr>
              <rFont val="Calibri"/>
              <b val="1"/>
              <sz val="10"/>
            </rPr>
            <t>Common themes in sub-family holders, all levels' answers:</t>
          </r>
          <r>
            <rPr>
              <rFont val="Calibri"/>
              <sz val="10"/>
            </rPr>
            <t xml:space="preserve"> monitoring · management · project · handling</t>
          </r>
        </is>
      </c>
      <c r="L26" s="9" t="inlineStr">
        <is>
          <r>
            <rPr>
              <rFont val="Calibri"/>
              <sz val="10"/>
            </rPr>
            <t xml:space="preserve">One team or a client portfolio
</t>
          </r>
          <r>
            <rPr>
              <rFont val="Calibri"/>
              <b val="1"/>
              <sz val="10"/>
            </rPr>
            <t>Common themes in sub-family holders, all levels' answers:</t>
          </r>
          <r>
            <rPr>
              <rFont val="Calibri"/>
              <sz val="10"/>
            </rPr>
            <t xml:space="preserve"> timely</t>
          </r>
        </is>
      </c>
      <c r="M26" s="9" t="inlineStr">
        <is>
          <r>
            <rPr>
              <rFont val="Calibri"/>
              <sz val="10"/>
            </rPr>
            <t xml:space="preserve">One team or a client portfolio
</t>
          </r>
          <r>
            <rPr>
              <rFont val="Calibri"/>
              <b val="1"/>
              <sz val="10"/>
            </rPr>
            <t>Common themes in sub-family holders, all levels' answers:</t>
          </r>
          <r>
            <rPr>
              <rFont val="Calibri"/>
              <sz val="10"/>
            </rPr>
            <t xml:space="preserve"> delivery · performance</t>
          </r>
        </is>
      </c>
      <c r="N26" s="9" t="inlineStr">
        <is>
          <r>
            <rPr>
              <rFont val="Calibri"/>
              <sz val="10"/>
            </rPr>
            <t xml:space="preserve">Allocates people and sets team priorities
</t>
          </r>
          <r>
            <rPr>
              <rFont val="Calibri"/>
              <b val="1"/>
              <sz val="10"/>
            </rPr>
            <t>Common themes in sub-family holders, all levels' answers:</t>
          </r>
          <r>
            <rPr>
              <rFont val="Calibri"/>
              <sz val="10"/>
            </rPr>
            <t xml:space="preserve"> project</t>
          </r>
        </is>
      </c>
      <c r="O26" s="9" t="inlineStr">
        <is>
          <t>—</t>
        </is>
      </c>
      <c r="P26" s="9" t="inlineStr">
        <is>
          <t>XBRL Domain</t>
        </is>
      </c>
      <c r="Q26" s="9" t="inlineStr">
        <is>
          <t>—</t>
        </is>
      </c>
      <c r="R26" s="9" t="inlineStr">
        <is>
          <t>Deep domain expertise, or one team</t>
        </is>
      </c>
      <c r="S26" s="9" t="inlineStr">
        <is>
          <t>Hardest problems in the domain</t>
        </is>
      </c>
      <c r="T26" s="9" t="inlineStr">
        <is>
          <t>Allocates people and sets team priorities</t>
        </is>
      </c>
      <c r="U26" s="9" t="inlineStr">
        <is>
          <t>One team or a client portfolio</t>
        </is>
      </c>
      <c r="V26" s="9" t="inlineStr">
        <is>
          <r>
            <rPr>
              <rFont val="Calibri"/>
              <b val="1"/>
              <sz val="10"/>
            </rPr>
            <t>IC:</t>
          </r>
          <r>
            <rPr>
              <rFont val="Calibri"/>
              <sz val="10"/>
            </rPr>
            <t xml:space="preserve"> guides others in the domain · People: manages a team of 6+</t>
          </r>
        </is>
      </c>
      <c r="W26" s="9" t="inlineStr">
        <is>
          <t>6–9 yrs</t>
        </is>
      </c>
      <c r="X26" s="9" t="inlineStr">
        <is>
          <t>Graduate or postgraduate; professional qualification preferred</t>
        </is>
      </c>
      <c r="Y26" s="9" t="inlineStr">
        <is>
          <t>XBRL US GAAP Certificate · AICPA &amp; XBRL US or equivalent; CA / CMA / ACCA / CFA / IFRS certificate</t>
        </is>
      </c>
      <c r="Z26" s="9" t="inlineStr">
        <is>
          <r>
            <rPr>
              <rFont val="Calibri"/>
              <b val="1"/>
              <sz val="10"/>
            </rPr>
            <t>IC:</t>
          </r>
          <r>
            <rPr>
              <rFont val="Calibri"/>
              <sz val="10"/>
            </rPr>
            <t xml:space="preserve"> none · People: 6–8 knowledge work, 8–12 standardised delivery</t>
          </r>
        </is>
      </c>
      <c r="AA26" s="9" t="inlineStr">
        <is>
          <t>Core 3 · Future-ready 3 · Functional 4 · Leadership 3</t>
        </is>
      </c>
      <c r="AB26" s="9" t="inlineStr">
        <is>
          <t>XBRL, iXBRL &amp; Taxonomy · Accounting &amp; Reporting Standards · IFRS/US GAAP</t>
        </is>
      </c>
      <c r="AC26" s="9" t="inlineStr">
        <is>
          <t>Regulatory &amp; BFSI Domain · Process Improvement &amp; Quality Mindset · Advanced Excel &amp; Productivity Tools · AI, GenAI &amp; Prompt Engineering</t>
        </is>
      </c>
      <c r="AD26" s="8" t="inlineStr">
        <is>
          <t>P4 / M3</t>
        </is>
      </c>
      <c r="AE26" s="8" t="inlineStr">
        <is>
          <t>4–5</t>
        </is>
      </c>
      <c r="AF26" s="9" t="inlineStr">
        <is>
          <r>
            <rPr>
              <rFont val="Calibri"/>
              <b val="1"/>
              <sz val="10"/>
            </rPr>
            <t>Big Four:</t>
          </r>
          <r>
            <rPr>
              <rFont val="Calibri"/>
              <sz val="10"/>
            </rPr>
            <t xml:space="preserve"> Manager · IRIS Vs Market Benchmark — XBRL US credential pathway: Certificate + review authority</t>
          </r>
        </is>
      </c>
      <c r="AG26" s="9" t="inlineStr">
        <is>
          <t>XBRL US GAAP Certificate · AICPA &amp; XBRL US; XBRL International specifications; IFRS / US GAAP / Ind AS</t>
        </is>
      </c>
      <c r="AH26" s="9" t="inlineStr">
        <is>
          <t>B3 · Lead Specialist</t>
        </is>
      </c>
      <c r="AI26" s="9" t="inlineStr">
        <is>
          <t>Leadership &amp; people management · Project / programme management · Client, sales &amp; stakeholders · Broader exposure &amp; ownership</t>
        </is>
      </c>
      <c r="AJ26" s="9" t="inlineStr">
        <is>
          <t>—</t>
        </is>
      </c>
      <c r="AK26" s="9" t="inlineStr">
        <is>
          <t>Mentoring / guidance from seniors · On-the-job / hands-on · Formal / classroom training · Knowledge transfer · KT</t>
        </is>
      </c>
      <c r="AL26" s="9" t="inlineStr">
        <is>
          <t>receiving · documents</t>
        </is>
      </c>
      <c r="AM26" s="9" t="inlineStr">
        <is>
          <t>reduce · resource · planning · delivery · improved</t>
        </is>
      </c>
      <c r="AN26" s="9" t="inlineStr">
        <is>
          <t>2 of 2 say the role is changing because of AI / automation</t>
        </is>
      </c>
      <c r="AO26" s="9" t="inlineStr">
        <is>
          <t>Deliver expert reporting and client-domain services. Includes: XBRL execution, taxonomy advice, service delivery and technical documentation. Excludes: Internal corporate accounting; product roadmap ownership.</t>
        </is>
      </c>
      <c r="AP26" s="9" t="inlineStr">
        <is>
          <t>LD03-1 · Service Delivery / Consulting Manager</t>
        </is>
      </c>
      <c r="AQ26" s="9" t="inlineStr">
        <is>
          <t>Own staffing decisions, performance support, service quality and delegated team resources</t>
        </is>
      </c>
      <c r="AR26" s="9" t="inlineStr">
        <is>
          <t>Do not manufacture three reporting layers. Choose roles the organisation needs. A specialist may remain on an equally valued expert path.</t>
        </is>
      </c>
      <c r="AS26" s="9" t="inlineStr">
        <is>
          <t>—</t>
        </is>
      </c>
      <c r="AT26" s="9" t="inlineStr">
        <is>
          <t>—</t>
        </is>
      </c>
      <c r="AU26" s="19" t="inlineStr">
        <is>
          <t>Framework + sub-family themes · 3+ answered</t>
        </is>
      </c>
      <c r="AV26" s="9" t="inlineStr">
        <is>
          <t>1 holder, 1 answered the survey; sub-family 3 answered</t>
        </is>
      </c>
    </row>
    <row r="27" ht="158" customHeight="1">
      <c r="A27" s="17" t="inlineStr">
        <is>
          <t>RC-018</t>
        </is>
      </c>
      <c r="B27" s="9" t="inlineStr">
        <is>
          <t>Consulting &amp; Professional Services</t>
        </is>
      </c>
      <c r="C27" s="9" t="inlineStr">
        <is>
          <t>Taxonomy Design &amp; Regulatory Consulting</t>
        </is>
      </c>
      <c r="D27" s="18" t="inlineStr">
        <is>
          <t>A2</t>
        </is>
      </c>
      <c r="E27" s="19" t="inlineStr">
        <is>
          <t>Associate</t>
        </is>
      </c>
      <c r="F27" s="9" t="inlineStr">
        <is>
          <t>IC</t>
        </is>
      </c>
      <c r="G27" s="9" t="inlineStr">
        <is>
          <t>Taxonomy Analyst</t>
        </is>
      </c>
      <c r="H27" s="8" t="n">
        <v>2</v>
      </c>
      <c r="I27" s="9" t="inlineStr">
        <is>
          <t>iFile 2</t>
        </is>
      </c>
      <c r="J27" s="9" t="inlineStr">
        <is>
          <r>
            <rPr>
              <rFont val="Calibri"/>
              <sz val="10"/>
            </rPr>
            <t xml:space="preserve">Designs XBRL/SDMX taxonomies, return templates, validation rules and SRS for regulators; supports implementation and CRs. At A2: standard work delivered independently.
</t>
          </r>
          <r>
            <rPr>
              <rFont val="Calibri"/>
              <b val="1"/>
              <sz val="10"/>
            </rPr>
            <t>Common themes in sub-family holders, all levels' answers:</t>
          </r>
          <r>
            <rPr>
              <rFont val="Calibri"/>
              <sz val="10"/>
            </rPr>
            <t xml:space="preserve"> xbrl · requirements · taxonomy · business · data · convert</t>
          </r>
        </is>
      </c>
      <c r="K27" s="9" t="inlineStr">
        <is>
          <r>
            <rPr>
              <rFont val="Calibri"/>
              <sz val="10"/>
            </rPr>
            <t xml:space="preserve">Designs XBRL/SDMX taxonomies, return templates, validation rules and SRS for regulators; supports implementation and CRs; Standard work of the discipline; Own deliverables · accuracy, TAT
</t>
          </r>
          <r>
            <rPr>
              <rFont val="Calibri"/>
              <b val="1"/>
              <sz val="10"/>
            </rPr>
            <t>Common themes in sub-family holders, all levels' answers:</t>
          </r>
          <r>
            <rPr>
              <rFont val="Calibri"/>
              <sz val="10"/>
            </rPr>
            <t xml:space="preserve"> client · taxonomy · requirement · development · testing · training</t>
          </r>
        </is>
      </c>
      <c r="L27" s="9" t="inlineStr">
        <is>
          <r>
            <rPr>
              <rFont val="Calibri"/>
              <sz val="10"/>
            </rPr>
            <t xml:space="preserve">Own deliverables · accuracy, TAT
</t>
          </r>
          <r>
            <rPr>
              <rFont val="Calibri"/>
              <b val="1"/>
              <sz val="10"/>
            </rPr>
            <t>Common themes in sub-family holders, all levels' answers:</t>
          </r>
          <r>
            <rPr>
              <rFont val="Calibri"/>
              <sz val="10"/>
            </rPr>
            <t xml:space="preserve"> taxonomy · xbrl · output · srs · taxonomies · accurate</t>
          </r>
        </is>
      </c>
      <c r="M27" s="9" t="inlineStr">
        <is>
          <r>
            <rPr>
              <rFont val="Calibri"/>
              <sz val="10"/>
            </rPr>
            <t xml:space="preserve">Own deliverables · accuracy, TAT
</t>
          </r>
          <r>
            <rPr>
              <rFont val="Calibri"/>
              <b val="1"/>
              <sz val="10"/>
            </rPr>
            <t>Common themes in sub-family holders, all levels' answers:</t>
          </r>
          <r>
            <rPr>
              <rFont val="Calibri"/>
              <sz val="10"/>
            </rPr>
            <t xml:space="preserve"> taxonomy · xbrl · quality · srs · development · testing</t>
          </r>
        </is>
      </c>
      <c r="N27" s="9" t="inlineStr">
        <is>
          <r>
            <rPr>
              <rFont val="Calibri"/>
              <sz val="10"/>
            </rPr>
            <t xml:space="preserve">Chooses own approach within standards
</t>
          </r>
          <r>
            <rPr>
              <rFont val="Calibri"/>
              <b val="1"/>
              <sz val="10"/>
            </rPr>
            <t>Common themes in sub-family holders, all levels' answers:</t>
          </r>
          <r>
            <rPr>
              <rFont val="Calibri"/>
              <sz val="10"/>
            </rPr>
            <t xml:space="preserve"> taxonomy · modelling · testing · formula · data · plan</t>
          </r>
        </is>
      </c>
      <c r="O27" s="9" t="inlineStr">
        <is>
          <r>
            <rPr>
              <rFont val="Calibri"/>
              <b val="1"/>
              <sz val="10"/>
            </rPr>
            <t>Common themes in manager-set KRAs:</t>
          </r>
          <r>
            <rPr>
              <rFont val="Calibri"/>
              <sz val="10"/>
            </rPr>
            <t xml:space="preserve"> complete iris · resolve · cycle full · accuracy targets · maintained · logs document</t>
          </r>
        </is>
      </c>
      <c r="P27" s="9" t="inlineStr">
        <is>
          <t>XBRL domain · XBRL specifications · analytical skills · Domain knowledge · XBRL · XBRl knowledge · Academic strength</t>
        </is>
      </c>
      <c r="Q27" s="9" t="inlineStr">
        <is>
          <t>Noah · Webform · Bushchat · excel · Formula Editor · IFile · Claude · Instant</t>
        </is>
      </c>
      <c r="R27" s="9" t="inlineStr">
        <is>
          <t>Standard work delivered independently</t>
        </is>
      </c>
      <c r="S27" s="9" t="inlineStr">
        <is>
          <t>Standard work of the discipline</t>
        </is>
      </c>
      <c r="T27" s="9" t="inlineStr">
        <is>
          <t>Chooses own approach within standards</t>
        </is>
      </c>
      <c r="U27" s="9" t="inlineStr">
        <is>
          <t>Own deliverables · accuracy, TAT</t>
        </is>
      </c>
      <c r="V27" s="9" t="inlineStr">
        <is>
          <t>Not scored in Band A</t>
        </is>
      </c>
      <c r="W27" s="9" t="inlineStr">
        <is>
          <t>0–2 yrs</t>
        </is>
      </c>
      <c r="X27" s="9" t="inlineStr">
        <is>
          <t>Graduate · or diploma with experience</t>
        </is>
      </c>
      <c r="Y27" s="9" t="inlineStr">
        <is>
          <t>XBRL US GAAP Certificate · AICPA &amp; XBRL US or equivalent; CA / CMA / ACCA / CFA / IFRS certificate</t>
        </is>
      </c>
      <c r="Z27" s="9" t="inlineStr">
        <is>
          <t>No direct reports</t>
        </is>
      </c>
      <c r="AA27" s="9" t="inlineStr">
        <is>
          <t>Core 2 · Future-ready 2 · Functional 2 · Leadership —</t>
        </is>
      </c>
      <c r="AB27" s="9" t="inlineStr">
        <is>
          <t>XBRL, iXBRL &amp; Taxonomy · Accounting &amp; Reporting Standards · IFRS/US GAAP</t>
        </is>
      </c>
      <c r="AC27" s="9" t="inlineStr">
        <is>
          <t>Regulatory &amp; BFSI Domain · Process Improvement &amp; Quality Mindset · Advanced Excel &amp; Productivity Tools · AI, GenAI &amp; Prompt Engineering</t>
        </is>
      </c>
      <c r="AD27" s="8" t="inlineStr">
        <is>
          <t>P1–P2</t>
        </is>
      </c>
      <c r="AE27" s="8" t="inlineStr">
        <is>
          <t>2 Assist</t>
        </is>
      </c>
      <c r="AF27" s="9" t="inlineStr">
        <is>
          <r>
            <rPr>
              <rFont val="Calibri"/>
              <b val="1"/>
              <sz val="10"/>
            </rPr>
            <t>Toppan Merrill:</t>
          </r>
          <r>
            <rPr>
              <rFont val="Calibri"/>
              <sz val="10"/>
            </rPr>
            <t xml:space="preserve"> XBRL Financial Analyst, Associate · DataTracks: Associate · Big Four: Analyst</t>
          </r>
        </is>
      </c>
      <c r="AG27" s="9" t="inlineStr">
        <is>
          <t>XBRL US GAAP Certificate · AICPA &amp; XBRL US; XBRL International specifications; IFRS / US GAAP / Ind AS</t>
        </is>
      </c>
      <c r="AH27" s="9" t="inlineStr">
        <is>
          <t>A3 · Senior Associate</t>
        </is>
      </c>
      <c r="AI27" s="9" t="inlineStr">
        <is>
          <t>Data, SQL &amp; analytics · Strategy &amp; business acumen · Broader exposure &amp; ownership · Domain, regulatory &amp; XBRL</t>
        </is>
      </c>
      <c r="AJ27" s="9" t="inlineStr">
        <is>
          <t>XBRL taxonomy &amp; regulatory updates; domain/accounting refreshers; quality &amp; accuracy practices; tooling proficiency | Transition to leadership: people management &amp; delegation, mentoring/coaching, project ownership &amp; stakeholder management, prioritisation under ambiguity, presentation &amp; influence skills</t>
        </is>
      </c>
      <c r="AK27" s="9" t="inlineStr">
        <is>
          <t>Formal / classroom training · On-the-job / hands-on · Mentoring / guidance from seniors · Knowledge transfer · KT</t>
        </is>
      </c>
      <c r="AL27" s="9" t="inlineStr">
        <is>
          <t>dependency · client · lack · laptop · backend</t>
        </is>
      </c>
      <c r="AM27" s="9" t="inlineStr">
        <is>
          <t>tools · ai · development · improvement · skills</t>
        </is>
      </c>
      <c r="AN27" s="9" t="inlineStr">
        <is>
          <t>18 of 22 say the role is changing because of AI / automation</t>
        </is>
      </c>
      <c r="AO27" s="9" t="inlineStr">
        <is>
          <t>Deliver expert reporting and client-domain services. Includes: XBRL execution, taxonomy advice, service delivery and technical documentation. Excludes: Internal corporate accounting; product roadmap ownership.</t>
        </is>
      </c>
      <c r="AP27" s="9" t="inlineStr">
        <is>
          <t>CON02-1 · Regulatory Reporting Analyst · feeder</t>
        </is>
      </c>
      <c r="AQ27" s="9" t="inlineStr">
        <is>
          <r>
            <rPr>
              <rFont val="Calibri"/>
              <b val="1"/>
              <sz val="10"/>
            </rPr>
            <t>Complete defined parts under review:</t>
          </r>
          <r>
            <rPr>
              <rFont val="Calibri"/>
              <sz val="10"/>
            </rPr>
            <t xml:space="preserve"> translate reporting requirements into documented taxonomy changes.</t>
          </r>
        </is>
      </c>
      <c r="AR27" s="9" t="inlineStr">
        <is>
          <t>Repeatable correct delivery, safe escalation and required entry eligibility.</t>
        </is>
      </c>
      <c r="AS27" s="9" t="inlineStr">
        <is>
          <t>A requirement-to-taxonomy mapping, validation cases and governed release plan</t>
        </is>
      </c>
      <c r="AT27" s="9" t="inlineStr">
        <is>
          <r>
            <rPr>
              <rFont val="Calibri"/>
              <b val="1"/>
              <sz val="10"/>
            </rPr>
            <t>Regnology:</t>
          </r>
          <r>
            <rPr>
              <rFont val="Calibri"/>
              <sz val="10"/>
            </rPr>
            <t xml:space="preserve"> Senior risk consultant · Related work. Gap: Risk implementation is not taxonomy design; XBRL technical guidance supplies domain content</t>
          </r>
        </is>
      </c>
      <c r="AU27" s="19" t="inlineStr">
        <is>
          <t>Framework + sub-family themes · 3+ answered</t>
        </is>
      </c>
      <c r="AV27" s="9" t="inlineStr">
        <is>
          <t>2 holders, 2 answered the survey; sub-family 25 answered</t>
        </is>
      </c>
    </row>
    <row r="28" ht="132" customHeight="1">
      <c r="A28" s="17" t="inlineStr">
        <is>
          <t>RC-019</t>
        </is>
      </c>
      <c r="B28" s="9" t="inlineStr">
        <is>
          <t>Consulting &amp; Professional Services</t>
        </is>
      </c>
      <c r="C28" s="9" t="inlineStr">
        <is>
          <t>Taxonomy Design &amp; Regulatory Consulting</t>
        </is>
      </c>
      <c r="D28" s="18" t="inlineStr">
        <is>
          <t>A3</t>
        </is>
      </c>
      <c r="E28" s="19" t="inlineStr">
        <is>
          <t>Senior Associate</t>
        </is>
      </c>
      <c r="F28" s="9" t="inlineStr">
        <is>
          <t>IC</t>
        </is>
      </c>
      <c r="G28" s="9" t="inlineStr">
        <is>
          <t>Senior Taxonomy Analyst · Taxonomy Specialist</t>
        </is>
      </c>
      <c r="H28" s="8" t="n">
        <v>14</v>
      </c>
      <c r="I28" s="9" t="inlineStr">
        <is>
          <t>iFile 14</t>
        </is>
      </c>
      <c r="J28" s="9" t="inlineStr">
        <is>
          <r>
            <rPr>
              <rFont val="Calibri"/>
              <sz val="10"/>
            </rPr>
            <t xml:space="preserve">Designs XBRL/SDMX taxonomies, return templates, validation rules and SRS for regulators; supports implementation and CRs. At A3: varied work; reviews juniors; go-to for a process.
</t>
          </r>
          <r>
            <rPr>
              <rFont val="Calibri"/>
              <b val="1"/>
              <sz val="10"/>
            </rPr>
            <t>Common themes in role-holders' answers:</t>
          </r>
          <r>
            <rPr>
              <rFont val="Calibri"/>
              <sz val="10"/>
            </rPr>
            <t xml:space="preserve"> taxonomy · xbrl · client · data · convert · consultant</t>
          </r>
        </is>
      </c>
      <c r="K28" s="9" t="inlineStr">
        <is>
          <r>
            <rPr>
              <rFont val="Calibri"/>
              <sz val="10"/>
            </rPr>
            <t xml:space="preserve">Designs XBRL/SDMX taxonomies, return templates, validation rules and SRS for regulators; supports implementation and CRs; Varied and non-standard work; handles exceptions; A module / process, or work with client or regulatory consequences
</t>
          </r>
          <r>
            <rPr>
              <rFont val="Calibri"/>
              <b val="1"/>
              <sz val="10"/>
            </rPr>
            <t>Common themes in role-holders' answers:</t>
          </r>
          <r>
            <rPr>
              <rFont val="Calibri"/>
              <sz val="10"/>
            </rPr>
            <t xml:space="preserve"> client · testing · taxonomy · requirement · support · development</t>
          </r>
        </is>
      </c>
      <c r="L28" s="9" t="inlineStr">
        <is>
          <r>
            <rPr>
              <rFont val="Calibri"/>
              <sz val="10"/>
            </rPr>
            <t xml:space="preserve">A module / process, or work with client or regulatory consequences
</t>
          </r>
          <r>
            <rPr>
              <rFont val="Calibri"/>
              <b val="1"/>
              <sz val="10"/>
            </rPr>
            <t>Common themes in role-holders' answers:</t>
          </r>
          <r>
            <rPr>
              <rFont val="Calibri"/>
              <sz val="10"/>
            </rPr>
            <t xml:space="preserve"> taxonomy · xbrl · output · structured</t>
          </r>
        </is>
      </c>
      <c r="M28" s="9" t="inlineStr">
        <is>
          <r>
            <rPr>
              <rFont val="Calibri"/>
              <sz val="10"/>
            </rPr>
            <t xml:space="preserve">A module / process, or work with client or regulatory consequences
</t>
          </r>
          <r>
            <rPr>
              <rFont val="Calibri"/>
              <b val="1"/>
              <sz val="10"/>
            </rPr>
            <t>Common themes in role-holders' answers:</t>
          </r>
          <r>
            <rPr>
              <rFont val="Calibri"/>
              <sz val="10"/>
            </rPr>
            <t xml:space="preserve"> taxonomy · development · testing · tagging · quality · creation</t>
          </r>
        </is>
      </c>
      <c r="N28" s="9" t="inlineStr">
        <is>
          <r>
            <rPr>
              <rFont val="Calibri"/>
              <sz val="10"/>
            </rPr>
            <t xml:space="preserve">Technical / QC / client calls on own work
</t>
          </r>
          <r>
            <rPr>
              <rFont val="Calibri"/>
              <b val="1"/>
              <sz val="10"/>
            </rPr>
            <t>Common themes in role-holders' answers:</t>
          </r>
          <r>
            <rPr>
              <rFont val="Calibri"/>
              <sz val="10"/>
            </rPr>
            <t xml:space="preserve"> testing · formula · validations · tagging · creation · taxonomy</t>
          </r>
        </is>
      </c>
      <c r="O28" s="9" t="inlineStr">
        <is>
          <r>
            <rPr>
              <rFont val="Calibri"/>
              <b val="1"/>
              <sz val="10"/>
            </rPr>
            <t>Common themes in manager-set KRAs:</t>
          </r>
          <r>
            <rPr>
              <rFont val="Calibri"/>
              <sz val="10"/>
            </rPr>
            <t xml:space="preserve"> resolve · defect · deliver · complete · modules · testing</t>
          </r>
        </is>
      </c>
      <c r="P28" s="9" t="inlineStr">
        <is>
          <t>XBRL domain</t>
        </is>
      </c>
      <c r="Q28" s="9" t="inlineStr">
        <is>
          <t>Noah · Bushchat · Ifile · Webform · Arelle</t>
        </is>
      </c>
      <c r="R28" s="9" t="inlineStr">
        <is>
          <t>Varied work; reviews juniors; go-to for a process</t>
        </is>
      </c>
      <c r="S28" s="9" t="inlineStr">
        <is>
          <t>Varied and non-standard work; handles exceptions</t>
        </is>
      </c>
      <c r="T28" s="9" t="inlineStr">
        <is>
          <t>Technical / QC / client calls on own work</t>
        </is>
      </c>
      <c r="U28" s="9" t="inlineStr">
        <is>
          <t>A module / process, or work with client or regulatory consequences</t>
        </is>
      </c>
      <c r="V28" s="9" t="inlineStr">
        <is>
          <t>Not scored in Band A</t>
        </is>
      </c>
      <c r="W28" s="9" t="inlineStr">
        <is>
          <t>2–4 yrs</t>
        </is>
      </c>
      <c r="X28" s="9" t="inlineStr">
        <is>
          <t>Graduate; relevant certification preferred</t>
        </is>
      </c>
      <c r="Y28" s="9" t="inlineStr">
        <is>
          <t>XBRL US GAAP Certificate · AICPA &amp; XBRL US or equivalent; CA / CMA / ACCA / CFA / IFRS certificate</t>
        </is>
      </c>
      <c r="Z28" s="9" t="inlineStr">
        <is>
          <t>None · guides 1–3 juniors informally</t>
        </is>
      </c>
      <c r="AA28" s="9" t="inlineStr">
        <is>
          <t>Core 2 · Future-ready 2 · Functional 3 · Leadership —</t>
        </is>
      </c>
      <c r="AB28" s="9" t="inlineStr">
        <is>
          <t>XBRL, iXBRL &amp; Taxonomy · Accounting &amp; Reporting Standards · IFRS/US GAAP</t>
        </is>
      </c>
      <c r="AC28" s="9" t="inlineStr">
        <is>
          <t>Regulatory &amp; BFSI Domain · Process Improvement &amp; Quality Mindset · Advanced Excel &amp; Productivity Tools · AI, GenAI &amp; Prompt Engineering</t>
        </is>
      </c>
      <c r="AD28" s="8" t="inlineStr">
        <is>
          <t>P2</t>
        </is>
      </c>
      <c r="AE28" s="8" t="inlineStr">
        <is>
          <t>3 Apply</t>
        </is>
      </c>
      <c r="AF28" s="9" t="inlineStr">
        <is>
          <r>
            <rPr>
              <rFont val="Calibri"/>
              <b val="1"/>
              <sz val="10"/>
            </rPr>
            <t>DataTracks:</t>
          </r>
          <r>
            <rPr>
              <rFont val="Calibri"/>
              <sz val="10"/>
            </rPr>
            <t xml:space="preserve"> Senior Associate · 2–5 yrs · Big Four: Consultant · IRIS Vs Market Benchmark — XBRL US credential pathway: XBRL US GAAP Certificate</t>
          </r>
        </is>
      </c>
      <c r="AG28" s="9" t="inlineStr">
        <is>
          <t>XBRL US GAAP Certificate · AICPA &amp; XBRL US; XBRL International specifications; IFRS / US GAAP / Ind AS</t>
        </is>
      </c>
      <c r="AH28" s="9" t="inlineStr">
        <is>
          <t>B1 · Specialist</t>
        </is>
      </c>
      <c r="AI28" s="9" t="inlineStr">
        <is>
          <t>Domain, regulatory &amp; XBRL · AI / automation · Project / programme management · Broader exposure &amp; ownership · Certification / formal course</t>
        </is>
      </c>
      <c r="AJ28" s="9" t="inlineStr">
        <is>
          <t>presentation influence · ownership · practices · regulatory updates · stakeholder management</t>
        </is>
      </c>
      <c r="AK28" s="9" t="inlineStr">
        <is>
          <t>Formal / classroom training · Mentoring / guidance from seniors · On-the-job / hands-on · Knowledge transfer · KT</t>
        </is>
      </c>
      <c r="AL28" s="9" t="inlineStr">
        <is>
          <t>dependency · laptop · internet speed · slowness</t>
        </is>
      </c>
      <c r="AM28" s="9" t="inlineStr">
        <is>
          <t>ai · proper · tools · clear · improvement</t>
        </is>
      </c>
      <c r="AN28" s="9" t="inlineStr">
        <is>
          <t>9 of 11 say the role is changing because of AI / automation</t>
        </is>
      </c>
      <c r="AO28" s="9" t="inlineStr">
        <is>
          <t>Deliver expert reporting and client-domain services. Includes: XBRL execution, taxonomy advice, service delivery and technical documentation. Excludes: Internal corporate accounting; product roadmap ownership.</t>
        </is>
      </c>
      <c r="AP28" s="9" t="inlineStr">
        <is>
          <t>CON02-2 · Taxonomy Consultant</t>
        </is>
      </c>
      <c r="AQ28" s="9" t="inlineStr">
        <is>
          <t>Translate reporting requirements into documented taxonomy changes.</t>
        </is>
      </c>
      <c r="AR28" s="9" t="inlineStr">
        <is>
          <t>Demonstrate routine delivery plus judgement in bounded exceptions.</t>
        </is>
      </c>
      <c r="AS28" s="9" t="inlineStr">
        <is>
          <t>A requirement-to-taxonomy mapping, validation cases and governed release plan</t>
        </is>
      </c>
      <c r="AT28" s="9" t="inlineStr">
        <is>
          <r>
            <rPr>
              <rFont val="Calibri"/>
              <b val="1"/>
              <sz val="10"/>
            </rPr>
            <t>Regnology:</t>
          </r>
          <r>
            <rPr>
              <rFont val="Calibri"/>
              <sz val="10"/>
            </rPr>
            <t xml:space="preserve"> Senior risk consultant · Related work. Gap: Risk implementation is not taxonomy design; XBRL technical guidance supplies domain content</t>
          </r>
        </is>
      </c>
      <c r="AU28" s="22" t="inlineStr">
        <is>
          <t>Framework + role-holders' themes · 3+ answered</t>
        </is>
      </c>
      <c r="AV28" s="9" t="inlineStr">
        <is>
          <t>14 holders, 14 answered the survey; sub-family 25 answered</t>
        </is>
      </c>
    </row>
    <row r="29" ht="106" customHeight="1">
      <c r="A29" s="17" t="inlineStr">
        <is>
          <t>RC-020</t>
        </is>
      </c>
      <c r="B29" s="9" t="inlineStr">
        <is>
          <t>Consulting &amp; Professional Services</t>
        </is>
      </c>
      <c r="C29" s="9" t="inlineStr">
        <is>
          <t>Taxonomy Design &amp; Regulatory Consulting</t>
        </is>
      </c>
      <c r="D29" s="21" t="inlineStr">
        <is>
          <t>B1</t>
        </is>
      </c>
      <c r="E29" s="22" t="inlineStr">
        <is>
          <t>Specialist</t>
        </is>
      </c>
      <c r="F29" s="9" t="inlineStr">
        <is>
          <t>IC</t>
        </is>
      </c>
      <c r="G29" s="9" t="inlineStr">
        <is>
          <t>Taxonomy Specialist · Senior Taxonomy Specialist</t>
        </is>
      </c>
      <c r="H29" s="8" t="n">
        <v>3</v>
      </c>
      <c r="I29" s="9" t="inlineStr">
        <is>
          <t>iFile 3</t>
        </is>
      </c>
      <c r="J29" s="9" t="inlineStr">
        <is>
          <r>
            <rPr>
              <rFont val="Calibri"/>
              <sz val="10"/>
            </rPr>
            <t xml:space="preserve">Designs XBRL/SDMX taxonomies, return templates, validation rules and SRS for regulators; supports implementation and CRs. At B1: a domain / module, or a small team.
</t>
          </r>
          <r>
            <rPr>
              <rFont val="Calibri"/>
              <b val="1"/>
              <sz val="10"/>
            </rPr>
            <t>Common themes in role-holders' answers:</t>
          </r>
          <r>
            <rPr>
              <rFont val="Calibri"/>
              <sz val="10"/>
            </rPr>
            <t xml:space="preserve"> xbrl · financial · taxonomies · requirements · regulators</t>
          </r>
        </is>
      </c>
      <c r="K29" s="9" t="inlineStr">
        <is>
          <r>
            <rPr>
              <rFont val="Calibri"/>
              <sz val="10"/>
            </rPr>
            <t xml:space="preserve">Designs XBRL/SDMX taxonomies, return templates, validation rules and SRS for regulators; supports implementation and CRs; Domain specialist work; A domain or a small team
</t>
          </r>
          <r>
            <rPr>
              <rFont val="Calibri"/>
              <b val="1"/>
              <sz val="10"/>
            </rPr>
            <t>Common themes in role-holders' answers:</t>
          </r>
          <r>
            <rPr>
              <rFont val="Calibri"/>
              <sz val="10"/>
            </rPr>
            <t xml:space="preserve"> taxonomy development · training · client · requirement · support</t>
          </r>
        </is>
      </c>
      <c r="L29" s="9" t="inlineStr">
        <is>
          <r>
            <rPr>
              <rFont val="Calibri"/>
              <sz val="10"/>
            </rPr>
            <t xml:space="preserve">A domain or a small team
</t>
          </r>
          <r>
            <rPr>
              <rFont val="Calibri"/>
              <b val="1"/>
              <sz val="10"/>
            </rPr>
            <t>Common themes in role-holders' answers:</t>
          </r>
          <r>
            <rPr>
              <rFont val="Calibri"/>
              <sz val="10"/>
            </rPr>
            <t xml:space="preserve"> taxonomy · xbrl</t>
          </r>
        </is>
      </c>
      <c r="M29" s="9" t="inlineStr">
        <is>
          <r>
            <rPr>
              <rFont val="Calibri"/>
              <sz val="10"/>
            </rPr>
            <t xml:space="preserve">A domain or a small team
</t>
          </r>
          <r>
            <rPr>
              <rFont val="Calibri"/>
              <b val="1"/>
              <sz val="10"/>
            </rPr>
            <t>Common themes in role-holders' answers:</t>
          </r>
          <r>
            <rPr>
              <rFont val="Calibri"/>
              <sz val="10"/>
            </rPr>
            <t xml:space="preserve"> taxonomy · xbrl</t>
          </r>
        </is>
      </c>
      <c r="N29" s="9" t="inlineStr">
        <is>
          <t>Technical / QC / client calls for the domain</t>
        </is>
      </c>
      <c r="O29" s="9" t="inlineStr">
        <is>
          <r>
            <rPr>
              <rFont val="Calibri"/>
              <b val="1"/>
              <sz val="10"/>
            </rPr>
            <t>Common themes in manager-set KRAs:</t>
          </r>
          <r>
            <rPr>
              <rFont val="Calibri"/>
              <sz val="10"/>
            </rPr>
            <t xml:space="preserve"> resolve · business · excel webform · deliver assigned · defect · critical</t>
          </r>
        </is>
      </c>
      <c r="P29" s="9" t="inlineStr">
        <is>
          <t>XBRL Domain</t>
        </is>
      </c>
      <c r="Q29" s="9" t="inlineStr">
        <is>
          <t>Noah</t>
        </is>
      </c>
      <c r="R29" s="9" t="inlineStr">
        <is>
          <t>A domain / module, or a small team</t>
        </is>
      </c>
      <c r="S29" s="9" t="inlineStr">
        <is>
          <t>Domain specialist work</t>
        </is>
      </c>
      <c r="T29" s="9" t="inlineStr">
        <is>
          <t>Technical / QC / client calls for the domain</t>
        </is>
      </c>
      <c r="U29" s="9" t="inlineStr">
        <is>
          <t>A domain or a small team</t>
        </is>
      </c>
      <c r="V29" s="9" t="inlineStr">
        <is>
          <r>
            <rPr>
              <rFont val="Calibri"/>
              <b val="1"/>
              <sz val="10"/>
            </rPr>
            <t>IC:</t>
          </r>
          <r>
            <rPr>
              <rFont val="Calibri"/>
              <sz val="10"/>
            </rPr>
            <t xml:space="preserve"> mentors and reviews · People: hands-on team lead of 3–5</t>
          </r>
        </is>
      </c>
      <c r="W29" s="9" t="inlineStr">
        <is>
          <t>4–7 yrs</t>
        </is>
      </c>
      <c r="X29" s="9" t="inlineStr">
        <is>
          <t>Graduate + relevant qualification or certification preferred</t>
        </is>
      </c>
      <c r="Y29" s="9" t="inlineStr">
        <is>
          <t>XBRL US GAAP Certificate · AICPA &amp; XBRL US or equivalent; CA / CMA / ACCA / CFA / IFRS certificate</t>
        </is>
      </c>
      <c r="Z29" s="9" t="inlineStr">
        <is>
          <r>
            <rPr>
              <rFont val="Calibri"/>
              <b val="1"/>
              <sz val="10"/>
            </rPr>
            <t>IC:</t>
          </r>
          <r>
            <rPr>
              <rFont val="Calibri"/>
              <sz val="10"/>
            </rPr>
            <t xml:space="preserve"> none · Team Lead: 3–5</t>
          </r>
        </is>
      </c>
      <c r="AA29" s="9" t="inlineStr">
        <is>
          <t>Core 3 · Future-ready 3 · Functional 3 · Leadership 1</t>
        </is>
      </c>
      <c r="AB29" s="9" t="inlineStr">
        <is>
          <t>XBRL, iXBRL &amp; Taxonomy · Accounting &amp; Reporting Standards · IFRS/US GAAP</t>
        </is>
      </c>
      <c r="AC29" s="9" t="inlineStr">
        <is>
          <t>Regulatory &amp; BFSI Domain · Process Improvement &amp; Quality Mindset · Advanced Excel &amp; Productivity Tools · AI, GenAI &amp; Prompt Engineering</t>
        </is>
      </c>
      <c r="AD29" s="8" t="inlineStr">
        <is>
          <t>P3 / M2</t>
        </is>
      </c>
      <c r="AE29" s="8" t="inlineStr">
        <is>
          <t>4 Enable</t>
        </is>
      </c>
      <c r="AF29" s="9" t="inlineStr">
        <is>
          <r>
            <rPr>
              <rFont val="Calibri"/>
              <b val="1"/>
              <sz val="10"/>
            </rPr>
            <t>Big Four:</t>
          </r>
          <r>
            <rPr>
              <rFont val="Calibri"/>
              <sz val="10"/>
            </rPr>
            <t xml:space="preserve"> Senior Consultant · IRIS Vs Market Benchmark — XBRL US credential pathway: Certificate + specialist taxonomy</t>
          </r>
        </is>
      </c>
      <c r="AG29" s="9" t="inlineStr">
        <is>
          <t>XBRL US GAAP Certificate · AICPA &amp; XBRL US; XBRL International specifications; IFRS / US GAAP / Ind AS</t>
        </is>
      </c>
      <c r="AH29" s="9" t="inlineStr">
        <is>
          <t>B2 · Senior Specialist</t>
        </is>
      </c>
      <c r="AI29" s="9" t="inlineStr">
        <is>
          <t>AI / automation · Domain, regulatory &amp; XBRL · Client, sales &amp; stakeholders · Communication &amp; presentation · Broader exposure &amp; ownership</t>
        </is>
      </c>
      <c r="AJ29" s="9" t="inlineStr">
        <is>
          <t>presentation influence · ownership · practices · regulatory updates · stakeholder management</t>
        </is>
      </c>
      <c r="AK29" s="9" t="inlineStr">
        <is>
          <t>Formal / classroom training · On-the-job / hands-on</t>
        </is>
      </c>
      <c r="AL29" s="9" t="inlineStr">
        <is>
          <t>dependency</t>
        </is>
      </c>
      <c r="AM29" s="9" t="inlineStr">
        <is>
          <t>No common theme</t>
        </is>
      </c>
      <c r="AN29" s="9" t="inlineStr">
        <is>
          <t>3 of 3 say the role is changing because of AI / automation</t>
        </is>
      </c>
      <c r="AO29" s="9" t="inlineStr">
        <is>
          <t>Deliver expert reporting and client-domain services. Includes: XBRL execution, taxonomy advice, service delivery and technical documentation. Excludes: Internal corporate accounting; product roadmap ownership.</t>
        </is>
      </c>
      <c r="AP29" s="9" t="inlineStr">
        <is>
          <t>CON02-3 · Senior Taxonomy Consultant</t>
        </is>
      </c>
      <c r="AQ29" s="9" t="inlineStr">
        <is>
          <t>Resolve conflicting definitions and validate extensions across use cases.</t>
        </is>
      </c>
      <c r="AR29" s="9" t="inlineStr">
        <is>
          <t>Evidence of complex work, decisions and outcomes beyond routine delivery.</t>
        </is>
      </c>
      <c r="AS29" s="9" t="inlineStr">
        <is>
          <t>A requirement-to-taxonomy mapping, validation cases and governed release plan</t>
        </is>
      </c>
      <c r="AT29" s="9" t="inlineStr">
        <is>
          <r>
            <rPr>
              <rFont val="Calibri"/>
              <b val="1"/>
              <sz val="10"/>
            </rPr>
            <t>Regnology:</t>
          </r>
          <r>
            <rPr>
              <rFont val="Calibri"/>
              <sz val="10"/>
            </rPr>
            <t xml:space="preserve"> Senior risk consultant · Related work. Gap: Risk implementation is not taxonomy design; XBRL technical guidance supplies domain content</t>
          </r>
        </is>
      </c>
      <c r="AU29" s="22" t="inlineStr">
        <is>
          <t>Framework + role-holders' themes · 3+ answered</t>
        </is>
      </c>
      <c r="AV29" s="9" t="inlineStr">
        <is>
          <t>3 holders, 3 answered the survey; sub-family 25 answered</t>
        </is>
      </c>
    </row>
    <row r="30" ht="93" customHeight="1">
      <c r="A30" s="17" t="inlineStr">
        <is>
          <t>RC-021</t>
        </is>
      </c>
      <c r="B30" s="9" t="inlineStr">
        <is>
          <t>Consulting &amp; Professional Services</t>
        </is>
      </c>
      <c r="C30" s="9" t="inlineStr">
        <is>
          <t>Taxonomy Design &amp; Regulatory Consulting</t>
        </is>
      </c>
      <c r="D30" s="21" t="inlineStr">
        <is>
          <t>B2</t>
        </is>
      </c>
      <c r="E30" s="22" t="inlineStr">
        <is>
          <t>Senior Specialist</t>
        </is>
      </c>
      <c r="F30" s="9" t="inlineStr">
        <is>
          <t>IC</t>
        </is>
      </c>
      <c r="G30" s="9" t="inlineStr">
        <is>
          <t>Senior Taxonomy Specialist</t>
        </is>
      </c>
      <c r="H30" s="8" t="n">
        <v>3</v>
      </c>
      <c r="I30" s="9" t="inlineStr">
        <is>
          <t>iFile 3</t>
        </is>
      </c>
      <c r="J30" s="9" t="inlineStr">
        <is>
          <t>Designs XBRL/SDMX taxonomies, return templates, validation rules and SRS for regulators; supports implementation and CRs. At B2: deep domain expertise, or one team.</t>
        </is>
      </c>
      <c r="K30" s="9" t="inlineStr">
        <is>
          <r>
            <rPr>
              <rFont val="Calibri"/>
              <sz val="10"/>
            </rPr>
            <t xml:space="preserve">Designs XBRL/SDMX taxonomies, return templates, validation rules and SRS for regulators; supports implementation and CRs; Hardest problems in the domain; One team or a client portfolio
</t>
          </r>
          <r>
            <rPr>
              <rFont val="Calibri"/>
              <b val="1"/>
              <sz val="10"/>
            </rPr>
            <t>Common themes in role-holders' answers:</t>
          </r>
          <r>
            <rPr>
              <rFont val="Calibri"/>
              <sz val="10"/>
            </rPr>
            <t xml:space="preserve"> taxonomy</t>
          </r>
        </is>
      </c>
      <c r="L30" s="9" t="inlineStr">
        <is>
          <r>
            <rPr>
              <rFont val="Calibri"/>
              <sz val="10"/>
            </rPr>
            <t xml:space="preserve">One team or a client portfolio
</t>
          </r>
          <r>
            <rPr>
              <rFont val="Calibri"/>
              <b val="1"/>
              <sz val="10"/>
            </rPr>
            <t>Common themes in role-holders' answers:</t>
          </r>
          <r>
            <rPr>
              <rFont val="Calibri"/>
              <sz val="10"/>
            </rPr>
            <t xml:space="preserve"> taxonomy</t>
          </r>
        </is>
      </c>
      <c r="M30" s="9" t="inlineStr">
        <is>
          <r>
            <rPr>
              <rFont val="Calibri"/>
              <sz val="10"/>
            </rPr>
            <t xml:space="preserve">One team or a client portfolio
</t>
          </r>
          <r>
            <rPr>
              <rFont val="Calibri"/>
              <b val="1"/>
              <sz val="10"/>
            </rPr>
            <t>Common themes in role-holders' answers:</t>
          </r>
          <r>
            <rPr>
              <rFont val="Calibri"/>
              <sz val="10"/>
            </rPr>
            <t xml:space="preserve"> taxonomy</t>
          </r>
        </is>
      </c>
      <c r="N30" s="9" t="inlineStr">
        <is>
          <r>
            <rPr>
              <rFont val="Calibri"/>
              <sz val="10"/>
            </rPr>
            <t xml:space="preserve">Allocates people and sets team priorities
</t>
          </r>
          <r>
            <rPr>
              <rFont val="Calibri"/>
              <b val="1"/>
              <sz val="10"/>
            </rPr>
            <t>Common themes in role-holders' answers:</t>
          </r>
          <r>
            <rPr>
              <rFont val="Calibri"/>
              <sz val="10"/>
            </rPr>
            <t xml:space="preserve"> taxonomy</t>
          </r>
        </is>
      </c>
      <c r="O30" s="9" t="inlineStr">
        <is>
          <r>
            <rPr>
              <rFont val="Calibri"/>
              <b val="1"/>
              <sz val="10"/>
            </rPr>
            <t>Common themes in manager-set KRAs:</t>
          </r>
          <r>
            <rPr>
              <rFont val="Calibri"/>
              <sz val="10"/>
            </rPr>
            <t xml:space="preserve"> ifile business · analyst contribute · resolve · domain delivery · serve analyst · milestones on-time</t>
          </r>
        </is>
      </c>
      <c r="P30" s="9" t="inlineStr">
        <is>
          <t>XBRL Domain</t>
        </is>
      </c>
      <c r="Q30" s="9" t="inlineStr">
        <is>
          <t>Formula Editor</t>
        </is>
      </c>
      <c r="R30" s="9" t="inlineStr">
        <is>
          <t>Deep domain expertise, or one team</t>
        </is>
      </c>
      <c r="S30" s="9" t="inlineStr">
        <is>
          <t>Hardest problems in the domain</t>
        </is>
      </c>
      <c r="T30" s="9" t="inlineStr">
        <is>
          <t>Allocates people and sets team priorities</t>
        </is>
      </c>
      <c r="U30" s="9" t="inlineStr">
        <is>
          <t>One team or a client portfolio</t>
        </is>
      </c>
      <c r="V30" s="9" t="inlineStr">
        <is>
          <r>
            <rPr>
              <rFont val="Calibri"/>
              <b val="1"/>
              <sz val="10"/>
            </rPr>
            <t>IC:</t>
          </r>
          <r>
            <rPr>
              <rFont val="Calibri"/>
              <sz val="10"/>
            </rPr>
            <t xml:space="preserve"> guides others in the domain · People: manages a team of 6+</t>
          </r>
        </is>
      </c>
      <c r="W30" s="9" t="inlineStr">
        <is>
          <t>6–9 yrs</t>
        </is>
      </c>
      <c r="X30" s="9" t="inlineStr">
        <is>
          <t>Graduate or postgraduate; professional qualification preferred</t>
        </is>
      </c>
      <c r="Y30" s="9" t="inlineStr">
        <is>
          <t>XBRL US GAAP Certificate · AICPA &amp; XBRL US or equivalent; CA / CMA / ACCA / CFA / IFRS certificate</t>
        </is>
      </c>
      <c r="Z30" s="9" t="inlineStr">
        <is>
          <r>
            <rPr>
              <rFont val="Calibri"/>
              <b val="1"/>
              <sz val="10"/>
            </rPr>
            <t>IC:</t>
          </r>
          <r>
            <rPr>
              <rFont val="Calibri"/>
              <sz val="10"/>
            </rPr>
            <t xml:space="preserve"> none · People: 6–8 knowledge work, 8–12 standardised delivery</t>
          </r>
        </is>
      </c>
      <c r="AA30" s="9" t="inlineStr">
        <is>
          <t>Core 3 · Future-ready 3 · Functional 4 · Leadership 2</t>
        </is>
      </c>
      <c r="AB30" s="9" t="inlineStr">
        <is>
          <t>XBRL, iXBRL &amp; Taxonomy · Accounting &amp; Reporting Standards · IFRS/US GAAP</t>
        </is>
      </c>
      <c r="AC30" s="9" t="inlineStr">
        <is>
          <t>Regulatory &amp; BFSI Domain · Process Improvement &amp; Quality Mindset · Advanced Excel &amp; Productivity Tools · AI, GenAI &amp; Prompt Engineering</t>
        </is>
      </c>
      <c r="AD30" s="8" t="inlineStr">
        <is>
          <t>P4 / M3</t>
        </is>
      </c>
      <c r="AE30" s="8" t="inlineStr">
        <is>
          <t>4–5</t>
        </is>
      </c>
      <c r="AF30" s="9" t="inlineStr">
        <is>
          <r>
            <rPr>
              <rFont val="Calibri"/>
              <b val="1"/>
              <sz val="10"/>
            </rPr>
            <t>Big Four:</t>
          </r>
          <r>
            <rPr>
              <rFont val="Calibri"/>
              <sz val="10"/>
            </rPr>
            <t xml:space="preserve"> Manager · IRIS Vs Market Benchmark — XBRL US credential pathway: Certificate + review authority</t>
          </r>
        </is>
      </c>
      <c r="AG30" s="9" t="inlineStr">
        <is>
          <t>XBRL US GAAP Certificate · AICPA &amp; XBRL US; XBRL International specifications; IFRS / US GAAP / Ind AS</t>
        </is>
      </c>
      <c r="AH30" s="9" t="inlineStr">
        <is>
          <t>B3 · Lead Specialist</t>
        </is>
      </c>
      <c r="AI30" s="9" t="inlineStr">
        <is>
          <t>AI / automation · Technical depth &amp; architecture · Domain, regulatory &amp; XBRL</t>
        </is>
      </c>
      <c r="AJ30" s="9" t="inlineStr">
        <is>
          <t>presentation influence · ownership · practices · regulatory updates · stakeholder management</t>
        </is>
      </c>
      <c r="AK30" s="9" t="inlineStr">
        <is>
          <t>On-the-job / hands-on · Knowledge transfer · KT · Formal / classroom training</t>
        </is>
      </c>
      <c r="AL30" s="9" t="inlineStr">
        <is>
          <t>No common theme</t>
        </is>
      </c>
      <c r="AM30" s="9" t="inlineStr">
        <is>
          <t>development</t>
        </is>
      </c>
      <c r="AN30" s="9" t="inlineStr">
        <is>
          <t>2 of 3 say the role is changing because of AI / automation</t>
        </is>
      </c>
      <c r="AO30" s="9" t="inlineStr">
        <is>
          <t>Deliver expert reporting and client-domain services. Includes: XBRL execution, taxonomy advice, service delivery and technical documentation. Excludes: Internal corporate accounting; product roadmap ownership.</t>
        </is>
      </c>
      <c r="AP30" s="9" t="inlineStr">
        <is>
          <t>CON02-3 · Senior Taxonomy Consultant</t>
        </is>
      </c>
      <c r="AQ30" s="9" t="inlineStr">
        <is>
          <t>Resolve conflicting definitions and validate extensions across use cases.</t>
        </is>
      </c>
      <c r="AR30" s="9" t="inlineStr">
        <is>
          <t>Evidence of complex work, decisions and outcomes beyond routine delivery.</t>
        </is>
      </c>
      <c r="AS30" s="9" t="inlineStr">
        <is>
          <t>A requirement-to-taxonomy mapping, validation cases and governed release plan</t>
        </is>
      </c>
      <c r="AT30" s="9" t="inlineStr">
        <is>
          <r>
            <rPr>
              <rFont val="Calibri"/>
              <b val="1"/>
              <sz val="10"/>
            </rPr>
            <t>Regnology:</t>
          </r>
          <r>
            <rPr>
              <rFont val="Calibri"/>
              <sz val="10"/>
            </rPr>
            <t xml:space="preserve"> Senior risk consultant · Related work. Gap: Risk implementation is not taxonomy design; XBRL technical guidance supplies domain content</t>
          </r>
        </is>
      </c>
      <c r="AU30" s="22" t="inlineStr">
        <is>
          <t>Framework + role-holders' themes · 3+ answered</t>
        </is>
      </c>
      <c r="AV30" s="9" t="inlineStr">
        <is>
          <t>3 holders, 3 answered the survey; sub-family 25 answered</t>
        </is>
      </c>
    </row>
    <row r="31" ht="184" customHeight="1">
      <c r="A31" s="17" t="inlineStr">
        <is>
          <t>RC-022</t>
        </is>
      </c>
      <c r="B31" s="9" t="inlineStr">
        <is>
          <t>Consulting &amp; Professional Services</t>
        </is>
      </c>
      <c r="C31" s="9" t="inlineStr">
        <is>
          <t>Taxonomy Design &amp; Regulatory Consulting</t>
        </is>
      </c>
      <c r="D31" s="21" t="inlineStr">
        <is>
          <t>B2</t>
        </is>
      </c>
      <c r="E31" s="22" t="inlineStr">
        <is>
          <t>Manager</t>
        </is>
      </c>
      <c r="F31" s="9" t="inlineStr">
        <is>
          <t>Manager</t>
        </is>
      </c>
      <c r="G31" s="9" t="inlineStr">
        <is>
          <t>Senior Manager – Taxonomy Consulting · Manager – Taxonomy Consulting</t>
        </is>
      </c>
      <c r="H31" s="8" t="n">
        <v>2</v>
      </c>
      <c r="I31" s="9" t="inlineStr">
        <is>
          <t>iFile 2</t>
        </is>
      </c>
      <c r="J31" s="9" t="inlineStr">
        <is>
          <r>
            <rPr>
              <rFont val="Calibri"/>
              <sz val="10"/>
            </rPr>
            <t xml:space="preserve">Designs XBRL/SDMX taxonomies, return templates, validation rules and SRS for regulators; supports implementation and CRs. At B2: deep domain expertise, or one team.
</t>
          </r>
          <r>
            <rPr>
              <rFont val="Calibri"/>
              <b val="1"/>
              <sz val="10"/>
            </rPr>
            <t>Common themes in sub-family holders, all levels' answers:</t>
          </r>
          <r>
            <rPr>
              <rFont val="Calibri"/>
              <sz val="10"/>
            </rPr>
            <t xml:space="preserve"> xbrl · requirements · taxonomy · business · data · convert</t>
          </r>
        </is>
      </c>
      <c r="K31" s="9" t="inlineStr">
        <is>
          <r>
            <rPr>
              <rFont val="Calibri"/>
              <sz val="10"/>
            </rPr>
            <t xml:space="preserve">Designs XBRL/SDMX taxonomies, return templates, validation rules and SRS for regulators; supports implementation and CRs; Hardest problems in the domain; One team or a client portfolio
</t>
          </r>
          <r>
            <rPr>
              <rFont val="Calibri"/>
              <b val="1"/>
              <sz val="10"/>
            </rPr>
            <t>Common themes in sub-family holders, all levels' answers:</t>
          </r>
          <r>
            <rPr>
              <rFont val="Calibri"/>
              <sz val="10"/>
            </rPr>
            <t xml:space="preserve"> client · taxonomy · requirement · development · testing · training</t>
          </r>
        </is>
      </c>
      <c r="L31" s="9" t="inlineStr">
        <is>
          <r>
            <rPr>
              <rFont val="Calibri"/>
              <sz val="10"/>
            </rPr>
            <t xml:space="preserve">One team or a client portfolio
</t>
          </r>
          <r>
            <rPr>
              <rFont val="Calibri"/>
              <b val="1"/>
              <sz val="10"/>
            </rPr>
            <t>Common themes in sub-family holders, all levels' answers:</t>
          </r>
          <r>
            <rPr>
              <rFont val="Calibri"/>
              <sz val="10"/>
            </rPr>
            <t xml:space="preserve"> taxonomy · xbrl · output · srs · taxonomies · accurate</t>
          </r>
        </is>
      </c>
      <c r="M31" s="9" t="inlineStr">
        <is>
          <r>
            <rPr>
              <rFont val="Calibri"/>
              <sz val="10"/>
            </rPr>
            <t xml:space="preserve">One team or a client portfolio
</t>
          </r>
          <r>
            <rPr>
              <rFont val="Calibri"/>
              <b val="1"/>
              <sz val="10"/>
            </rPr>
            <t>Common themes in sub-family holders, all levels' answers:</t>
          </r>
          <r>
            <rPr>
              <rFont val="Calibri"/>
              <sz val="10"/>
            </rPr>
            <t xml:space="preserve"> taxonomy · xbrl · quality · srs · development · testing</t>
          </r>
        </is>
      </c>
      <c r="N31" s="9" t="inlineStr">
        <is>
          <r>
            <rPr>
              <rFont val="Calibri"/>
              <sz val="10"/>
            </rPr>
            <t xml:space="preserve">Allocates people and sets team priorities
</t>
          </r>
          <r>
            <rPr>
              <rFont val="Calibri"/>
              <b val="1"/>
              <sz val="10"/>
            </rPr>
            <t>Common themes in sub-family holders, all levels' answers:</t>
          </r>
          <r>
            <rPr>
              <rFont val="Calibri"/>
              <sz val="10"/>
            </rPr>
            <t xml:space="preserve"> taxonomy · modelling · testing · formula · data · plan</t>
          </r>
        </is>
      </c>
      <c r="O31" s="9" t="inlineStr">
        <is>
          <r>
            <rPr>
              <rFont val="Calibri"/>
              <b val="1"/>
              <sz val="10"/>
            </rPr>
            <t>Common themes in manager-set KRAs:</t>
          </r>
          <r>
            <rPr>
              <rFont val="Calibri"/>
              <sz val="10"/>
            </rPr>
            <t xml:space="preserve"> ifile business · analyst contribute · resolve · domain delivery · serve analyst · milestones on-time</t>
          </r>
        </is>
      </c>
      <c r="P31" s="9" t="inlineStr">
        <is>
          <t>XBRL domain · XBRL specifications · analytical skills · Domain knowledge · XBRL · XBRl knowledge · Academic strength</t>
        </is>
      </c>
      <c r="Q31" s="9" t="inlineStr">
        <is>
          <t>Noah · Webform · Bushchat · excel · Formula Editor · IFile · Claude · Instant</t>
        </is>
      </c>
      <c r="R31" s="9" t="inlineStr">
        <is>
          <t>Deep domain expertise, or one team</t>
        </is>
      </c>
      <c r="S31" s="9" t="inlineStr">
        <is>
          <t>Hardest problems in the domain</t>
        </is>
      </c>
      <c r="T31" s="9" t="inlineStr">
        <is>
          <t>Allocates people and sets team priorities</t>
        </is>
      </c>
      <c r="U31" s="9" t="inlineStr">
        <is>
          <t>One team or a client portfolio</t>
        </is>
      </c>
      <c r="V31" s="9" t="inlineStr">
        <is>
          <r>
            <rPr>
              <rFont val="Calibri"/>
              <b val="1"/>
              <sz val="10"/>
            </rPr>
            <t>IC:</t>
          </r>
          <r>
            <rPr>
              <rFont val="Calibri"/>
              <sz val="10"/>
            </rPr>
            <t xml:space="preserve"> guides others in the domain · People: manages a team of 6+</t>
          </r>
        </is>
      </c>
      <c r="W31" s="9" t="inlineStr">
        <is>
          <t>6–9 yrs</t>
        </is>
      </c>
      <c r="X31" s="9" t="inlineStr">
        <is>
          <t>Graduate or postgraduate; professional qualification preferred</t>
        </is>
      </c>
      <c r="Y31" s="9" t="inlineStr">
        <is>
          <t>XBRL US GAAP Certificate · AICPA &amp; XBRL US or equivalent; CA / CMA / ACCA / CFA / IFRS certificate</t>
        </is>
      </c>
      <c r="Z31" s="9" t="inlineStr">
        <is>
          <r>
            <rPr>
              <rFont val="Calibri"/>
              <b val="1"/>
              <sz val="10"/>
            </rPr>
            <t>IC:</t>
          </r>
          <r>
            <rPr>
              <rFont val="Calibri"/>
              <sz val="10"/>
            </rPr>
            <t xml:space="preserve"> none · People: 6–8 knowledge work, 8–12 standardised delivery</t>
          </r>
        </is>
      </c>
      <c r="AA31" s="9" t="inlineStr">
        <is>
          <t>Core 3 · Future-ready 3 · Functional 4 · Leadership 3</t>
        </is>
      </c>
      <c r="AB31" s="9" t="inlineStr">
        <is>
          <t>XBRL, iXBRL &amp; Taxonomy · Accounting &amp; Reporting Standards · IFRS/US GAAP</t>
        </is>
      </c>
      <c r="AC31" s="9" t="inlineStr">
        <is>
          <t>Regulatory &amp; BFSI Domain · Process Improvement &amp; Quality Mindset · Advanced Excel &amp; Productivity Tools · AI, GenAI &amp; Prompt Engineering</t>
        </is>
      </c>
      <c r="AD31" s="8" t="inlineStr">
        <is>
          <t>P4 / M3</t>
        </is>
      </c>
      <c r="AE31" s="8" t="inlineStr">
        <is>
          <t>4–5</t>
        </is>
      </c>
      <c r="AF31" s="9" t="inlineStr">
        <is>
          <r>
            <rPr>
              <rFont val="Calibri"/>
              <b val="1"/>
              <sz val="10"/>
            </rPr>
            <t>Big Four:</t>
          </r>
          <r>
            <rPr>
              <rFont val="Calibri"/>
              <sz val="10"/>
            </rPr>
            <t xml:space="preserve"> Manager · IRIS Vs Market Benchmark — XBRL US credential pathway: Certificate + review authority</t>
          </r>
        </is>
      </c>
      <c r="AG31" s="9" t="inlineStr">
        <is>
          <t>XBRL US GAAP Certificate · AICPA &amp; XBRL US; XBRL International specifications; IFRS / US GAAP / Ind AS</t>
        </is>
      </c>
      <c r="AH31" s="9" t="inlineStr">
        <is>
          <t>B3 · Lead Specialist</t>
        </is>
      </c>
      <c r="AI31" s="9" t="inlineStr">
        <is>
          <t>AI / automation · Communication &amp; presentation</t>
        </is>
      </c>
      <c r="AJ31" s="9" t="inlineStr">
        <is>
          <t>XBRL taxonomy &amp; regulatory updates; domain/accounting refreshers; quality &amp; accuracy practices; tooling proficiency | People management: goal-setting &amp; feedback, 1:1 coaching, performance conversations | Leadership development: strategic thinking, cross-functional influence, financial/business acumen, succession &amp; talent development, change management, executive communication</t>
        </is>
      </c>
      <c r="AK31" s="9" t="inlineStr">
        <is>
          <t>Formal / classroom training · On-the-job / hands-on · Mentoring / guidance from seniors · Knowledge transfer · KT</t>
        </is>
      </c>
      <c r="AL31" s="9" t="inlineStr">
        <is>
          <t>dependency · client · lack · laptop · backend</t>
        </is>
      </c>
      <c r="AM31" s="9" t="inlineStr">
        <is>
          <t>tools · ai · development · improvement · skills</t>
        </is>
      </c>
      <c r="AN31" s="9" t="inlineStr">
        <is>
          <t>18 of 22 say the role is changing because of AI / automation</t>
        </is>
      </c>
      <c r="AO31" s="9" t="inlineStr">
        <is>
          <t>Deliver expert reporting and client-domain services. Includes: XBRL execution, taxonomy advice, service delivery and technical documentation. Excludes: Internal corporate accounting; product roadmap ownership.</t>
        </is>
      </c>
      <c r="AP31" s="9" t="inlineStr">
        <is>
          <t>LD03-1 · Service Delivery / Consulting Manager</t>
        </is>
      </c>
      <c r="AQ31" s="9" t="inlineStr">
        <is>
          <t>Own staffing decisions, performance support, service quality and delegated team resources</t>
        </is>
      </c>
      <c r="AR31" s="9" t="inlineStr">
        <is>
          <t>Do not manufacture three reporting layers. Choose roles the organisation needs. A specialist may remain on an equally valued expert path.</t>
        </is>
      </c>
      <c r="AS31" s="9" t="inlineStr">
        <is>
          <t>—</t>
        </is>
      </c>
      <c r="AT31" s="9" t="inlineStr">
        <is>
          <t>—</t>
        </is>
      </c>
      <c r="AU31" s="19" t="inlineStr">
        <is>
          <t>Framework + sub-family themes · 3+ answered</t>
        </is>
      </c>
      <c r="AV31" s="9" t="inlineStr">
        <is>
          <t>2 holders, 2 answered the survey; sub-family 25 answered</t>
        </is>
      </c>
    </row>
    <row r="32" ht="158" customHeight="1">
      <c r="A32" s="17" t="inlineStr">
        <is>
          <t>RC-023</t>
        </is>
      </c>
      <c r="B32" s="9" t="inlineStr">
        <is>
          <t>Consulting &amp; Professional Services</t>
        </is>
      </c>
      <c r="C32" s="9" t="inlineStr">
        <is>
          <t>Taxonomy Design &amp; Regulatory Consulting</t>
        </is>
      </c>
      <c r="D32" s="39" t="inlineStr">
        <is>
          <t>X1</t>
        </is>
      </c>
      <c r="E32" s="40" t="inlineStr">
        <is>
          <t>Associate Consultant</t>
        </is>
      </c>
      <c r="F32" s="9" t="inlineStr">
        <is>
          <t>IC</t>
        </is>
      </c>
      <c r="G32" s="9" t="inlineStr">
        <is>
          <t>Associate Consultant – Taxonomy Design &amp; Regulatory Consulting</t>
        </is>
      </c>
      <c r="H32" s="8" t="n">
        <v>1</v>
      </c>
      <c r="I32" s="9" t="inlineStr">
        <is>
          <t>iFile 1</t>
        </is>
      </c>
      <c r="J32" s="9" t="inlineStr">
        <is>
          <r>
            <rPr>
              <rFont val="Calibri"/>
              <sz val="10"/>
            </rPr>
            <t xml:space="preserve">Designs XBRL/SDMX taxonomies, return templates, validation rules and SRS for regulators; supports implementation and CRs. At X1: defined deliverables under a statement of work · ≈ A2–A3.
</t>
          </r>
          <r>
            <rPr>
              <rFont val="Calibri"/>
              <b val="1"/>
              <sz val="10"/>
            </rPr>
            <t>Common themes in sub-family holders, all levels' answers:</t>
          </r>
          <r>
            <rPr>
              <rFont val="Calibri"/>
              <sz val="10"/>
            </rPr>
            <t xml:space="preserve"> xbrl · requirements · taxonomy · business · data · convert</t>
          </r>
        </is>
      </c>
      <c r="K32" s="9" t="inlineStr">
        <is>
          <r>
            <rPr>
              <rFont val="Calibri"/>
              <sz val="10"/>
            </rPr>
            <t xml:space="preserve">Designs XBRL/SDMX taxonomies, return templates, validation rules and SRS for regulators; supports implementation and CRs
</t>
          </r>
          <r>
            <rPr>
              <rFont val="Calibri"/>
              <b val="1"/>
              <sz val="10"/>
            </rPr>
            <t>Common themes in sub-family holders, all levels' answers:</t>
          </r>
          <r>
            <rPr>
              <rFont val="Calibri"/>
              <sz val="10"/>
            </rPr>
            <t xml:space="preserve"> client · taxonomy · requirement · development · testing · training</t>
          </r>
        </is>
      </c>
      <c r="L32" s="9" t="inlineStr">
        <is>
          <r>
            <rPr>
              <rFont val="Calibri"/>
              <sz val="10"/>
            </rPr>
            <t xml:space="preserve">Designs XBRL/SDMX taxonomies, return templates, validation rules and SRS for regulators; supports implementation and CRs.
</t>
          </r>
          <r>
            <rPr>
              <rFont val="Calibri"/>
              <b val="1"/>
              <sz val="10"/>
            </rPr>
            <t>Common themes in sub-family holders, all levels' answers:</t>
          </r>
          <r>
            <rPr>
              <rFont val="Calibri"/>
              <sz val="10"/>
            </rPr>
            <t xml:space="preserve"> taxonomy · xbrl · output · srs · taxonomies · accurate</t>
          </r>
        </is>
      </c>
      <c r="M32" s="9" t="inlineStr">
        <is>
          <r>
            <rPr>
              <rFont val="Calibri"/>
              <sz val="10"/>
            </rPr>
            <t xml:space="preserve">Deliverables under the statement of work
</t>
          </r>
          <r>
            <rPr>
              <rFont val="Calibri"/>
              <b val="1"/>
              <sz val="10"/>
            </rPr>
            <t>Common themes in sub-family holders, all levels' answers:</t>
          </r>
          <r>
            <rPr>
              <rFont val="Calibri"/>
              <sz val="10"/>
            </rPr>
            <t xml:space="preserve"> taxonomy · xbrl · quality · srs · development · testing</t>
          </r>
        </is>
      </c>
      <c r="N32" s="9" t="inlineStr">
        <is>
          <r>
            <rPr>
              <rFont val="Calibri"/>
              <sz val="10"/>
            </rPr>
            <t xml:space="preserve">Within the statement of work
</t>
          </r>
          <r>
            <rPr>
              <rFont val="Calibri"/>
              <b val="1"/>
              <sz val="10"/>
            </rPr>
            <t>Common themes in sub-family holders, all levels' answers:</t>
          </r>
          <r>
            <rPr>
              <rFont val="Calibri"/>
              <sz val="10"/>
            </rPr>
            <t xml:space="preserve"> taxonomy · modelling · testing · formula · data · plan</t>
          </r>
        </is>
      </c>
      <c r="O32" s="9" t="inlineStr">
        <is>
          <t>—</t>
        </is>
      </c>
      <c r="P32" s="9" t="inlineStr">
        <is>
          <t>XBRL domain · XBRL specifications · analytical skills · Domain knowledge · XBRL · XBRl knowledge · Academic strength</t>
        </is>
      </c>
      <c r="Q32" s="9" t="inlineStr">
        <is>
          <t>Noah · Webform · Bushchat · excel · Formula Editor · IFile · Claude · Instant</t>
        </is>
      </c>
      <c r="R32" s="9" t="inlineStr">
        <is>
          <t>Defined deliverables under a statement of work · ≈ A2–A3</t>
        </is>
      </c>
      <c r="S32" s="9" t="inlineStr">
        <is>
          <t>—</t>
        </is>
      </c>
      <c r="T32" s="9" t="inlineStr">
        <is>
          <t>—</t>
        </is>
      </c>
      <c r="U32" s="9" t="inlineStr">
        <is>
          <t>—</t>
        </is>
      </c>
      <c r="V32" s="9" t="inlineStr">
        <is>
          <t>—</t>
        </is>
      </c>
      <c r="W32" s="9" t="inlineStr">
        <is>
          <t>0–5 yrs</t>
        </is>
      </c>
      <c r="X32" s="9" t="inlineStr">
        <is>
          <t>As for equivalent role</t>
        </is>
      </c>
      <c r="Y32" s="9" t="inlineStr">
        <is>
          <t>XBRL US GAAP Certificate · AICPA &amp; XBRL US or equivalent; CA / CMA / ACCA / CFA / IFRS certificate</t>
        </is>
      </c>
      <c r="Z32" s="9" t="inlineStr">
        <is>
          <t>Not counted in spans</t>
        </is>
      </c>
      <c r="AA32" s="9" t="inlineStr">
        <is>
          <t>Per statement of work</t>
        </is>
      </c>
      <c r="AB32" s="9" t="inlineStr">
        <is>
          <t>XBRL, iXBRL &amp; Taxonomy · Accounting &amp; Reporting Standards · IFRS/US GAAP</t>
        </is>
      </c>
      <c r="AC32" s="9" t="inlineStr">
        <is>
          <t>Regulatory &amp; BFSI Domain · Process Improvement &amp; Quality Mindset · Advanced Excel &amp; Productivity Tools · AI, GenAI &amp; Prompt Engineering</t>
        </is>
      </c>
      <c r="AD32" s="8" t="inlineStr">
        <is>
          <t>Contractor</t>
        </is>
      </c>
      <c r="AE32" s="8" t="inlineStr">
        <is>
          <t>—</t>
        </is>
      </c>
      <c r="AF32" s="9" t="inlineStr">
        <is>
          <t>—</t>
        </is>
      </c>
      <c r="AG32" s="9" t="inlineStr">
        <is>
          <t>XBRL US GAAP Certificate · AICPA &amp; XBRL US; XBRL International specifications; IFRS / US GAAP / Ind AS</t>
        </is>
      </c>
      <c r="AH32" s="9" t="inlineStr">
        <is>
          <t>—</t>
        </is>
      </c>
      <c r="AI32" s="9" t="inlineStr">
        <is>
          <t>AI / automation · Project / programme management · Broader exposure &amp; ownership</t>
        </is>
      </c>
      <c r="AJ32" s="9" t="inlineStr">
        <is>
          <t>XBRL taxonomy &amp; regulatory updates; domain/accounting refreshers; quality &amp; accuracy practices; tooling proficiency | Transition to leadership: people management &amp; delegation, mentoring/coaching, project ownership &amp; stakeholder management, prioritisation under ambiguity, presentation &amp; influence skills</t>
        </is>
      </c>
      <c r="AK32" s="9" t="inlineStr">
        <is>
          <t>Formal / classroom training · On-the-job / hands-on · Mentoring / guidance from seniors · Knowledge transfer · KT</t>
        </is>
      </c>
      <c r="AL32" s="9" t="inlineStr">
        <is>
          <t>dependency · client · lack · laptop · backend</t>
        </is>
      </c>
      <c r="AM32" s="9" t="inlineStr">
        <is>
          <t>tools · ai · development · improvement · skills</t>
        </is>
      </c>
      <c r="AN32" s="9" t="inlineStr">
        <is>
          <t>18 of 22 say the role is changing because of AI / automation</t>
        </is>
      </c>
      <c r="AO32" s="9" t="inlineStr">
        <is>
          <t>Deliver expert reporting and client-domain services. Includes: XBRL execution, taxonomy advice, service delivery and technical documentation. Excludes: Internal corporate accounting; product roadmap ownership.</t>
        </is>
      </c>
      <c r="AP32" s="9" t="inlineStr">
        <is>
          <t>—</t>
        </is>
      </c>
      <c r="AQ32" s="9" t="inlineStr">
        <is>
          <t>—</t>
        </is>
      </c>
      <c r="AR32" s="9" t="inlineStr">
        <is>
          <t>—</t>
        </is>
      </c>
      <c r="AS32" s="9" t="inlineStr">
        <is>
          <t>—</t>
        </is>
      </c>
      <c r="AT32" s="9" t="inlineStr">
        <is>
          <t>—</t>
        </is>
      </c>
      <c r="AU32" s="19" t="inlineStr">
        <is>
          <t>Framework + sub-family themes · 3+ answered</t>
        </is>
      </c>
      <c r="AV32" s="9" t="inlineStr">
        <is>
          <t>1 holder, 1 answered the survey; sub-family 25 answered</t>
        </is>
      </c>
    </row>
    <row r="33" ht="119" customHeight="1">
      <c r="A33" s="17" t="inlineStr">
        <is>
          <t>RC-024</t>
        </is>
      </c>
      <c r="B33" s="9" t="inlineStr">
        <is>
          <t>Consulting &amp; Professional Services</t>
        </is>
      </c>
      <c r="C33" s="9" t="inlineStr">
        <is>
          <t>XBRL Tagging, Conversion &amp; Filing</t>
        </is>
      </c>
      <c r="D33" s="18" t="inlineStr">
        <is>
          <t>A2</t>
        </is>
      </c>
      <c r="E33" s="19" t="inlineStr">
        <is>
          <t>Associate</t>
        </is>
      </c>
      <c r="F33" s="9" t="inlineStr">
        <is>
          <t>IC</t>
        </is>
      </c>
      <c r="G33" s="9" t="inlineStr">
        <is>
          <t>Financial Analyst</t>
        </is>
      </c>
      <c r="H33" s="8" t="n">
        <v>4</v>
      </c>
      <c r="I33" s="9" t="inlineStr">
        <is>
          <t>iFile 3 · CARBON 1</t>
        </is>
      </c>
      <c r="J33" s="9" t="inlineStr">
        <is>
          <r>
            <rPr>
              <rFont val="Calibri"/>
              <sz val="10"/>
            </rPr>
            <t xml:space="preserve">Tags and converts financial statements and regulatory returns into XBRL/iXBRL, performs QC, clears validation errors and delivers filing-ready outputs. At A2: standard work delivered independently.
</t>
          </r>
          <r>
            <rPr>
              <rFont val="Calibri"/>
              <b val="1"/>
              <sz val="10"/>
            </rPr>
            <t>Common themes in role-holders' answers:</t>
          </r>
          <r>
            <rPr>
              <rFont val="Calibri"/>
              <sz val="10"/>
            </rPr>
            <t xml:space="preserve"> xbrl · format · data · financial · convert · accurately</t>
          </r>
        </is>
      </c>
      <c r="K33" s="9" t="inlineStr">
        <is>
          <r>
            <rPr>
              <rFont val="Calibri"/>
              <sz val="10"/>
            </rPr>
            <t xml:space="preserve">Tags and converts financial statements and regulatory returns into XBRL/iXBRL, performs QC, clears validation errors and delivers filing-ready outputs; Standard work of the discipline; Own deliverables · accuracy, TAT
</t>
          </r>
          <r>
            <rPr>
              <rFont val="Calibri"/>
              <b val="1"/>
              <sz val="10"/>
            </rPr>
            <t>Common themes in role-holders' answers:</t>
          </r>
          <r>
            <rPr>
              <rFont val="Calibri"/>
              <sz val="10"/>
            </rPr>
            <t xml:space="preserve"> tagging · data validation · mapping · xbrl · financial</t>
          </r>
        </is>
      </c>
      <c r="L33" s="9" t="inlineStr">
        <is>
          <r>
            <rPr>
              <rFont val="Calibri"/>
              <sz val="10"/>
            </rPr>
            <t xml:space="preserve">Own deliverables · accuracy, TAT
</t>
          </r>
          <r>
            <rPr>
              <rFont val="Calibri"/>
              <b val="1"/>
              <sz val="10"/>
            </rPr>
            <t>Common themes in role-holders' answers:</t>
          </r>
          <r>
            <rPr>
              <rFont val="Calibri"/>
              <sz val="10"/>
            </rPr>
            <t xml:space="preserve"> xbrl · reports</t>
          </r>
        </is>
      </c>
      <c r="M33" s="9" t="inlineStr">
        <is>
          <r>
            <rPr>
              <rFont val="Calibri"/>
              <sz val="10"/>
            </rPr>
            <t xml:space="preserve">Own deliverables · accuracy, TAT
</t>
          </r>
          <r>
            <rPr>
              <rFont val="Calibri"/>
              <b val="1"/>
              <sz val="10"/>
            </rPr>
            <t>Common themes in role-holders' answers:</t>
          </r>
          <r>
            <rPr>
              <rFont val="Calibri"/>
              <sz val="10"/>
            </rPr>
            <t xml:space="preserve"> xbrl · mapping · tagging · reports · accuracy</t>
          </r>
        </is>
      </c>
      <c r="N33" s="9" t="inlineStr">
        <is>
          <r>
            <rPr>
              <rFont val="Calibri"/>
              <sz val="10"/>
            </rPr>
            <t xml:space="preserve">Chooses own approach within standards
</t>
          </r>
          <r>
            <rPr>
              <rFont val="Calibri"/>
              <b val="1"/>
              <sz val="10"/>
            </rPr>
            <t>Common themes in role-holders' answers:</t>
          </r>
          <r>
            <rPr>
              <rFont val="Calibri"/>
              <sz val="10"/>
            </rPr>
            <t xml:space="preserve"> errors · tagging</t>
          </r>
        </is>
      </c>
      <c r="O33" s="9" t="inlineStr">
        <is>
          <r>
            <rPr>
              <rFont val="Calibri"/>
              <b val="1"/>
              <sz val="10"/>
            </rPr>
            <t>Common themes in manager-set KRAs:</t>
          </r>
          <r>
            <rPr>
              <rFont val="Calibri"/>
              <sz val="10"/>
            </rPr>
            <t xml:space="preserve"> complete iris · resolve · cycle full · accuracy targets · maintained · logs document</t>
          </r>
        </is>
      </c>
      <c r="P33" s="9" t="inlineStr">
        <is>
          <t>XBRL Domain</t>
        </is>
      </c>
      <c r="Q33" s="9" t="inlineStr">
        <is>
          <t>Ms excel</t>
        </is>
      </c>
      <c r="R33" s="9" t="inlineStr">
        <is>
          <t>Standard work delivered independently</t>
        </is>
      </c>
      <c r="S33" s="9" t="inlineStr">
        <is>
          <t>Standard work of the discipline</t>
        </is>
      </c>
      <c r="T33" s="9" t="inlineStr">
        <is>
          <t>Chooses own approach within standards</t>
        </is>
      </c>
      <c r="U33" s="9" t="inlineStr">
        <is>
          <t>Own deliverables · accuracy, TAT</t>
        </is>
      </c>
      <c r="V33" s="9" t="inlineStr">
        <is>
          <t>Not scored in Band A</t>
        </is>
      </c>
      <c r="W33" s="9" t="inlineStr">
        <is>
          <t>0–2 yrs</t>
        </is>
      </c>
      <c r="X33" s="9" t="inlineStr">
        <is>
          <t>Graduate · or diploma with experience</t>
        </is>
      </c>
      <c r="Y33" s="9" t="inlineStr">
        <is>
          <t>XBRL US GAAP Certificate · AICPA &amp; XBRL US or equivalent; CA / CMA / ACCA / CFA / IFRS certificate</t>
        </is>
      </c>
      <c r="Z33" s="9" t="inlineStr">
        <is>
          <t>No direct reports</t>
        </is>
      </c>
      <c r="AA33" s="9" t="inlineStr">
        <is>
          <t>Core 2 · Future-ready 2 · Functional 2 · Leadership —</t>
        </is>
      </c>
      <c r="AB33" s="9" t="inlineStr">
        <is>
          <t>XBRL, iXBRL &amp; Taxonomy · Accounting &amp; Reporting Standards · IFRS/US GAAP</t>
        </is>
      </c>
      <c r="AC33" s="9" t="inlineStr">
        <is>
          <t>Regulatory &amp; BFSI Domain · Process Improvement &amp; Quality Mindset · Advanced Excel &amp; Productivity Tools · AI, GenAI &amp; Prompt Engineering</t>
        </is>
      </c>
      <c r="AD33" s="8" t="inlineStr">
        <is>
          <t>P1–P2</t>
        </is>
      </c>
      <c r="AE33" s="8" t="inlineStr">
        <is>
          <t>2 Assist</t>
        </is>
      </c>
      <c r="AF33" s="9" t="inlineStr">
        <is>
          <r>
            <rPr>
              <rFont val="Calibri"/>
              <b val="1"/>
              <sz val="10"/>
            </rPr>
            <t>Toppan Merrill:</t>
          </r>
          <r>
            <rPr>
              <rFont val="Calibri"/>
              <sz val="10"/>
            </rPr>
            <t xml:space="preserve"> XBRL Financial Analyst, Associate · DataTracks: Associate · Big Four: Analyst</t>
          </r>
        </is>
      </c>
      <c r="AG33" s="9" t="inlineStr">
        <is>
          <t>XBRL US GAAP Certificate · AICPA &amp; XBRL US; XBRL International specifications; IFRS / US GAAP / Ind AS</t>
        </is>
      </c>
      <c r="AH33" s="9" t="inlineStr">
        <is>
          <t>A3 · Senior Associate</t>
        </is>
      </c>
      <c r="AI33" s="9" t="inlineStr">
        <is>
          <t>Domain, regulatory &amp; XBRL · Data, SQL &amp; analytics · Product &amp; tool knowledge · AI / automation · Project / programme management</t>
        </is>
      </c>
      <c r="AJ33" s="9" t="inlineStr">
        <is>
          <t>presentation influence · ownership · practices · regulatory updates · stakeholder management</t>
        </is>
      </c>
      <c r="AK33" s="9" t="inlineStr">
        <is>
          <t>On-the-job / hands-on · Mentoring / guidance from seniors · Formal / classroom training</t>
        </is>
      </c>
      <c r="AL33" s="9" t="inlineStr">
        <is>
          <t>internet</t>
        </is>
      </c>
      <c r="AM33" s="9" t="inlineStr">
        <is>
          <t>automation · process</t>
        </is>
      </c>
      <c r="AN33" s="9" t="inlineStr">
        <is>
          <t>4 of 4 say the role is changing because of AI / automation</t>
        </is>
      </c>
      <c r="AO33" s="9" t="inlineStr">
        <is>
          <t>Deliver expert reporting and client-domain services. Includes: XBRL execution, taxonomy advice, service delivery and technical documentation. Excludes: Internal corporate accounting; product roadmap ownership.</t>
        </is>
      </c>
      <c r="AP33" s="9" t="inlineStr">
        <is>
          <t>CON01-1 · XBRL Reporting Associate</t>
        </is>
      </c>
      <c r="AQ33" s="9" t="inlineStr">
        <is>
          <r>
            <rPr>
              <rFont val="Calibri"/>
              <b val="1"/>
              <sz val="10"/>
            </rPr>
            <t>Complete defined parts under review:</t>
          </r>
          <r>
            <rPr>
              <rFont val="Calibri"/>
              <sz val="10"/>
            </rPr>
            <t xml:space="preserve"> prepare tagging with source reconciliation and validation results.</t>
          </r>
        </is>
      </c>
      <c r="AR33" s="9" t="inlineStr">
        <is>
          <t>Repeatable correct delivery, safe escalation and required entry eligibility.</t>
        </is>
      </c>
      <c r="AS33" s="9" t="inlineStr">
        <is>
          <t>A reconciled filing with defensible tag selection, exception log and reviewer sign-off</t>
        </is>
      </c>
      <c r="AT33" s="9" t="inlineStr">
        <is>
          <r>
            <rPr>
              <rFont val="Calibri"/>
              <b val="1"/>
              <sz val="10"/>
            </rPr>
            <t>DataTracks:</t>
          </r>
          <r>
            <rPr>
              <rFont val="Calibri"/>
              <sz val="10"/>
            </rPr>
            <t xml:space="preserve"> Published career openings · Related work. Gap: Document production is adjacent to filing services; XBRL analyst titles are proposed</t>
          </r>
        </is>
      </c>
      <c r="AU33" s="22" t="inlineStr">
        <is>
          <t>Framework + role-holders' themes · 3+ answered</t>
        </is>
      </c>
      <c r="AV33" s="9" t="inlineStr">
        <is>
          <t>4 holders, 4 answered the survey; sub-family 56 answered</t>
        </is>
      </c>
    </row>
    <row r="34" ht="145" customHeight="1">
      <c r="A34" s="17" t="inlineStr">
        <is>
          <t>RC-025</t>
        </is>
      </c>
      <c r="B34" s="9" t="inlineStr">
        <is>
          <t>Consulting &amp; Professional Services</t>
        </is>
      </c>
      <c r="C34" s="9" t="inlineStr">
        <is>
          <t>XBRL Tagging, Conversion &amp; Filing</t>
        </is>
      </c>
      <c r="D34" s="18" t="inlineStr">
        <is>
          <t>A3</t>
        </is>
      </c>
      <c r="E34" s="19" t="inlineStr">
        <is>
          <t>Senior Associate</t>
        </is>
      </c>
      <c r="F34" s="9" t="inlineStr">
        <is>
          <t>IC</t>
        </is>
      </c>
      <c r="G34" s="9" t="inlineStr">
        <is>
          <t>Senior Financial Analyst · XBRL Specialist</t>
        </is>
      </c>
      <c r="H34" s="8" t="n">
        <v>38</v>
      </c>
      <c r="I34" s="9" t="inlineStr">
        <is>
          <t>CARBON 35 · iFile 3</t>
        </is>
      </c>
      <c r="J34" s="9" t="inlineStr">
        <is>
          <r>
            <rPr>
              <rFont val="Calibri"/>
              <sz val="10"/>
            </rPr>
            <t xml:space="preserve">Tags and converts financial statements and regulatory returns into XBRL/iXBRL, performs QC, clears validation errors and delivers filing-ready outputs. At A3: varied work; reviews juniors; go-to for a process.
</t>
          </r>
          <r>
            <rPr>
              <rFont val="Calibri"/>
              <b val="1"/>
              <sz val="10"/>
            </rPr>
            <t>Common themes in role-holders' answers:</t>
          </r>
          <r>
            <rPr>
              <rFont val="Calibri"/>
              <sz val="10"/>
            </rPr>
            <t xml:space="preserve"> financial · accurately · tagging · reporting · us · core</t>
          </r>
        </is>
      </c>
      <c r="K34" s="9" t="inlineStr">
        <is>
          <r>
            <rPr>
              <rFont val="Calibri"/>
              <sz val="10"/>
            </rPr>
            <t xml:space="preserve">Tags and converts financial statements and regulatory returns into XBRL/iXBRL, performs QC, clears validation errors and delivers filing-ready outputs; Varied and non-standard work; handles exceptions; A module / process, or work with client or regulatory consequences
</t>
          </r>
          <r>
            <rPr>
              <rFont val="Calibri"/>
              <b val="1"/>
              <sz val="10"/>
            </rPr>
            <t>Common themes in role-holders' answers:</t>
          </r>
          <r>
            <rPr>
              <rFont val="Calibri"/>
              <sz val="10"/>
            </rPr>
            <t xml:space="preserve"> tagging · quality · validation · filing · resolution · financial</t>
          </r>
        </is>
      </c>
      <c r="L34" s="9" t="inlineStr">
        <is>
          <r>
            <rPr>
              <rFont val="Calibri"/>
              <sz val="10"/>
            </rPr>
            <t xml:space="preserve">A module / process, or work with client or regulatory consequences
</t>
          </r>
          <r>
            <rPr>
              <rFont val="Calibri"/>
              <b val="1"/>
              <sz val="10"/>
            </rPr>
            <t>Common themes in role-holders' answers:</t>
          </r>
          <r>
            <rPr>
              <rFont val="Calibri"/>
              <sz val="10"/>
            </rPr>
            <t xml:space="preserve"> financial · files · reports · tagging · accurate · tagged</t>
          </r>
        </is>
      </c>
      <c r="M34" s="9" t="inlineStr">
        <is>
          <r>
            <rPr>
              <rFont val="Calibri"/>
              <sz val="10"/>
            </rPr>
            <t xml:space="preserve">A module / process, or work with client or regulatory consequences
</t>
          </r>
          <r>
            <rPr>
              <rFont val="Calibri"/>
              <b val="1"/>
              <sz val="10"/>
            </rPr>
            <t>Common themes in role-holders' answers:</t>
          </r>
          <r>
            <rPr>
              <rFont val="Calibri"/>
              <sz val="10"/>
            </rPr>
            <t xml:space="preserve"> tagging · accountable · am · quality · accuracy · validation</t>
          </r>
        </is>
      </c>
      <c r="N34" s="9" t="inlineStr">
        <is>
          <r>
            <rPr>
              <rFont val="Calibri"/>
              <sz val="10"/>
            </rPr>
            <t xml:space="preserve">Technical / QC / client calls on own work
</t>
          </r>
          <r>
            <rPr>
              <rFont val="Calibri"/>
              <b val="1"/>
              <sz val="10"/>
            </rPr>
            <t>Common themes in role-holders' answers:</t>
          </r>
          <r>
            <rPr>
              <rFont val="Calibri"/>
              <sz val="10"/>
            </rPr>
            <t xml:space="preserve"> tagging · validation · independently · issues · appropriate · assigned</t>
          </r>
        </is>
      </c>
      <c r="O34" s="9" t="inlineStr">
        <is>
          <r>
            <rPr>
              <rFont val="Calibri"/>
              <b val="1"/>
              <sz val="10"/>
            </rPr>
            <t>Common themes in manager-set KRAs:</t>
          </r>
          <r>
            <rPr>
              <rFont val="Calibri"/>
              <sz val="10"/>
            </rPr>
            <t xml:space="preserve"> resolve · full · coverage · cycles · defect · xbrl</t>
          </r>
        </is>
      </c>
      <c r="P34" s="9" t="inlineStr">
        <is>
          <t>XBRL Domain · Taxonomy knowledge · attention to detail · validation · Problem-solving · filing procedures · XBRL concepts · QC</t>
        </is>
      </c>
      <c r="Q34" s="9" t="inlineStr">
        <is>
          <t>Carbon · Microsoft Excel · Excel · Outlook · validation · Microsoft Teams · QC · Disclosure Management</t>
        </is>
      </c>
      <c r="R34" s="9" t="inlineStr">
        <is>
          <t>Varied work; reviews juniors; go-to for a process</t>
        </is>
      </c>
      <c r="S34" s="9" t="inlineStr">
        <is>
          <t>Varied and non-standard work; handles exceptions</t>
        </is>
      </c>
      <c r="T34" s="9" t="inlineStr">
        <is>
          <t>Technical / QC / client calls on own work</t>
        </is>
      </c>
      <c r="U34" s="9" t="inlineStr">
        <is>
          <t>A module / process, or work with client or regulatory consequences</t>
        </is>
      </c>
      <c r="V34" s="9" t="inlineStr">
        <is>
          <t>Not scored in Band A</t>
        </is>
      </c>
      <c r="W34" s="9" t="inlineStr">
        <is>
          <t>2–4 yrs</t>
        </is>
      </c>
      <c r="X34" s="9" t="inlineStr">
        <is>
          <t>Graduate; relevant certification preferred</t>
        </is>
      </c>
      <c r="Y34" s="9" t="inlineStr">
        <is>
          <t>XBRL US GAAP Certificate · AICPA &amp; XBRL US or equivalent; CA / CMA / ACCA / CFA / IFRS certificate</t>
        </is>
      </c>
      <c r="Z34" s="9" t="inlineStr">
        <is>
          <t>None · guides 1–3 juniors informally</t>
        </is>
      </c>
      <c r="AA34" s="9" t="inlineStr">
        <is>
          <t>Core 2 · Future-ready 2 · Functional 3 · Leadership —</t>
        </is>
      </c>
      <c r="AB34" s="9" t="inlineStr">
        <is>
          <t>XBRL, iXBRL &amp; Taxonomy · Accounting &amp; Reporting Standards · IFRS/US GAAP</t>
        </is>
      </c>
      <c r="AC34" s="9" t="inlineStr">
        <is>
          <t>Regulatory &amp; BFSI Domain · Process Improvement &amp; Quality Mindset · Advanced Excel &amp; Productivity Tools · AI, GenAI &amp; Prompt Engineering</t>
        </is>
      </c>
      <c r="AD34" s="8" t="inlineStr">
        <is>
          <t>P2</t>
        </is>
      </c>
      <c r="AE34" s="8" t="inlineStr">
        <is>
          <t>3 Apply</t>
        </is>
      </c>
      <c r="AF34" s="9" t="inlineStr">
        <is>
          <r>
            <rPr>
              <rFont val="Calibri"/>
              <b val="1"/>
              <sz val="10"/>
            </rPr>
            <t>DataTracks:</t>
          </r>
          <r>
            <rPr>
              <rFont val="Calibri"/>
              <sz val="10"/>
            </rPr>
            <t xml:space="preserve"> Senior Associate · 2–5 yrs · Big Four: Consultant · IRIS Vs Market Benchmark — XBRL US credential pathway: XBRL US GAAP Certificate</t>
          </r>
        </is>
      </c>
      <c r="AG34" s="9" t="inlineStr">
        <is>
          <t>XBRL US GAAP Certificate · AICPA &amp; XBRL US; XBRL International specifications; IFRS / US GAAP / Ind AS</t>
        </is>
      </c>
      <c r="AH34" s="9" t="inlineStr">
        <is>
          <t>B1 · Specialist</t>
        </is>
      </c>
      <c r="AI34" s="9" t="inlineStr">
        <is>
          <t>Domain, regulatory &amp; XBRL · Broader exposure &amp; ownership · Testing &amp; quality · Client, sales &amp; stakeholders · Project / programme management</t>
        </is>
      </c>
      <c r="AJ34" s="9" t="inlineStr">
        <is>
          <t>presentation influence · ownership · practices · regulatory updates · stakeholder management</t>
        </is>
      </c>
      <c r="AK34" s="9" t="inlineStr">
        <is>
          <t>On-the-job / hands-on · Formal / classroom training · Mentoring / guidance from seniors · Knowledge transfer · KT</t>
        </is>
      </c>
      <c r="AL34" s="9" t="inlineStr">
        <is>
          <t>complex · tool · changes · system · unfamiliar</t>
        </is>
      </c>
      <c r="AM34" s="9" t="inlineStr">
        <is>
          <t>reduce · improve · better · help · time</t>
        </is>
      </c>
      <c r="AN34" s="9" t="inlineStr">
        <is>
          <t>18 of 33 say the role is changing because of AI / automation</t>
        </is>
      </c>
      <c r="AO34" s="9" t="inlineStr">
        <is>
          <t>Deliver expert reporting and client-domain services. Includes: XBRL execution, taxonomy advice, service delivery and technical documentation. Excludes: Internal corporate accounting; product roadmap ownership.</t>
        </is>
      </c>
      <c r="AP34" s="9" t="inlineStr">
        <is>
          <t>CON01-2 · XBRL Reporting Analyst</t>
        </is>
      </c>
      <c r="AQ34" s="9" t="inlineStr">
        <is>
          <t>Prepare tagging with source reconciliation and validation results.</t>
        </is>
      </c>
      <c r="AR34" s="9" t="inlineStr">
        <is>
          <t>Demonstrate routine delivery plus judgement in bounded exceptions.</t>
        </is>
      </c>
      <c r="AS34" s="9" t="inlineStr">
        <is>
          <t>A reconciled filing with defensible tag selection, exception log and reviewer sign-off</t>
        </is>
      </c>
      <c r="AT34" s="9" t="inlineStr">
        <is>
          <r>
            <rPr>
              <rFont val="Calibri"/>
              <b val="1"/>
              <sz val="10"/>
            </rPr>
            <t>DataTracks:</t>
          </r>
          <r>
            <rPr>
              <rFont val="Calibri"/>
              <sz val="10"/>
            </rPr>
            <t xml:space="preserve"> Published career openings · Related work. Gap: Document production is adjacent to filing services; XBRL analyst titles are proposed</t>
          </r>
        </is>
      </c>
      <c r="AU34" s="22" t="inlineStr">
        <is>
          <t>Framework + role-holders' themes · 3+ answered</t>
        </is>
      </c>
      <c r="AV34" s="9" t="inlineStr">
        <is>
          <t>38 holders, 36 answered the survey; sub-family 56 answered</t>
        </is>
      </c>
    </row>
    <row r="35" ht="106" customHeight="1">
      <c r="A35" s="17" t="inlineStr">
        <is>
          <t>RC-026</t>
        </is>
      </c>
      <c r="B35" s="9" t="inlineStr">
        <is>
          <t>Consulting &amp; Professional Services</t>
        </is>
      </c>
      <c r="C35" s="9" t="inlineStr">
        <is>
          <t>XBRL Tagging, Conversion &amp; Filing</t>
        </is>
      </c>
      <c r="D35" s="21" t="inlineStr">
        <is>
          <t>B1</t>
        </is>
      </c>
      <c r="E35" s="22" t="inlineStr">
        <is>
          <t>Specialist</t>
        </is>
      </c>
      <c r="F35" s="9" t="inlineStr">
        <is>
          <t>IC</t>
        </is>
      </c>
      <c r="G35" s="9" t="inlineStr">
        <is>
          <t>XBRL Specialist · XBRL Specialist – POD Lead</t>
        </is>
      </c>
      <c r="H35" s="8" t="n">
        <v>10</v>
      </c>
      <c r="I35" s="9" t="inlineStr">
        <is>
          <t>CARBON 10</t>
        </is>
      </c>
      <c r="J35" s="9" t="inlineStr">
        <is>
          <r>
            <rPr>
              <rFont val="Calibri"/>
              <sz val="10"/>
            </rPr>
            <t xml:space="preserve">Tags and converts financial statements and regulatory returns into XBRL/iXBRL, performs QC, clears validation errors and delivers filing-ready outputs. At B1: a domain / module, or a small team.
</t>
          </r>
          <r>
            <rPr>
              <rFont val="Calibri"/>
              <b val="1"/>
              <sz val="10"/>
            </rPr>
            <t>Common themes in role-holders' answers:</t>
          </r>
          <r>
            <rPr>
              <rFont val="Calibri"/>
              <sz val="10"/>
            </rPr>
            <t xml:space="preserve"> reporting · financial · mandate · timely · while · us</t>
          </r>
        </is>
      </c>
      <c r="K35" s="9" t="inlineStr">
        <is>
          <r>
            <rPr>
              <rFont val="Calibri"/>
              <sz val="10"/>
            </rPr>
            <t xml:space="preserve">Tags and converts financial statements and regulatory returns into XBRL/iXBRL, performs QC, clears validation errors and delivers filing-ready outputs; Domain specialist work; A domain or a small team
</t>
          </r>
          <r>
            <rPr>
              <rFont val="Calibri"/>
              <b val="1"/>
              <sz val="10"/>
            </rPr>
            <t>Common themes in role-holders' answers:</t>
          </r>
          <r>
            <rPr>
              <rFont val="Calibri"/>
              <sz val="10"/>
            </rPr>
            <t xml:space="preserve"> tagging · validation · quality · mapping · management · filing</t>
          </r>
        </is>
      </c>
      <c r="L35" s="9" t="inlineStr">
        <is>
          <r>
            <rPr>
              <rFont val="Calibri"/>
              <sz val="10"/>
            </rPr>
            <t xml:space="preserve">A domain or a small team
</t>
          </r>
          <r>
            <rPr>
              <rFont val="Calibri"/>
              <b val="1"/>
              <sz val="10"/>
            </rPr>
            <t>Common themes in role-holders' answers:</t>
          </r>
          <r>
            <rPr>
              <rFont val="Calibri"/>
              <sz val="10"/>
            </rPr>
            <t xml:space="preserve"> documents · xbrl · quality · timely · overall · filings</t>
          </r>
        </is>
      </c>
      <c r="M35" s="9" t="inlineStr">
        <is>
          <r>
            <rPr>
              <rFont val="Calibri"/>
              <sz val="10"/>
            </rPr>
            <t xml:space="preserve">A domain or a small team
</t>
          </r>
          <r>
            <rPr>
              <rFont val="Calibri"/>
              <b val="1"/>
              <sz val="10"/>
            </rPr>
            <t>Common themes in role-holders' answers:</t>
          </r>
          <r>
            <rPr>
              <rFont val="Calibri"/>
              <sz val="10"/>
            </rPr>
            <t xml:space="preserve"> quality · validation · timely · am · tagging · delivery</t>
          </r>
        </is>
      </c>
      <c r="N35" s="9" t="inlineStr">
        <is>
          <r>
            <rPr>
              <rFont val="Calibri"/>
              <sz val="10"/>
            </rPr>
            <t xml:space="preserve">Technical / QC / client calls for the domain
</t>
          </r>
          <r>
            <rPr>
              <rFont val="Calibri"/>
              <b val="1"/>
              <sz val="10"/>
            </rPr>
            <t>Common themes in role-holders' answers:</t>
          </r>
          <r>
            <rPr>
              <rFont val="Calibri"/>
              <sz val="10"/>
            </rPr>
            <t xml:space="preserve"> resolving · independently · issues · routine · file · analysis</t>
          </r>
        </is>
      </c>
      <c r="O35" s="9" t="inlineStr">
        <is>
          <t>—</t>
        </is>
      </c>
      <c r="P35" s="9" t="inlineStr">
        <is>
          <t>XBRL Domain · Attention to detail · Advanced XBRL Mapping knowledge · Different region Taxonomy Knowledge · Financial Reporting Standards (US-GAAP · IFRS · Validations · US mandate/process knowledge</t>
        </is>
      </c>
      <c r="Q35" s="9" t="inlineStr">
        <is>
          <t>Carbon · Microsoft Teams · Outlook · Disclosure Management · Microsoft Excel · other MS suite · Excel · validation</t>
        </is>
      </c>
      <c r="R35" s="9" t="inlineStr">
        <is>
          <t>A domain / module, or a small team</t>
        </is>
      </c>
      <c r="S35" s="9" t="inlineStr">
        <is>
          <t>Domain specialist work</t>
        </is>
      </c>
      <c r="T35" s="9" t="inlineStr">
        <is>
          <t>Technical / QC / client calls for the domain</t>
        </is>
      </c>
      <c r="U35" s="9" t="inlineStr">
        <is>
          <t>A domain or a small team</t>
        </is>
      </c>
      <c r="V35" s="9" t="inlineStr">
        <is>
          <r>
            <rPr>
              <rFont val="Calibri"/>
              <b val="1"/>
              <sz val="10"/>
            </rPr>
            <t>IC:</t>
          </r>
          <r>
            <rPr>
              <rFont val="Calibri"/>
              <sz val="10"/>
            </rPr>
            <t xml:space="preserve"> mentors and reviews · People: hands-on team lead of 3–5</t>
          </r>
        </is>
      </c>
      <c r="W35" s="9" t="inlineStr">
        <is>
          <t>4–7 yrs</t>
        </is>
      </c>
      <c r="X35" s="9" t="inlineStr">
        <is>
          <t>Graduate + relevant qualification or certification preferred</t>
        </is>
      </c>
      <c r="Y35" s="9" t="inlineStr">
        <is>
          <t>XBRL US GAAP Certificate · AICPA &amp; XBRL US or equivalent; CA / CMA / ACCA / CFA / IFRS certificate</t>
        </is>
      </c>
      <c r="Z35" s="9" t="inlineStr">
        <is>
          <r>
            <rPr>
              <rFont val="Calibri"/>
              <b val="1"/>
              <sz val="10"/>
            </rPr>
            <t>IC:</t>
          </r>
          <r>
            <rPr>
              <rFont val="Calibri"/>
              <sz val="10"/>
            </rPr>
            <t xml:space="preserve"> none · Team Lead: 3–5</t>
          </r>
        </is>
      </c>
      <c r="AA35" s="9" t="inlineStr">
        <is>
          <t>Core 3 · Future-ready 3 · Functional 3 · Leadership 1</t>
        </is>
      </c>
      <c r="AB35" s="9" t="inlineStr">
        <is>
          <t>XBRL, iXBRL &amp; Taxonomy · Accounting &amp; Reporting Standards · IFRS/US GAAP</t>
        </is>
      </c>
      <c r="AC35" s="9" t="inlineStr">
        <is>
          <t>Regulatory &amp; BFSI Domain · Process Improvement &amp; Quality Mindset · Advanced Excel &amp; Productivity Tools · AI, GenAI &amp; Prompt Engineering</t>
        </is>
      </c>
      <c r="AD35" s="8" t="inlineStr">
        <is>
          <t>P3 / M2</t>
        </is>
      </c>
      <c r="AE35" s="8" t="inlineStr">
        <is>
          <t>4 Enable</t>
        </is>
      </c>
      <c r="AF35" s="9" t="inlineStr">
        <is>
          <r>
            <rPr>
              <rFont val="Calibri"/>
              <b val="1"/>
              <sz val="10"/>
            </rPr>
            <t>Big Four:</t>
          </r>
          <r>
            <rPr>
              <rFont val="Calibri"/>
              <sz val="10"/>
            </rPr>
            <t xml:space="preserve"> Senior Consultant · IRIS Vs Market Benchmark — XBRL US credential pathway: Certificate + specialist taxonomy</t>
          </r>
        </is>
      </c>
      <c r="AG35" s="9" t="inlineStr">
        <is>
          <t>XBRL US GAAP Certificate · AICPA &amp; XBRL US; XBRL International specifications; IFRS / US GAAP / Ind AS</t>
        </is>
      </c>
      <c r="AH35" s="9" t="inlineStr">
        <is>
          <t>B2 · Senior Specialist</t>
        </is>
      </c>
      <c r="AI35" s="9" t="inlineStr">
        <is>
          <t>Broader exposure &amp; ownership · Domain, regulatory &amp; XBRL · AI / automation · Project / programme management · Product &amp; tool knowledge</t>
        </is>
      </c>
      <c r="AJ35" s="9" t="inlineStr">
        <is>
          <t>—</t>
        </is>
      </c>
      <c r="AK35" s="9" t="inlineStr">
        <is>
          <t>On-the-job / hands-on · Mentoring / guidance from seniors · Formal / classroom training · Knowledge transfer · KT</t>
        </is>
      </c>
      <c r="AL35" s="9" t="inlineStr">
        <is>
          <t>system · slowness · issues · changes · frequent</t>
        </is>
      </c>
      <c r="AM35" s="9" t="inlineStr">
        <is>
          <t>improve · reduce · time · process · deadlines</t>
        </is>
      </c>
      <c r="AN35" s="9" t="inlineStr">
        <is>
          <t>6 of 10 say the role is changing because of AI / automation</t>
        </is>
      </c>
      <c r="AO35" s="9" t="inlineStr">
        <is>
          <t>Deliver expert reporting and client-domain services. Includes: XBRL execution, taxonomy advice, service delivery and technical documentation. Excludes: Internal corporate accounting; product roadmap ownership.</t>
        </is>
      </c>
      <c r="AP35" s="9" t="inlineStr">
        <is>
          <t>CON01-3 · Senior XBRL Reporting Analyst</t>
        </is>
      </c>
      <c r="AQ35" s="9" t="inlineStr">
        <is>
          <t>Resolve ambiguous tagging choices and review complex filings.</t>
        </is>
      </c>
      <c r="AR35" s="9" t="inlineStr">
        <is>
          <t>Evidence of complex work, decisions and outcomes beyond routine delivery.</t>
        </is>
      </c>
      <c r="AS35" s="9" t="inlineStr">
        <is>
          <t>A reconciled filing with defensible tag selection, exception log and reviewer sign-off</t>
        </is>
      </c>
      <c r="AT35" s="9" t="inlineStr">
        <is>
          <r>
            <rPr>
              <rFont val="Calibri"/>
              <b val="1"/>
              <sz val="10"/>
            </rPr>
            <t>DataTracks:</t>
          </r>
          <r>
            <rPr>
              <rFont val="Calibri"/>
              <sz val="10"/>
            </rPr>
            <t xml:space="preserve"> Published career openings · Related work. Gap: Document production is adjacent to filing services; XBRL analyst titles are proposed</t>
          </r>
        </is>
      </c>
      <c r="AU35" s="22" t="inlineStr">
        <is>
          <t>Framework + role-holders' themes · 3+ answered</t>
        </is>
      </c>
      <c r="AV35" s="9" t="inlineStr">
        <is>
          <t>10 holders, 10 answered the survey; sub-family 56 answered</t>
        </is>
      </c>
    </row>
    <row r="36" ht="119" customHeight="1">
      <c r="A36" s="17" t="inlineStr">
        <is>
          <t>RC-027</t>
        </is>
      </c>
      <c r="B36" s="9" t="inlineStr">
        <is>
          <t>Consulting &amp; Professional Services</t>
        </is>
      </c>
      <c r="C36" s="9" t="inlineStr">
        <is>
          <t>XBRL Tagging, Conversion &amp; Filing</t>
        </is>
      </c>
      <c r="D36" s="21" t="inlineStr">
        <is>
          <t>B1</t>
        </is>
      </c>
      <c r="E36" s="22" t="inlineStr">
        <is>
          <t>Team Lead</t>
        </is>
      </c>
      <c r="F36" s="9" t="inlineStr">
        <is>
          <t>Manager</t>
        </is>
      </c>
      <c r="G36" s="9" t="inlineStr">
        <is>
          <t>Team Lead – Assisted Services</t>
        </is>
      </c>
      <c r="H36" s="8" t="n">
        <v>2</v>
      </c>
      <c r="I36" s="9" t="inlineStr">
        <is>
          <t>CARBON 2</t>
        </is>
      </c>
      <c r="J36" s="9" t="inlineStr">
        <is>
          <r>
            <rPr>
              <rFont val="Calibri"/>
              <sz val="10"/>
            </rPr>
            <t xml:space="preserve">Tags and converts financial statements and regulatory returns into XBRL/iXBRL, performs QC, clears validation errors and delivers filing-ready outputs. At B1: a domain / module, or a small team.
</t>
          </r>
          <r>
            <rPr>
              <rFont val="Calibri"/>
              <b val="1"/>
              <sz val="10"/>
            </rPr>
            <t>Common themes in sub-family holders, all levels' answers:</t>
          </r>
          <r>
            <rPr>
              <rFont val="Calibri"/>
              <sz val="10"/>
            </rPr>
            <t xml:space="preserve"> financial · reporting · xbrl · us · accurate · quality</t>
          </r>
        </is>
      </c>
      <c r="K36" s="9" t="inlineStr">
        <is>
          <r>
            <rPr>
              <rFont val="Calibri"/>
              <sz val="10"/>
            </rPr>
            <t xml:space="preserve">Tags and converts financial statements and regulatory returns into XBRL/iXBRL, performs QC, clears validation errors and delivers filing-ready outputs; Domain specialist work; A domain or a small team
</t>
          </r>
          <r>
            <rPr>
              <rFont val="Calibri"/>
              <b val="1"/>
              <sz val="10"/>
            </rPr>
            <t>Common themes in sub-family holders, all levels' answers:</t>
          </r>
          <r>
            <rPr>
              <rFont val="Calibri"/>
              <sz val="10"/>
            </rPr>
            <t xml:space="preserve"> tagging · quality · validation · filing · resolution · financial</t>
          </r>
        </is>
      </c>
      <c r="L36" s="9" t="inlineStr">
        <is>
          <r>
            <rPr>
              <rFont val="Calibri"/>
              <sz val="10"/>
            </rPr>
            <t xml:space="preserve">A domain or a small team
</t>
          </r>
          <r>
            <rPr>
              <rFont val="Calibri"/>
              <b val="1"/>
              <sz val="10"/>
            </rPr>
            <t>Common themes in sub-family holders, all levels' answers:</t>
          </r>
          <r>
            <rPr>
              <rFont val="Calibri"/>
              <sz val="10"/>
            </rPr>
            <t xml:space="preserve"> xbrl · reports · financial · files · documents · quality</t>
          </r>
        </is>
      </c>
      <c r="M36" s="9" t="inlineStr">
        <is>
          <r>
            <rPr>
              <rFont val="Calibri"/>
              <sz val="10"/>
            </rPr>
            <t xml:space="preserve">A domain or a small team
</t>
          </r>
          <r>
            <rPr>
              <rFont val="Calibri"/>
              <b val="1"/>
              <sz val="10"/>
            </rPr>
            <t>Common themes in sub-family holders, all levels' answers:</t>
          </r>
          <r>
            <rPr>
              <rFont val="Calibri"/>
              <sz val="10"/>
            </rPr>
            <t xml:space="preserve"> quality · accountable · am · tagging · accuracy · validation</t>
          </r>
        </is>
      </c>
      <c r="N36" s="9" t="inlineStr">
        <is>
          <r>
            <rPr>
              <rFont val="Calibri"/>
              <sz val="10"/>
            </rPr>
            <t xml:space="preserve">Technical / QC / client calls for the domain
</t>
          </r>
          <r>
            <rPr>
              <rFont val="Calibri"/>
              <b val="1"/>
              <sz val="10"/>
            </rPr>
            <t>Common themes in sub-family holders, all levels' answers:</t>
          </r>
          <r>
            <rPr>
              <rFont val="Calibri"/>
              <sz val="10"/>
            </rPr>
            <t xml:space="preserve"> issues · tagging · independently · quality · routine · resolve</t>
          </r>
        </is>
      </c>
      <c r="O36" s="9" t="inlineStr">
        <is>
          <t>—</t>
        </is>
      </c>
      <c r="P36" s="9" t="inlineStr">
        <is>
          <t>XBRL Domain · Attention to detail · validation · Taxonomy knowledge · Problem-solving · US mandate/process knowledge · QC · filing procedures</t>
        </is>
      </c>
      <c r="Q36" s="9" t="inlineStr">
        <is>
          <t>Carbon · Microsoft Excel · Microsoft Teams · Outlook · Excel · Disclosure Management · validation · QC</t>
        </is>
      </c>
      <c r="R36" s="9" t="inlineStr">
        <is>
          <t>A domain / module, or a small team</t>
        </is>
      </c>
      <c r="S36" s="9" t="inlineStr">
        <is>
          <t>Domain specialist work</t>
        </is>
      </c>
      <c r="T36" s="9" t="inlineStr">
        <is>
          <t>Technical / QC / client calls for the domain</t>
        </is>
      </c>
      <c r="U36" s="9" t="inlineStr">
        <is>
          <t>A domain or a small team</t>
        </is>
      </c>
      <c r="V36" s="9" t="inlineStr">
        <is>
          <r>
            <rPr>
              <rFont val="Calibri"/>
              <b val="1"/>
              <sz val="10"/>
            </rPr>
            <t>IC:</t>
          </r>
          <r>
            <rPr>
              <rFont val="Calibri"/>
              <sz val="10"/>
            </rPr>
            <t xml:space="preserve"> mentors and reviews · People: hands-on team lead of 3–5</t>
          </r>
        </is>
      </c>
      <c r="W36" s="9" t="inlineStr">
        <is>
          <t>4–7 yrs</t>
        </is>
      </c>
      <c r="X36" s="9" t="inlineStr">
        <is>
          <t>Graduate + relevant qualification or certification preferred</t>
        </is>
      </c>
      <c r="Y36" s="9" t="inlineStr">
        <is>
          <t>XBRL US GAAP Certificate · AICPA &amp; XBRL US or equivalent; CA / CMA / ACCA / CFA / IFRS certificate</t>
        </is>
      </c>
      <c r="Z36" s="9" t="inlineStr">
        <is>
          <r>
            <rPr>
              <rFont val="Calibri"/>
              <b val="1"/>
              <sz val="10"/>
            </rPr>
            <t>IC:</t>
          </r>
          <r>
            <rPr>
              <rFont val="Calibri"/>
              <sz val="10"/>
            </rPr>
            <t xml:space="preserve"> none · Team Lead: 3–5</t>
          </r>
        </is>
      </c>
      <c r="AA36" s="9" t="inlineStr">
        <is>
          <t>Core 3 · Future-ready 3 · Functional 3 · Leadership 2</t>
        </is>
      </c>
      <c r="AB36" s="9" t="inlineStr">
        <is>
          <t>XBRL, iXBRL &amp; Taxonomy · Accounting &amp; Reporting Standards · IFRS/US GAAP</t>
        </is>
      </c>
      <c r="AC36" s="9" t="inlineStr">
        <is>
          <t>Regulatory &amp; BFSI Domain · Process Improvement &amp; Quality Mindset · Advanced Excel &amp; Productivity Tools · AI, GenAI &amp; Prompt Engineering</t>
        </is>
      </c>
      <c r="AD36" s="8" t="inlineStr">
        <is>
          <t>P3 / M2</t>
        </is>
      </c>
      <c r="AE36" s="8" t="inlineStr">
        <is>
          <t>4 Enable</t>
        </is>
      </c>
      <c r="AF36" s="9" t="inlineStr">
        <is>
          <r>
            <rPr>
              <rFont val="Calibri"/>
              <b val="1"/>
              <sz val="10"/>
            </rPr>
            <t>Big Four:</t>
          </r>
          <r>
            <rPr>
              <rFont val="Calibri"/>
              <sz val="10"/>
            </rPr>
            <t xml:space="preserve"> Senior Consultant · IRIS Vs Market Benchmark — XBRL US credential pathway: Certificate + specialist taxonomy</t>
          </r>
        </is>
      </c>
      <c r="AG36" s="9" t="inlineStr">
        <is>
          <t>XBRL US GAAP Certificate · AICPA &amp; XBRL US; XBRL International specifications; IFRS / US GAAP / Ind AS</t>
        </is>
      </c>
      <c r="AH36" s="9" t="inlineStr">
        <is>
          <t>B2 · Senior Specialist</t>
        </is>
      </c>
      <c r="AI36" s="9" t="inlineStr">
        <is>
          <t>Project / programme management · Leadership &amp; people management · Client, sales &amp; stakeholders · Communication &amp; presentation · Broader exposure &amp; ownership</t>
        </is>
      </c>
      <c r="AJ36" s="9" t="inlineStr">
        <is>
          <t>—</t>
        </is>
      </c>
      <c r="AK36" s="9" t="inlineStr">
        <is>
          <t>On-the-job / hands-on · Formal / classroom training · Mentoring / guidance from seniors · Knowledge transfer · KT</t>
        </is>
      </c>
      <c r="AL36" s="9" t="inlineStr">
        <is>
          <t>system · changes · complex · tool · client</t>
        </is>
      </c>
      <c r="AM36" s="9" t="inlineStr">
        <is>
          <t>improve · reduce · help · better · time</t>
        </is>
      </c>
      <c r="AN36" s="9" t="inlineStr">
        <is>
          <t>32 of 53 say the role is changing because of AI / automation</t>
        </is>
      </c>
      <c r="AO36" s="9" t="inlineStr">
        <is>
          <t>Deliver expert reporting and client-domain services. Includes: XBRL execution, taxonomy advice, service delivery and technical documentation. Excludes: Internal corporate accounting; product roadmap ownership.</t>
        </is>
      </c>
      <c r="AP36" s="9" t="inlineStr">
        <is>
          <t>LD03-1 · Service Delivery / Consulting Manager</t>
        </is>
      </c>
      <c r="AQ36" s="9" t="inlineStr">
        <is>
          <t>Own staffing decisions, performance support, service quality and delegated team resources</t>
        </is>
      </c>
      <c r="AR36" s="9" t="inlineStr">
        <is>
          <t>Do not manufacture three reporting layers. Choose roles the organisation needs. A specialist may remain on an equally valued expert path.</t>
        </is>
      </c>
      <c r="AS36" s="9" t="inlineStr">
        <is>
          <t>—</t>
        </is>
      </c>
      <c r="AT36" s="9" t="inlineStr">
        <is>
          <t>—</t>
        </is>
      </c>
      <c r="AU36" s="19" t="inlineStr">
        <is>
          <t>Framework + sub-family themes · 3+ answered</t>
        </is>
      </c>
      <c r="AV36" s="9" t="inlineStr">
        <is>
          <t>2 holders, 2 answered the survey; sub-family 56 answered</t>
        </is>
      </c>
    </row>
    <row r="37" ht="132" customHeight="1">
      <c r="A37" s="17" t="inlineStr">
        <is>
          <t>RC-028</t>
        </is>
      </c>
      <c r="B37" s="9" t="inlineStr">
        <is>
          <t>Consulting &amp; Professional Services</t>
        </is>
      </c>
      <c r="C37" s="9" t="inlineStr">
        <is>
          <t>XBRL Tagging, Conversion &amp; Filing</t>
        </is>
      </c>
      <c r="D37" s="21" t="inlineStr">
        <is>
          <t>B2</t>
        </is>
      </c>
      <c r="E37" s="22" t="inlineStr">
        <is>
          <t>Manager</t>
        </is>
      </c>
      <c r="F37" s="9" t="inlineStr">
        <is>
          <t>Manager</t>
        </is>
      </c>
      <c r="G37" s="9" t="inlineStr">
        <is>
          <t>Manager – Assisted Services · Senior Manager – Assisted Services</t>
        </is>
      </c>
      <c r="H37" s="8" t="n">
        <v>4</v>
      </c>
      <c r="I37" s="9" t="inlineStr">
        <is>
          <t>CARBON 4</t>
        </is>
      </c>
      <c r="J37" s="9" t="inlineStr">
        <is>
          <r>
            <rPr>
              <rFont val="Calibri"/>
              <sz val="10"/>
            </rPr>
            <t xml:space="preserve">Tags and converts financial statements and regulatory returns into XBRL/iXBRL, performs QC, clears validation errors and delivers filing-ready outputs. At B2: deep domain expertise, or one team.
</t>
          </r>
          <r>
            <rPr>
              <rFont val="Calibri"/>
              <b val="1"/>
              <sz val="10"/>
            </rPr>
            <t>Common themes in role-holders' answers:</t>
          </r>
          <r>
            <rPr>
              <rFont val="Calibri"/>
              <sz val="10"/>
            </rPr>
            <t xml:space="preserve"> manage · carbon · quality · deadlines · maintaining · smooth</t>
          </r>
        </is>
      </c>
      <c r="K37" s="9" t="inlineStr">
        <is>
          <r>
            <rPr>
              <rFont val="Calibri"/>
              <sz val="10"/>
            </rPr>
            <t xml:space="preserve">Tags and converts financial statements and regulatory returns into XBRL/iXBRL, performs QC, clears validation errors and delivers filing-ready outputs; Hardest problems in the domain; One team or a client portfolio
</t>
          </r>
          <r>
            <rPr>
              <rFont val="Calibri"/>
              <b val="1"/>
              <sz val="10"/>
            </rPr>
            <t>Common themes in role-holders' answers:</t>
          </r>
          <r>
            <rPr>
              <rFont val="Calibri"/>
              <sz val="10"/>
            </rPr>
            <t xml:space="preserve"> delivery · allocation · testing · quality · management · product</t>
          </r>
        </is>
      </c>
      <c r="L37" s="9" t="inlineStr">
        <is>
          <r>
            <rPr>
              <rFont val="Calibri"/>
              <sz val="10"/>
            </rPr>
            <t xml:space="preserve">One team or a client portfolio
</t>
          </r>
          <r>
            <rPr>
              <rFont val="Calibri"/>
              <b val="1"/>
              <sz val="10"/>
            </rPr>
            <t>Common themes in role-holders' answers:</t>
          </r>
          <r>
            <rPr>
              <rFont val="Calibri"/>
              <sz val="10"/>
            </rPr>
            <t xml:space="preserve"> xbrl · reports · word · files · deliver · pdf</t>
          </r>
        </is>
      </c>
      <c r="M37" s="9" t="inlineStr">
        <is>
          <r>
            <rPr>
              <rFont val="Calibri"/>
              <sz val="10"/>
            </rPr>
            <t xml:space="preserve">One team or a client portfolio
</t>
          </r>
          <r>
            <rPr>
              <rFont val="Calibri"/>
              <b val="1"/>
              <sz val="10"/>
            </rPr>
            <t>Common themes in role-holders' answers:</t>
          </r>
          <r>
            <rPr>
              <rFont val="Calibri"/>
              <sz val="10"/>
            </rPr>
            <t xml:space="preserve"> am · personally accountable · quality · delivery · timelines · allocation</t>
          </r>
        </is>
      </c>
      <c r="N37" s="9" t="inlineStr">
        <is>
          <r>
            <rPr>
              <rFont val="Calibri"/>
              <sz val="10"/>
            </rPr>
            <t xml:space="preserve">Allocates people and sets team priorities
</t>
          </r>
          <r>
            <rPr>
              <rFont val="Calibri"/>
              <b val="1"/>
              <sz val="10"/>
            </rPr>
            <t>Common themes in role-holders' answers:</t>
          </r>
          <r>
            <rPr>
              <rFont val="Calibri"/>
              <sz val="10"/>
            </rPr>
            <t xml:space="preserve"> corrective · take · day-to-day · issues · allocate · quality</t>
          </r>
        </is>
      </c>
      <c r="O37" s="9" t="inlineStr">
        <is>
          <t>—</t>
        </is>
      </c>
      <c r="P37" s="9" t="inlineStr">
        <is>
          <t>XBRL Domain · XBRL domain knowledge · Team management · Problem-solving · UAT Testing · process improvement</t>
        </is>
      </c>
      <c r="Q37" s="9" t="inlineStr">
        <is>
          <t>Carbon · Microsoft Teams · Arelle</t>
        </is>
      </c>
      <c r="R37" s="9" t="inlineStr">
        <is>
          <t>Deep domain expertise, or one team</t>
        </is>
      </c>
      <c r="S37" s="9" t="inlineStr">
        <is>
          <t>Hardest problems in the domain</t>
        </is>
      </c>
      <c r="T37" s="9" t="inlineStr">
        <is>
          <t>Allocates people and sets team priorities</t>
        </is>
      </c>
      <c r="U37" s="9" t="inlineStr">
        <is>
          <t>One team or a client portfolio</t>
        </is>
      </c>
      <c r="V37" s="9" t="inlineStr">
        <is>
          <r>
            <rPr>
              <rFont val="Calibri"/>
              <b val="1"/>
              <sz val="10"/>
            </rPr>
            <t>IC:</t>
          </r>
          <r>
            <rPr>
              <rFont val="Calibri"/>
              <sz val="10"/>
            </rPr>
            <t xml:space="preserve"> guides others in the domain · People: manages a team of 6+</t>
          </r>
        </is>
      </c>
      <c r="W37" s="9" t="inlineStr">
        <is>
          <t>6–9 yrs</t>
        </is>
      </c>
      <c r="X37" s="9" t="inlineStr">
        <is>
          <t>Graduate or postgraduate; professional qualification preferred</t>
        </is>
      </c>
      <c r="Y37" s="9" t="inlineStr">
        <is>
          <t>XBRL US GAAP Certificate · AICPA &amp; XBRL US or equivalent; CA / CMA / ACCA / CFA / IFRS certificate</t>
        </is>
      </c>
      <c r="Z37" s="9" t="inlineStr">
        <is>
          <r>
            <rPr>
              <rFont val="Calibri"/>
              <b val="1"/>
              <sz val="10"/>
            </rPr>
            <t>IC:</t>
          </r>
          <r>
            <rPr>
              <rFont val="Calibri"/>
              <sz val="10"/>
            </rPr>
            <t xml:space="preserve"> none · People: 6–8 knowledge work, 8–12 standardised delivery</t>
          </r>
        </is>
      </c>
      <c r="AA37" s="9" t="inlineStr">
        <is>
          <t>Core 3 · Future-ready 3 · Functional 4 · Leadership 3</t>
        </is>
      </c>
      <c r="AB37" s="9" t="inlineStr">
        <is>
          <t>XBRL, iXBRL &amp; Taxonomy · Accounting &amp; Reporting Standards · IFRS/US GAAP</t>
        </is>
      </c>
      <c r="AC37" s="9" t="inlineStr">
        <is>
          <t>Regulatory &amp; BFSI Domain · Process Improvement &amp; Quality Mindset · Advanced Excel &amp; Productivity Tools · AI, GenAI &amp; Prompt Engineering</t>
        </is>
      </c>
      <c r="AD37" s="8" t="inlineStr">
        <is>
          <t>P4 / M3</t>
        </is>
      </c>
      <c r="AE37" s="8" t="inlineStr">
        <is>
          <t>4–5</t>
        </is>
      </c>
      <c r="AF37" s="9" t="inlineStr">
        <is>
          <r>
            <rPr>
              <rFont val="Calibri"/>
              <b val="1"/>
              <sz val="10"/>
            </rPr>
            <t>Big Four:</t>
          </r>
          <r>
            <rPr>
              <rFont val="Calibri"/>
              <sz val="10"/>
            </rPr>
            <t xml:space="preserve"> Manager · IRIS Vs Market Benchmark — XBRL US credential pathway: Certificate + review authority</t>
          </r>
        </is>
      </c>
      <c r="AG37" s="9" t="inlineStr">
        <is>
          <t>XBRL US GAAP Certificate · AICPA &amp; XBRL US; XBRL International specifications; IFRS / US GAAP / Ind AS</t>
        </is>
      </c>
      <c r="AH37" s="9" t="inlineStr">
        <is>
          <t>B3 · Lead Specialist</t>
        </is>
      </c>
      <c r="AI37" s="9" t="inlineStr">
        <is>
          <t>AI / automation · Leadership &amp; people management · Data, SQL &amp; analytics · Domain, regulatory &amp; XBRL · Broader exposure &amp; ownership</t>
        </is>
      </c>
      <c r="AJ37" s="9" t="inlineStr">
        <is>
          <t>—</t>
        </is>
      </c>
      <c r="AK37" s="9" t="inlineStr">
        <is>
          <t>On-the-job / hands-on · Mentoring / guidance from seniors · Formal / classroom training · Knowledge transfer · KT</t>
        </is>
      </c>
      <c r="AL37" s="9" t="inlineStr">
        <is>
          <t>client · inputs · dependencies</t>
        </is>
      </c>
      <c r="AM37" s="9" t="inlineStr">
        <is>
          <t>reduce · help · improve · faster · workload priorities</t>
        </is>
      </c>
      <c r="AN37" s="9" t="inlineStr">
        <is>
          <t>3 of 4 say the role is changing because of AI / automation</t>
        </is>
      </c>
      <c r="AO37" s="9" t="inlineStr">
        <is>
          <t>Deliver expert reporting and client-domain services. Includes: XBRL execution, taxonomy advice, service delivery and technical documentation. Excludes: Internal corporate accounting; product roadmap ownership.</t>
        </is>
      </c>
      <c r="AP37" s="9" t="inlineStr">
        <is>
          <t>LD03-1 · Service Delivery / Consulting Manager</t>
        </is>
      </c>
      <c r="AQ37" s="9" t="inlineStr">
        <is>
          <t>Own staffing decisions, performance support, service quality and delegated team resources</t>
        </is>
      </c>
      <c r="AR37" s="9" t="inlineStr">
        <is>
          <t>Do not manufacture three reporting layers. Choose roles the organisation needs. A specialist may remain on an equally valued expert path.</t>
        </is>
      </c>
      <c r="AS37" s="9" t="inlineStr">
        <is>
          <t>—</t>
        </is>
      </c>
      <c r="AT37" s="9" t="inlineStr">
        <is>
          <t>—</t>
        </is>
      </c>
      <c r="AU37" s="22" t="inlineStr">
        <is>
          <t>Framework + role-holders' themes · 3+ answered</t>
        </is>
      </c>
      <c r="AV37" s="9" t="inlineStr">
        <is>
          <t>4 holders, 4 answered the survey; sub-family 56 answered</t>
        </is>
      </c>
    </row>
    <row r="38">
      <c r="A38" s="94" t="inlineStr">
        <is>
          <t>Customer Success &amp; Support — 11 roles · 37 people</t>
        </is>
      </c>
    </row>
    <row r="39" ht="106" customHeight="1">
      <c r="A39" s="17" t="inlineStr">
        <is>
          <t>RC-029</t>
        </is>
      </c>
      <c r="B39" s="9" t="inlineStr">
        <is>
          <t>Customer Success &amp; Support</t>
        </is>
      </c>
      <c r="C39" s="9" t="inlineStr">
        <is>
          <t>Application &amp; Product Support</t>
        </is>
      </c>
      <c r="D39" s="18" t="inlineStr">
        <is>
          <t>A1</t>
        </is>
      </c>
      <c r="E39" s="19" t="inlineStr">
        <is>
          <t>Intern / Trainee</t>
        </is>
      </c>
      <c r="F39" s="9" t="inlineStr">
        <is>
          <t>IC</t>
        </is>
      </c>
      <c r="G39" s="9" t="inlineStr">
        <is>
          <t>Intern – Application &amp; Product Support</t>
        </is>
      </c>
      <c r="H39" s="8" t="n">
        <v>2</v>
      </c>
      <c r="I39" s="9" t="inlineStr">
        <is>
          <t>iFile 1 · iDEAL 1</t>
        </is>
      </c>
      <c r="J39" s="9" t="inlineStr">
        <is>
          <r>
            <rPr>
              <rFont val="Calibri"/>
              <sz val="10"/>
            </rPr>
            <t xml:space="preserve">Resolves client product and filing issues, troubleshoots, handles UAT/change requests and escalates to engineering. At A1: learning the role; all work reviewed.
</t>
          </r>
          <r>
            <rPr>
              <rFont val="Calibri"/>
              <b val="1"/>
              <sz val="10"/>
            </rPr>
            <t>Common themes in sub-family holders, all levels' answers:</t>
          </r>
          <r>
            <rPr>
              <rFont val="Calibri"/>
              <sz val="10"/>
            </rPr>
            <t xml:space="preserve"> support · clients · queries · provide · issues · resolving</t>
          </r>
        </is>
      </c>
      <c r="K39" s="9" t="inlineStr">
        <is>
          <r>
            <rPr>
              <rFont val="Calibri"/>
              <sz val="10"/>
            </rPr>
            <t xml:space="preserve">Resolves client product and filing issues, troubleshoots, handles UAT/change requests and escalates to engineering; Learning; follows worked examples; Learning tasks
</t>
          </r>
          <r>
            <rPr>
              <rFont val="Calibri"/>
              <b val="1"/>
              <sz val="10"/>
            </rPr>
            <t>Common themes in sub-family holders, all levels' answers:</t>
          </r>
          <r>
            <rPr>
              <rFont val="Calibri"/>
              <sz val="10"/>
            </rPr>
            <t xml:space="preserve"> support · issue · testing · communication · customer · ticket</t>
          </r>
        </is>
      </c>
      <c r="L39" s="9" t="inlineStr">
        <is>
          <r>
            <rPr>
              <rFont val="Calibri"/>
              <sz val="10"/>
            </rPr>
            <t xml:space="preserve">Learning tasks
</t>
          </r>
          <r>
            <rPr>
              <rFont val="Calibri"/>
              <b val="1"/>
              <sz val="10"/>
            </rPr>
            <t>Common themes in sub-family holders, all levels' answers:</t>
          </r>
          <r>
            <rPr>
              <rFont val="Calibri"/>
              <sz val="10"/>
            </rPr>
            <t xml:space="preserve"> support · customer · product · provide · testing · deliver</t>
          </r>
        </is>
      </c>
      <c r="M39" s="9" t="inlineStr">
        <is>
          <r>
            <rPr>
              <rFont val="Calibri"/>
              <sz val="10"/>
            </rPr>
            <t xml:space="preserve">Learning tasks
</t>
          </r>
          <r>
            <rPr>
              <rFont val="Calibri"/>
              <b val="1"/>
              <sz val="10"/>
            </rPr>
            <t>Common themes in sub-family holders, all levels' answers:</t>
          </r>
          <r>
            <rPr>
              <rFont val="Calibri"/>
              <sz val="10"/>
            </rPr>
            <t xml:space="preserve"> client · resolution · am · accountable · timely · if</t>
          </r>
        </is>
      </c>
      <c r="N39" s="9" t="inlineStr">
        <is>
          <r>
            <rPr>
              <rFont val="Calibri"/>
              <sz val="10"/>
            </rPr>
            <t xml:space="preserve">Needs approval / close guidance
</t>
          </r>
          <r>
            <rPr>
              <rFont val="Calibri"/>
              <b val="1"/>
              <sz val="10"/>
            </rPr>
            <t>Common themes in sub-family holders, all levels' answers:</t>
          </r>
          <r>
            <rPr>
              <rFont val="Calibri"/>
              <sz val="10"/>
            </rPr>
            <t xml:space="preserve"> issues · resolving · tickets · handle · erro · validation</t>
          </r>
        </is>
      </c>
      <c r="O39" s="9" t="inlineStr">
        <is>
          <t>—</t>
        </is>
      </c>
      <c r="P39" s="9" t="inlineStr">
        <is>
          <t>Tech Support · Domain Support · Communication · Domain Knowledge · Business Analysis · Platform knowledge · Sales</t>
        </is>
      </c>
      <c r="Q39" s="9" t="inlineStr">
        <is>
          <t>MS Office · Faveo · Arelle · Excel · Claude · Copilot · Microsoft Excel · RBI cims portal</t>
        </is>
      </c>
      <c r="R39" s="9" t="inlineStr">
        <is>
          <t>Learning the role; all work reviewed</t>
        </is>
      </c>
      <c r="S39" s="9" t="inlineStr">
        <is>
          <t>Learning; follows worked examples</t>
        </is>
      </c>
      <c r="T39" s="9" t="inlineStr">
        <is>
          <t>Needs approval / close guidance</t>
        </is>
      </c>
      <c r="U39" s="9" t="inlineStr">
        <is>
          <t>Learning tasks</t>
        </is>
      </c>
      <c r="V39" s="9" t="inlineStr">
        <is>
          <t>Not scored in Band A</t>
        </is>
      </c>
      <c r="W39" s="9" t="inlineStr">
        <is>
          <t>0 yrs · fresher / intern</t>
        </is>
      </c>
      <c r="X39" s="9" t="inlineStr">
        <is>
          <t>Pursuing or completed graduation / diploma</t>
        </is>
      </c>
      <c r="Y39" s="9" t="inlineStr">
        <is>
          <t>Internal product certification</t>
        </is>
      </c>
      <c r="Z39" s="9" t="inlineStr">
        <is>
          <t>No direct reports</t>
        </is>
      </c>
      <c r="AA39" s="9" t="inlineStr">
        <is>
          <t>Core 1 · Future-ready 1 · Functional 1 · Leadership —</t>
        </is>
      </c>
      <c r="AB39" s="9" t="inlineStr">
        <is>
          <t>Product, Platform &amp; Domain Knowledge · Stakeholder &amp; Client Management</t>
        </is>
      </c>
      <c r="AC39" s="9" t="inlineStr">
        <is>
          <t>Communication &amp; Presentation · Database, SQL &amp; Data Engineering · Regulatory &amp; BFSI Domain · Process Improvement &amp; Quality Mindset</t>
        </is>
      </c>
      <c r="AD39" s="8" t="inlineStr">
        <is>
          <t>Entry / P1 · intern</t>
        </is>
      </c>
      <c r="AE39" s="8" t="inlineStr">
        <is>
          <t>1 Follow</t>
        </is>
      </c>
      <c r="AF39" s="9" t="inlineStr">
        <is>
          <r>
            <rPr>
              <rFont val="Calibri"/>
              <b val="1"/>
              <sz val="10"/>
            </rPr>
            <t>Workiva:</t>
          </r>
          <r>
            <rPr>
              <rFont val="Calibri"/>
              <sz val="10"/>
            </rPr>
            <t xml:space="preserve"> Customer Success intern</t>
          </r>
        </is>
      </c>
      <c r="AG39" s="9" t="inlineStr">
        <is>
          <t>TSIA frameworks and benchmarks; ITIL 4 service desk; Gainsight customer-success practice</t>
        </is>
      </c>
      <c r="AH39" s="9" t="inlineStr">
        <is>
          <t>A2 · Associate</t>
        </is>
      </c>
      <c r="AI39" s="9" t="inlineStr">
        <is>
          <t>Broader exposure &amp; ownership</t>
        </is>
      </c>
      <c r="AJ39" s="9" t="inlineStr">
        <is>
          <t>Training on the effective utilization of AI tools.</t>
        </is>
      </c>
      <c r="AK39" s="9" t="inlineStr">
        <is>
          <t>Formal / classroom training · Mentoring / guidance from seniors · On-the-job / hands-on · Knowledge transfer · KT</t>
        </is>
      </c>
      <c r="AL39" s="9" t="inlineStr">
        <is>
          <t>issue · dependency · laptop · client · slow</t>
        </is>
      </c>
      <c r="AM39" s="9" t="inlineStr">
        <is>
          <t>dependency · better · training · client · pam</t>
        </is>
      </c>
      <c r="AN39" s="9" t="inlineStr">
        <is>
          <t>8 of 24 say the role is changing because of AI / automation</t>
        </is>
      </c>
      <c r="AO39" s="9" t="inlineStr">
        <is>
          <t>Enable sustained customer value and issue resolution. Includes: Adoption, product support and customer education. Excludes: Employee IT support; initial client implementation.</t>
        </is>
      </c>
      <c r="AP39" s="9" t="inlineStr">
        <is>
          <t>CS01-0 · Product Support Intern</t>
        </is>
      </c>
      <c r="AQ39" s="9" t="inlineStr">
        <is>
          <r>
            <rPr>
              <rFont val="Calibri"/>
              <b val="1"/>
              <sz val="10"/>
            </rPr>
            <t>Assist with a supervised work sample:</t>
          </r>
          <r>
            <rPr>
              <rFont val="Calibri"/>
              <sz val="10"/>
            </rPr>
            <t xml:space="preserve"> diagnose cases and publish verified knowledge articles.</t>
          </r>
        </is>
      </c>
      <c r="AR39" s="9" t="inlineStr">
        <is>
          <t>Reviewed learning assignment; no independent material sign-off.</t>
        </is>
      </c>
      <c r="AS39" s="9" t="inlineStr">
        <is>
          <t>A resolved complex case with diagnosis, customer explanation and reusable knowledge</t>
        </is>
      </c>
      <c r="AT39" s="9" t="inlineStr">
        <is>
          <r>
            <rPr>
              <rFont val="Calibri"/>
              <b val="1"/>
              <sz val="10"/>
            </rPr>
            <t>Workiva:</t>
          </r>
          <r>
            <rPr>
              <rFont val="Calibri"/>
              <sz val="10"/>
            </rPr>
            <t xml:space="preserve"> Product Support Engineer
</t>
          </r>
          <r>
            <rPr>
              <rFont val="Calibri"/>
              <b val="1"/>
              <sz val="10"/>
            </rPr>
            <t>Workiva:</t>
          </r>
          <r>
            <rPr>
              <rFont val="Calibri"/>
              <sz val="10"/>
            </rPr>
            <t xml:space="preserve"> Senior Manager of Product Support · IC and manager examples. Gap: Support-engineer and people-manager duties can be compared directly</t>
          </r>
        </is>
      </c>
      <c r="AU39" s="19" t="inlineStr">
        <is>
          <t>Framework + sub-family themes · 3+ answered</t>
        </is>
      </c>
      <c r="AV39" s="9" t="inlineStr">
        <is>
          <t>2 holders, 2 answered the survey; sub-family 25 answered</t>
        </is>
      </c>
    </row>
    <row r="40" ht="119" customHeight="1">
      <c r="A40" s="17" t="inlineStr">
        <is>
          <t>RC-030</t>
        </is>
      </c>
      <c r="B40" s="9" t="inlineStr">
        <is>
          <t>Customer Success &amp; Support</t>
        </is>
      </c>
      <c r="C40" s="9" t="inlineStr">
        <is>
          <t>Application &amp; Product Support</t>
        </is>
      </c>
      <c r="D40" s="18" t="inlineStr">
        <is>
          <t>A2</t>
        </is>
      </c>
      <c r="E40" s="19" t="inlineStr">
        <is>
          <t>Associate</t>
        </is>
      </c>
      <c r="F40" s="9" t="inlineStr">
        <is>
          <t>IC</t>
        </is>
      </c>
      <c r="G40" s="9" t="inlineStr">
        <is>
          <t>Support Executive</t>
        </is>
      </c>
      <c r="H40" s="8" t="n">
        <v>2</v>
      </c>
      <c r="I40" s="9" t="inlineStr">
        <is>
          <t>iFile 1 · iDEAL 1</t>
        </is>
      </c>
      <c r="J40" s="9" t="inlineStr">
        <is>
          <r>
            <rPr>
              <rFont val="Calibri"/>
              <sz val="10"/>
            </rPr>
            <t xml:space="preserve">Resolves client product and filing issues, troubleshoots, handles UAT/change requests and escalates to engineering. At A2: standard work delivered independently.
</t>
          </r>
          <r>
            <rPr>
              <rFont val="Calibri"/>
              <b val="1"/>
              <sz val="10"/>
            </rPr>
            <t>Common themes in sub-family holders, all levels' answers:</t>
          </r>
          <r>
            <rPr>
              <rFont val="Calibri"/>
              <sz val="10"/>
            </rPr>
            <t xml:space="preserve"> support · clients · queries · provide · issues · resolving</t>
          </r>
        </is>
      </c>
      <c r="K40" s="9" t="inlineStr">
        <is>
          <r>
            <rPr>
              <rFont val="Calibri"/>
              <sz val="10"/>
            </rPr>
            <t xml:space="preserve">Resolves client product and filing issues, troubleshoots, handles UAT/change requests and escalates to engineering; Standard work of the discipline; Own deliverables · accuracy, TAT
</t>
          </r>
          <r>
            <rPr>
              <rFont val="Calibri"/>
              <b val="1"/>
              <sz val="10"/>
            </rPr>
            <t>Common themes in sub-family holders, all levels' answers:</t>
          </r>
          <r>
            <rPr>
              <rFont val="Calibri"/>
              <sz val="10"/>
            </rPr>
            <t xml:space="preserve"> support · issue · testing · communication · customer · ticket</t>
          </r>
        </is>
      </c>
      <c r="L40" s="9" t="inlineStr">
        <is>
          <r>
            <rPr>
              <rFont val="Calibri"/>
              <sz val="10"/>
            </rPr>
            <t xml:space="preserve">Own deliverables · accuracy, TAT
</t>
          </r>
          <r>
            <rPr>
              <rFont val="Calibri"/>
              <b val="1"/>
              <sz val="10"/>
            </rPr>
            <t>Common themes in sub-family holders, all levels' answers:</t>
          </r>
          <r>
            <rPr>
              <rFont val="Calibri"/>
              <sz val="10"/>
            </rPr>
            <t xml:space="preserve"> support · customer · product · provide · testing · deliver</t>
          </r>
        </is>
      </c>
      <c r="M40" s="9" t="inlineStr">
        <is>
          <r>
            <rPr>
              <rFont val="Calibri"/>
              <sz val="10"/>
            </rPr>
            <t xml:space="preserve">Own deliverables · accuracy, TAT
</t>
          </r>
          <r>
            <rPr>
              <rFont val="Calibri"/>
              <b val="1"/>
              <sz val="10"/>
            </rPr>
            <t>Common themes in sub-family holders, all levels' answers:</t>
          </r>
          <r>
            <rPr>
              <rFont val="Calibri"/>
              <sz val="10"/>
            </rPr>
            <t xml:space="preserve"> client · resolution · am · accountable · timely · if</t>
          </r>
        </is>
      </c>
      <c r="N40" s="9" t="inlineStr">
        <is>
          <r>
            <rPr>
              <rFont val="Calibri"/>
              <sz val="10"/>
            </rPr>
            <t xml:space="preserve">Chooses own approach within standards
</t>
          </r>
          <r>
            <rPr>
              <rFont val="Calibri"/>
              <b val="1"/>
              <sz val="10"/>
            </rPr>
            <t>Common themes in sub-family holders, all levels' answers:</t>
          </r>
          <r>
            <rPr>
              <rFont val="Calibri"/>
              <sz val="10"/>
            </rPr>
            <t xml:space="preserve"> issues · resolving · tickets · handle · erro · validation</t>
          </r>
        </is>
      </c>
      <c r="O40" s="9" t="inlineStr">
        <is>
          <t>—</t>
        </is>
      </c>
      <c r="P40" s="9" t="inlineStr">
        <is>
          <t>Tech Support · Domain Support · Communication · Domain Knowledge · Business Analysis · Platform knowledge · Sales</t>
        </is>
      </c>
      <c r="Q40" s="9" t="inlineStr">
        <is>
          <t>MS Office · Faveo · Arelle · Excel · Claude · Copilot · Microsoft Excel · RBI cims portal</t>
        </is>
      </c>
      <c r="R40" s="9" t="inlineStr">
        <is>
          <t>Standard work delivered independently</t>
        </is>
      </c>
      <c r="S40" s="9" t="inlineStr">
        <is>
          <t>Standard work of the discipline</t>
        </is>
      </c>
      <c r="T40" s="9" t="inlineStr">
        <is>
          <t>Chooses own approach within standards</t>
        </is>
      </c>
      <c r="U40" s="9" t="inlineStr">
        <is>
          <t>Own deliverables · accuracy, TAT</t>
        </is>
      </c>
      <c r="V40" s="9" t="inlineStr">
        <is>
          <t>Not scored in Band A</t>
        </is>
      </c>
      <c r="W40" s="9" t="inlineStr">
        <is>
          <t>0–2 yrs</t>
        </is>
      </c>
      <c r="X40" s="9" t="inlineStr">
        <is>
          <t>Graduate · or diploma with experience</t>
        </is>
      </c>
      <c r="Y40" s="9" t="inlineStr">
        <is>
          <t>Internal product certification</t>
        </is>
      </c>
      <c r="Z40" s="9" t="inlineStr">
        <is>
          <t>No direct reports</t>
        </is>
      </c>
      <c r="AA40" s="9" t="inlineStr">
        <is>
          <t>Core 2 · Future-ready 2 · Functional 2 · Leadership —</t>
        </is>
      </c>
      <c r="AB40" s="9" t="inlineStr">
        <is>
          <t>Product, Platform &amp; Domain Knowledge · Stakeholder &amp; Client Management</t>
        </is>
      </c>
      <c r="AC40" s="9" t="inlineStr">
        <is>
          <t>Communication &amp; Presentation · Database, SQL &amp; Data Engineering · Regulatory &amp; BFSI Domain · Process Improvement &amp; Quality Mindset</t>
        </is>
      </c>
      <c r="AD40" s="8" t="inlineStr">
        <is>
          <t>P1–P2</t>
        </is>
      </c>
      <c r="AE40" s="8" t="inlineStr">
        <is>
          <t>2 Assist</t>
        </is>
      </c>
      <c r="AF40" s="9" t="inlineStr">
        <is>
          <t>IRIS Vs Competitor Benchmark — SaaS customer-success ladder: Support Associate · IRIS Vs Competitor Benchmark — support tiers: L1 Service Desk</t>
        </is>
      </c>
      <c r="AG40" s="9" t="inlineStr">
        <is>
          <t>TSIA frameworks and benchmarks; ITIL 4 service desk; Gainsight customer-success practice</t>
        </is>
      </c>
      <c r="AH40" s="9" t="inlineStr">
        <is>
          <t>A3 · Senior Associate</t>
        </is>
      </c>
      <c r="AI40" s="9" t="inlineStr">
        <is>
          <t>Technical depth &amp; architecture · Data, SQL &amp; analytics · Broader exposure &amp; ownership</t>
        </is>
      </c>
      <c r="AJ40" s="9" t="inlineStr">
        <is>
          <t>XBRL Training, Training on the effective utilization of AI tools.</t>
        </is>
      </c>
      <c r="AK40" s="9" t="inlineStr">
        <is>
          <t>Formal / classroom training · Mentoring / guidance from seniors · On-the-job / hands-on · Knowledge transfer · KT</t>
        </is>
      </c>
      <c r="AL40" s="9" t="inlineStr">
        <is>
          <t>issue · dependency · laptop · client · slow</t>
        </is>
      </c>
      <c r="AM40" s="9" t="inlineStr">
        <is>
          <t>dependency · better · training · client · pam</t>
        </is>
      </c>
      <c r="AN40" s="9" t="inlineStr">
        <is>
          <t>8 of 24 say the role is changing because of AI / automation</t>
        </is>
      </c>
      <c r="AO40" s="9" t="inlineStr">
        <is>
          <t>Enable sustained customer value and issue resolution. Includes: Adoption, product support and customer education. Excludes: Employee IT support; initial client implementation.</t>
        </is>
      </c>
      <c r="AP40" s="9" t="inlineStr">
        <is>
          <t>CS01-1 · Associate Product Support Engineer</t>
        </is>
      </c>
      <c r="AQ40" s="9" t="inlineStr">
        <is>
          <r>
            <rPr>
              <rFont val="Calibri"/>
              <b val="1"/>
              <sz val="10"/>
            </rPr>
            <t>Complete defined parts under review:</t>
          </r>
          <r>
            <rPr>
              <rFont val="Calibri"/>
              <sz val="10"/>
            </rPr>
            <t xml:space="preserve"> diagnose cases and publish verified knowledge articles.</t>
          </r>
        </is>
      </c>
      <c r="AR40" s="9" t="inlineStr">
        <is>
          <t>Repeatable correct delivery, safe escalation and required entry eligibility.</t>
        </is>
      </c>
      <c r="AS40" s="9" t="inlineStr">
        <is>
          <t>A resolved complex case with diagnosis, customer explanation and reusable knowledge</t>
        </is>
      </c>
      <c r="AT40" s="9" t="inlineStr">
        <is>
          <r>
            <rPr>
              <rFont val="Calibri"/>
              <b val="1"/>
              <sz val="10"/>
            </rPr>
            <t>Workiva:</t>
          </r>
          <r>
            <rPr>
              <rFont val="Calibri"/>
              <sz val="10"/>
            </rPr>
            <t xml:space="preserve"> Product Support Engineer
</t>
          </r>
          <r>
            <rPr>
              <rFont val="Calibri"/>
              <b val="1"/>
              <sz val="10"/>
            </rPr>
            <t>Workiva:</t>
          </r>
          <r>
            <rPr>
              <rFont val="Calibri"/>
              <sz val="10"/>
            </rPr>
            <t xml:space="preserve"> Senior Manager of Product Support · IC and manager examples. Gap: Support-engineer and people-manager duties can be compared directly</t>
          </r>
        </is>
      </c>
      <c r="AU40" s="19" t="inlineStr">
        <is>
          <t>Framework + sub-family themes · 3+ answered</t>
        </is>
      </c>
      <c r="AV40" s="9" t="inlineStr">
        <is>
          <t>2 holders, 2 answered the survey; sub-family 25 answered</t>
        </is>
      </c>
    </row>
    <row r="41" ht="119" customHeight="1">
      <c r="A41" s="17" t="inlineStr">
        <is>
          <t>RC-031</t>
        </is>
      </c>
      <c r="B41" s="9" t="inlineStr">
        <is>
          <t>Customer Success &amp; Support</t>
        </is>
      </c>
      <c r="C41" s="9" t="inlineStr">
        <is>
          <t>Application &amp; Product Support</t>
        </is>
      </c>
      <c r="D41" s="18" t="inlineStr">
        <is>
          <t>A3</t>
        </is>
      </c>
      <c r="E41" s="19" t="inlineStr">
        <is>
          <t>Senior Associate</t>
        </is>
      </c>
      <c r="F41" s="9" t="inlineStr">
        <is>
          <t>IC</t>
        </is>
      </c>
      <c r="G41" s="9" t="inlineStr">
        <is>
          <t>Senior Support Executive · Support Specialist</t>
        </is>
      </c>
      <c r="H41" s="8" t="n">
        <v>17</v>
      </c>
      <c r="I41" s="9" t="inlineStr">
        <is>
          <t>iFile 8 · CARBON 7 · iDEAL 2</t>
        </is>
      </c>
      <c r="J41" s="9" t="inlineStr">
        <is>
          <r>
            <rPr>
              <rFont val="Calibri"/>
              <sz val="10"/>
            </rPr>
            <t xml:space="preserve">Resolves client product and filing issues, troubleshoots, handles UAT/change requests and escalates to engineering. At A3: varied work; reviews juniors; go-to for a process.
</t>
          </r>
          <r>
            <rPr>
              <rFont val="Calibri"/>
              <b val="1"/>
              <sz val="10"/>
            </rPr>
            <t>Common themes in role-holders' answers:</t>
          </r>
          <r>
            <rPr>
              <rFont val="Calibri"/>
              <sz val="10"/>
            </rPr>
            <t xml:space="preserve"> support · clients · provide · queries · issues · experience</t>
          </r>
        </is>
      </c>
      <c r="K41" s="9" t="inlineStr">
        <is>
          <r>
            <rPr>
              <rFont val="Calibri"/>
              <sz val="10"/>
            </rPr>
            <t xml:space="preserve">Resolves client product and filing issues, troubleshoots, handles UAT/change requests and escalates to engineering; Varied and non-standard work; handles exceptions; A module / process, or work with client or regulatory consequences
</t>
          </r>
          <r>
            <rPr>
              <rFont val="Calibri"/>
              <b val="1"/>
              <sz val="10"/>
            </rPr>
            <t>Common themes in role-holders' answers:</t>
          </r>
          <r>
            <rPr>
              <rFont val="Calibri"/>
              <sz val="10"/>
            </rPr>
            <t xml:space="preserve"> support · issue · customer · testing · coordination · client</t>
          </r>
        </is>
      </c>
      <c r="L41" s="9" t="inlineStr">
        <is>
          <r>
            <rPr>
              <rFont val="Calibri"/>
              <sz val="10"/>
            </rPr>
            <t xml:space="preserve">A module / process, or work with client or regulatory consequences
</t>
          </r>
          <r>
            <rPr>
              <rFont val="Calibri"/>
              <b val="1"/>
              <sz val="10"/>
            </rPr>
            <t>Common themes in role-holders' answers:</t>
          </r>
          <r>
            <rPr>
              <rFont val="Calibri"/>
              <sz val="10"/>
            </rPr>
            <t xml:space="preserve"> support · product · customer · provide · testing · deliver</t>
          </r>
        </is>
      </c>
      <c r="M41" s="9" t="inlineStr">
        <is>
          <r>
            <rPr>
              <rFont val="Calibri"/>
              <sz val="10"/>
            </rPr>
            <t xml:space="preserve">A module / process, or work with client or regulatory consequences
</t>
          </r>
          <r>
            <rPr>
              <rFont val="Calibri"/>
              <b val="1"/>
              <sz val="10"/>
            </rPr>
            <t>Common themes in role-holders' answers:</t>
          </r>
          <r>
            <rPr>
              <rFont val="Calibri"/>
              <sz val="10"/>
            </rPr>
            <t xml:space="preserve"> resolution · am · accountable · timely · client · quality</t>
          </r>
        </is>
      </c>
      <c r="N41" s="9" t="inlineStr">
        <is>
          <r>
            <rPr>
              <rFont val="Calibri"/>
              <sz val="10"/>
            </rPr>
            <t xml:space="preserve">Technical / QC / client calls on own work
</t>
          </r>
          <r>
            <rPr>
              <rFont val="Calibri"/>
              <b val="1"/>
              <sz val="10"/>
            </rPr>
            <t>Common themes in role-holders' answers:</t>
          </r>
          <r>
            <rPr>
              <rFont val="Calibri"/>
              <sz val="10"/>
            </rPr>
            <t xml:space="preserve"> issues · resolving · tickets · handle · erro · validation</t>
          </r>
        </is>
      </c>
      <c r="O41" s="9" t="inlineStr">
        <is>
          <r>
            <rPr>
              <rFont val="Calibri"/>
              <b val="1"/>
              <sz val="10"/>
            </rPr>
            <t>Common themes in manager-set KRAs:</t>
          </r>
          <r>
            <rPr>
              <rFont val="Calibri"/>
              <sz val="10"/>
            </rPr>
            <t xml:space="preserve"> resolve · accounts · maintain accurate · accurate up-to-date · escalations owned · tickets/queries sla</t>
          </r>
        </is>
      </c>
      <c r="P41" s="9" t="inlineStr">
        <is>
          <t>Tech Support · Domain Support · Domain Knowledge · Platform knowledge · Business Analysis</t>
        </is>
      </c>
      <c r="Q41" s="9" t="inlineStr">
        <is>
          <t>MS office · Arelle · Copilot · Excel · RBI cims portal</t>
        </is>
      </c>
      <c r="R41" s="9" t="inlineStr">
        <is>
          <t>Varied work; reviews juniors; go-to for a process</t>
        </is>
      </c>
      <c r="S41" s="9" t="inlineStr">
        <is>
          <t>Varied and non-standard work; handles exceptions</t>
        </is>
      </c>
      <c r="T41" s="9" t="inlineStr">
        <is>
          <t>Technical / QC / client calls on own work</t>
        </is>
      </c>
      <c r="U41" s="9" t="inlineStr">
        <is>
          <t>A module / process, or work with client or regulatory consequences</t>
        </is>
      </c>
      <c r="V41" s="9" t="inlineStr">
        <is>
          <t>Not scored in Band A</t>
        </is>
      </c>
      <c r="W41" s="9" t="inlineStr">
        <is>
          <t>2–4 yrs</t>
        </is>
      </c>
      <c r="X41" s="9" t="inlineStr">
        <is>
          <t>Graduate; relevant certification preferred</t>
        </is>
      </c>
      <c r="Y41" s="9" t="inlineStr">
        <is>
          <t>Internal product certification</t>
        </is>
      </c>
      <c r="Z41" s="9" t="inlineStr">
        <is>
          <t>None · guides 1–3 juniors informally</t>
        </is>
      </c>
      <c r="AA41" s="9" t="inlineStr">
        <is>
          <t>Core 2 · Future-ready 2 · Functional 3 · Leadership —</t>
        </is>
      </c>
      <c r="AB41" s="9" t="inlineStr">
        <is>
          <t>Product, Platform &amp; Domain Knowledge · Stakeholder &amp; Client Management</t>
        </is>
      </c>
      <c r="AC41" s="9" t="inlineStr">
        <is>
          <t>Communication &amp; Presentation · Database, SQL &amp; Data Engineering · Regulatory &amp; BFSI Domain · Process Improvement &amp; Quality Mindset</t>
        </is>
      </c>
      <c r="AD41" s="8" t="inlineStr">
        <is>
          <t>P2</t>
        </is>
      </c>
      <c r="AE41" s="8" t="inlineStr">
        <is>
          <t>3 Apply</t>
        </is>
      </c>
      <c r="AF41" s="9" t="inlineStr">
        <is>
          <t>IRIS Vs Competitor Benchmark — SaaS customer-success ladder: Associate CSM · Regnology: Product Support Specialist · Reg Reporting · IRIS Vs Competitor Benchmark — support tiers: L2 Application Support</t>
        </is>
      </c>
      <c r="AG41" s="9" t="inlineStr">
        <is>
          <t>TSIA frameworks and benchmarks; ITIL 4 service desk; Gainsight customer-success practice</t>
        </is>
      </c>
      <c r="AH41" s="9" t="inlineStr">
        <is>
          <t>B1 · Specialist</t>
        </is>
      </c>
      <c r="AI41" s="9" t="inlineStr">
        <is>
          <t>Product &amp; tool knowledge · Broader exposure &amp; ownership · Domain, regulatory &amp; XBRL · Client, sales &amp; stakeholders · Data, SQL &amp; analytics</t>
        </is>
      </c>
      <c r="AJ41" s="9" t="inlineStr">
        <is>
          <t>ticketing sla · de-escalation · sla tools · product/domain depth · depth ticketing</t>
        </is>
      </c>
      <c r="AK41" s="9" t="inlineStr">
        <is>
          <t>Formal / classroom training · Mentoring / guidance from seniors · On-the-job / hands-on · Knowledge transfer · KT</t>
        </is>
      </c>
      <c r="AL41" s="9" t="inlineStr">
        <is>
          <t>dependency · issue · laptop · client · system</t>
        </is>
      </c>
      <c r="AM41" s="9" t="inlineStr">
        <is>
          <t>dependency · better · training · pam · correct</t>
        </is>
      </c>
      <c r="AN41" s="9" t="inlineStr">
        <is>
          <t>6 of 17 say the role is changing because of AI / automation</t>
        </is>
      </c>
      <c r="AO41" s="9" t="inlineStr">
        <is>
          <t>Enable sustained customer value and issue resolution. Includes: Adoption, product support and customer education. Excludes: Employee IT support; initial client implementation.</t>
        </is>
      </c>
      <c r="AP41" s="9" t="inlineStr">
        <is>
          <t>CS01-2 · Product Support Engineer</t>
        </is>
      </c>
      <c r="AQ41" s="9" t="inlineStr">
        <is>
          <t>Diagnose cases and publish verified knowledge articles.</t>
        </is>
      </c>
      <c r="AR41" s="9" t="inlineStr">
        <is>
          <t>Demonstrate routine delivery plus judgement in bounded exceptions.</t>
        </is>
      </c>
      <c r="AS41" s="9" t="inlineStr">
        <is>
          <t>A resolved complex case with diagnosis, customer explanation and reusable knowledge</t>
        </is>
      </c>
      <c r="AT41" s="9" t="inlineStr">
        <is>
          <r>
            <rPr>
              <rFont val="Calibri"/>
              <b val="1"/>
              <sz val="10"/>
            </rPr>
            <t>Workiva:</t>
          </r>
          <r>
            <rPr>
              <rFont val="Calibri"/>
              <sz val="10"/>
            </rPr>
            <t xml:space="preserve"> Product Support Engineer
</t>
          </r>
          <r>
            <rPr>
              <rFont val="Calibri"/>
              <b val="1"/>
              <sz val="10"/>
            </rPr>
            <t>Workiva:</t>
          </r>
          <r>
            <rPr>
              <rFont val="Calibri"/>
              <sz val="10"/>
            </rPr>
            <t xml:space="preserve"> Senior Manager of Product Support · IC and manager examples. Gap: Support-engineer and people-manager duties can be compared directly</t>
          </r>
        </is>
      </c>
      <c r="AU41" s="22" t="inlineStr">
        <is>
          <t>Framework + role-holders' themes · 3+ answered</t>
        </is>
      </c>
      <c r="AV41" s="9" t="inlineStr">
        <is>
          <t>17 holders, 17 answered the survey; sub-family 25 answered</t>
        </is>
      </c>
    </row>
    <row r="42" ht="93" customHeight="1">
      <c r="A42" s="17" t="inlineStr">
        <is>
          <t>RC-032</t>
        </is>
      </c>
      <c r="B42" s="9" t="inlineStr">
        <is>
          <t>Customer Success &amp; Support</t>
        </is>
      </c>
      <c r="C42" s="9" t="inlineStr">
        <is>
          <t>Application &amp; Product Support</t>
        </is>
      </c>
      <c r="D42" s="21" t="inlineStr">
        <is>
          <t>B1</t>
        </is>
      </c>
      <c r="E42" s="22" t="inlineStr">
        <is>
          <t>Specialist</t>
        </is>
      </c>
      <c r="F42" s="9" t="inlineStr">
        <is>
          <t>IC</t>
        </is>
      </c>
      <c r="G42" s="9" t="inlineStr">
        <is>
          <t>Support Specialist · Functional Specialist</t>
        </is>
      </c>
      <c r="H42" s="8" t="n">
        <v>3</v>
      </c>
      <c r="I42" s="9" t="inlineStr">
        <is>
          <t>iFile 2 · CARBON 1</t>
        </is>
      </c>
      <c r="J42" s="9" t="inlineStr">
        <is>
          <t>Resolves client product and filing issues, troubleshoots, handles UAT/change requests and escalates to engineering. At B1: a domain / module, or a small team.</t>
        </is>
      </c>
      <c r="K42" s="9" t="inlineStr">
        <is>
          <r>
            <rPr>
              <rFont val="Calibri"/>
              <sz val="10"/>
            </rPr>
            <t xml:space="preserve">Resolves client product and filing issues, troubleshoots, handles UAT/change requests and escalates to engineering; Domain specialist work; A domain or a small team
</t>
          </r>
          <r>
            <rPr>
              <rFont val="Calibri"/>
              <b val="1"/>
              <sz val="10"/>
            </rPr>
            <t>Common themes in role-holders' answers:</t>
          </r>
          <r>
            <rPr>
              <rFont val="Calibri"/>
              <sz val="10"/>
            </rPr>
            <t xml:space="preserve"> management</t>
          </r>
        </is>
      </c>
      <c r="L42" s="9" t="inlineStr">
        <is>
          <r>
            <rPr>
              <rFont val="Calibri"/>
              <sz val="10"/>
            </rPr>
            <t xml:space="preserve">A domain or a small team
</t>
          </r>
          <r>
            <rPr>
              <rFont val="Calibri"/>
              <b val="1"/>
              <sz val="10"/>
            </rPr>
            <t>Common themes in role-holders' answers:</t>
          </r>
          <r>
            <rPr>
              <rFont val="Calibri"/>
              <sz val="10"/>
            </rPr>
            <t xml:space="preserve"> tracking</t>
          </r>
        </is>
      </c>
      <c r="M42" s="9" t="inlineStr">
        <is>
          <r>
            <rPr>
              <rFont val="Calibri"/>
              <sz val="10"/>
            </rPr>
            <t xml:space="preserve">A domain or a small team
</t>
          </r>
          <r>
            <rPr>
              <rFont val="Calibri"/>
              <b val="1"/>
              <sz val="10"/>
            </rPr>
            <t>Common themes in role-holders' answers:</t>
          </r>
          <r>
            <rPr>
              <rFont val="Calibri"/>
              <sz val="10"/>
            </rPr>
            <t xml:space="preserve"> client · if</t>
          </r>
        </is>
      </c>
      <c r="N42" s="9" t="inlineStr">
        <is>
          <t>Technical / QC / client calls for the domain</t>
        </is>
      </c>
      <c r="O42" s="9" t="inlineStr">
        <is>
          <r>
            <rPr>
              <rFont val="Calibri"/>
              <b val="1"/>
              <sz val="10"/>
            </rPr>
            <t>Common themes in manager-set KRAs:</t>
          </r>
          <r>
            <rPr>
              <rFont val="Calibri"/>
              <sz val="10"/>
            </rPr>
            <t xml:space="preserve"> accounts · csat · documentation · reduce · drive · keep</t>
          </r>
        </is>
      </c>
      <c r="P42" s="9" t="inlineStr">
        <is>
          <t>Tech Support</t>
        </is>
      </c>
      <c r="Q42" s="9" t="inlineStr">
        <is>
          <t>—</t>
        </is>
      </c>
      <c r="R42" s="9" t="inlineStr">
        <is>
          <t>A domain / module, or a small team</t>
        </is>
      </c>
      <c r="S42" s="9" t="inlineStr">
        <is>
          <t>Domain specialist work</t>
        </is>
      </c>
      <c r="T42" s="9" t="inlineStr">
        <is>
          <t>Technical / QC / client calls for the domain</t>
        </is>
      </c>
      <c r="U42" s="9" t="inlineStr">
        <is>
          <t>A domain or a small team</t>
        </is>
      </c>
      <c r="V42" s="9" t="inlineStr">
        <is>
          <r>
            <rPr>
              <rFont val="Calibri"/>
              <b val="1"/>
              <sz val="10"/>
            </rPr>
            <t>IC:</t>
          </r>
          <r>
            <rPr>
              <rFont val="Calibri"/>
              <sz val="10"/>
            </rPr>
            <t xml:space="preserve"> mentors and reviews · People: hands-on team lead of 3–5</t>
          </r>
        </is>
      </c>
      <c r="W42" s="9" t="inlineStr">
        <is>
          <t>4–7 yrs</t>
        </is>
      </c>
      <c r="X42" s="9" t="inlineStr">
        <is>
          <t>Graduate + relevant qualification or certification preferred</t>
        </is>
      </c>
      <c r="Y42" s="9" t="inlineStr">
        <is>
          <t>Internal product certification</t>
        </is>
      </c>
      <c r="Z42" s="9" t="inlineStr">
        <is>
          <r>
            <rPr>
              <rFont val="Calibri"/>
              <b val="1"/>
              <sz val="10"/>
            </rPr>
            <t>IC:</t>
          </r>
          <r>
            <rPr>
              <rFont val="Calibri"/>
              <sz val="10"/>
            </rPr>
            <t xml:space="preserve"> none · Team Lead: 3–5</t>
          </r>
        </is>
      </c>
      <c r="AA42" s="9" t="inlineStr">
        <is>
          <t>Core 3 · Future-ready 3 · Functional 3 · Leadership 1</t>
        </is>
      </c>
      <c r="AB42" s="9" t="inlineStr">
        <is>
          <t>Product, Platform &amp; Domain Knowledge · Stakeholder &amp; Client Management</t>
        </is>
      </c>
      <c r="AC42" s="9" t="inlineStr">
        <is>
          <t>Communication &amp; Presentation · Database, SQL &amp; Data Engineering · Regulatory &amp; BFSI Domain · Process Improvement &amp; Quality Mindset</t>
        </is>
      </c>
      <c r="AD42" s="8" t="inlineStr">
        <is>
          <t>P3 / M2</t>
        </is>
      </c>
      <c r="AE42" s="8" t="inlineStr">
        <is>
          <t>4 Enable</t>
        </is>
      </c>
      <c r="AF42" s="9" t="inlineStr">
        <is>
          <r>
            <rPr>
              <rFont val="Calibri"/>
              <b val="1"/>
              <sz val="10"/>
            </rPr>
            <t>Workiva:</t>
          </r>
          <r>
            <rPr>
              <rFont val="Calibri"/>
              <sz val="10"/>
            </rPr>
            <t xml:space="preserve"> Customer Success Manager · IRIS Vs Competitor Benchmark — SaaS customer-success ladder: CSM · IRIS Vs Competitor Benchmark — support tiers: L3 / Problem Analyst</t>
          </r>
        </is>
      </c>
      <c r="AG42" s="9" t="inlineStr">
        <is>
          <t>TSIA frameworks and benchmarks; ITIL 4 service desk; Gainsight customer-success practice</t>
        </is>
      </c>
      <c r="AH42" s="9" t="inlineStr">
        <is>
          <t>B2 · Senior Specialist</t>
        </is>
      </c>
      <c r="AI42" s="9" t="inlineStr">
        <is>
          <t>AI / automation · Client, sales &amp; stakeholders · Broader exposure &amp; ownership · Product &amp; tool knowledge</t>
        </is>
      </c>
      <c r="AJ42" s="9" t="inlineStr">
        <is>
          <t>communication · ticketing sla · de-escalation · success · sla tools</t>
        </is>
      </c>
      <c r="AK42" s="9" t="inlineStr">
        <is>
          <t>Mentoring / guidance from seniors · Knowledge transfer · KT</t>
        </is>
      </c>
      <c r="AL42" s="9" t="inlineStr">
        <is>
          <t>issue</t>
        </is>
      </c>
      <c r="AM42" s="9" t="inlineStr">
        <is>
          <t>client</t>
        </is>
      </c>
      <c r="AN42" s="9" t="inlineStr">
        <is>
          <t>2 of 3 say the role is changing because of AI / automation</t>
        </is>
      </c>
      <c r="AO42" s="9" t="inlineStr">
        <is>
          <t>Enable sustained customer value and issue resolution. Includes: Adoption, product support and customer education. Excludes: Employee IT support; initial client implementation.</t>
        </is>
      </c>
      <c r="AP42" s="9" t="inlineStr">
        <is>
          <t>CS01-3 · Senior Product Support Engineer</t>
        </is>
      </c>
      <c r="AQ42" s="9" t="inlineStr">
        <is>
          <t>Own complex escalations and recurring-defect analysis.</t>
        </is>
      </c>
      <c r="AR42" s="9" t="inlineStr">
        <is>
          <t>Evidence of complex work, decisions and outcomes beyond routine delivery.</t>
        </is>
      </c>
      <c r="AS42" s="9" t="inlineStr">
        <is>
          <t>A resolved complex case with diagnosis, customer explanation and reusable knowledge</t>
        </is>
      </c>
      <c r="AT42" s="9" t="inlineStr">
        <is>
          <r>
            <rPr>
              <rFont val="Calibri"/>
              <b val="1"/>
              <sz val="10"/>
            </rPr>
            <t>Workiva:</t>
          </r>
          <r>
            <rPr>
              <rFont val="Calibri"/>
              <sz val="10"/>
            </rPr>
            <t xml:space="preserve"> Product Support Engineer
</t>
          </r>
          <r>
            <rPr>
              <rFont val="Calibri"/>
              <b val="1"/>
              <sz val="10"/>
            </rPr>
            <t>Workiva:</t>
          </r>
          <r>
            <rPr>
              <rFont val="Calibri"/>
              <sz val="10"/>
            </rPr>
            <t xml:space="preserve"> Senior Manager of Product Support · IC and manager examples. Gap: Support-engineer and people-manager duties can be compared directly</t>
          </r>
        </is>
      </c>
      <c r="AU42" s="22" t="inlineStr">
        <is>
          <t>Framework + role-holders' themes · 3+ answered</t>
        </is>
      </c>
      <c r="AV42" s="9" t="inlineStr">
        <is>
          <t>3 holders, 3 answered the survey; sub-family 25 answered</t>
        </is>
      </c>
    </row>
    <row r="43" ht="158" customHeight="1">
      <c r="A43" s="17" t="inlineStr">
        <is>
          <t>RC-033</t>
        </is>
      </c>
      <c r="B43" s="9" t="inlineStr">
        <is>
          <t>Customer Success &amp; Support</t>
        </is>
      </c>
      <c r="C43" s="9" t="inlineStr">
        <is>
          <t>Application &amp; Product Support</t>
        </is>
      </c>
      <c r="D43" s="21" t="inlineStr">
        <is>
          <t>B2</t>
        </is>
      </c>
      <c r="E43" s="22" t="inlineStr">
        <is>
          <t>Manager</t>
        </is>
      </c>
      <c r="F43" s="9" t="inlineStr">
        <is>
          <t>Manager</t>
        </is>
      </c>
      <c r="G43" s="9" t="inlineStr">
        <is>
          <t>Support Manager</t>
        </is>
      </c>
      <c r="H43" s="8" t="n">
        <v>1</v>
      </c>
      <c r="I43" s="9" t="inlineStr">
        <is>
          <t>CARBON 1</t>
        </is>
      </c>
      <c r="J43" s="9" t="inlineStr">
        <is>
          <r>
            <rPr>
              <rFont val="Calibri"/>
              <sz val="10"/>
            </rPr>
            <t xml:space="preserve">Resolves client product and filing issues, troubleshoots, handles UAT/change requests and escalates to engineering. At B2: deep domain expertise, or one team.
</t>
          </r>
          <r>
            <rPr>
              <rFont val="Calibri"/>
              <b val="1"/>
              <sz val="10"/>
            </rPr>
            <t>Common themes in sub-family holders, all levels' answers:</t>
          </r>
          <r>
            <rPr>
              <rFont val="Calibri"/>
              <sz val="10"/>
            </rPr>
            <t xml:space="preserve"> support · clients · queries · provide · issues · resolving</t>
          </r>
        </is>
      </c>
      <c r="K43" s="9" t="inlineStr">
        <is>
          <r>
            <rPr>
              <rFont val="Calibri"/>
              <sz val="10"/>
            </rPr>
            <t xml:space="preserve">Resolves client product and filing issues, troubleshoots, handles UAT/change requests and escalates to engineering; Hardest problems in the domain; One team or a client portfolio
</t>
          </r>
          <r>
            <rPr>
              <rFont val="Calibri"/>
              <b val="1"/>
              <sz val="10"/>
            </rPr>
            <t>Common themes in sub-family holders, all levels' answers:</t>
          </r>
          <r>
            <rPr>
              <rFont val="Calibri"/>
              <sz val="10"/>
            </rPr>
            <t xml:space="preserve"> support · issue · testing · communication · customer · ticket</t>
          </r>
        </is>
      </c>
      <c r="L43" s="9" t="inlineStr">
        <is>
          <r>
            <rPr>
              <rFont val="Calibri"/>
              <sz val="10"/>
            </rPr>
            <t xml:space="preserve">One team or a client portfolio
</t>
          </r>
          <r>
            <rPr>
              <rFont val="Calibri"/>
              <b val="1"/>
              <sz val="10"/>
            </rPr>
            <t>Common themes in sub-family holders, all levels' answers:</t>
          </r>
          <r>
            <rPr>
              <rFont val="Calibri"/>
              <sz val="10"/>
            </rPr>
            <t xml:space="preserve"> support · customer · product · provide · testing · deliver</t>
          </r>
        </is>
      </c>
      <c r="M43" s="9" t="inlineStr">
        <is>
          <r>
            <rPr>
              <rFont val="Calibri"/>
              <sz val="10"/>
            </rPr>
            <t xml:space="preserve">One team or a client portfolio
</t>
          </r>
          <r>
            <rPr>
              <rFont val="Calibri"/>
              <b val="1"/>
              <sz val="10"/>
            </rPr>
            <t>Common themes in sub-family holders, all levels' answers:</t>
          </r>
          <r>
            <rPr>
              <rFont val="Calibri"/>
              <sz val="10"/>
            </rPr>
            <t xml:space="preserve"> client · resolution · am · accountable · timely · if</t>
          </r>
        </is>
      </c>
      <c r="N43" s="9" t="inlineStr">
        <is>
          <r>
            <rPr>
              <rFont val="Calibri"/>
              <sz val="10"/>
            </rPr>
            <t xml:space="preserve">Allocates people and sets team priorities
</t>
          </r>
          <r>
            <rPr>
              <rFont val="Calibri"/>
              <b val="1"/>
              <sz val="10"/>
            </rPr>
            <t>Common themes in sub-family holders, all levels' answers:</t>
          </r>
          <r>
            <rPr>
              <rFont val="Calibri"/>
              <sz val="10"/>
            </rPr>
            <t xml:space="preserve"> issues · resolving · tickets · handle · erro · validation</t>
          </r>
        </is>
      </c>
      <c r="O43" s="9" t="inlineStr">
        <is>
          <t>—</t>
        </is>
      </c>
      <c r="P43" s="9" t="inlineStr">
        <is>
          <t>Tech Support · Domain Support · Communication · Domain Knowledge · Business Analysis · Platform knowledge · Sales</t>
        </is>
      </c>
      <c r="Q43" s="9" t="inlineStr">
        <is>
          <t>MS Office · Faveo · Arelle · Excel · Claude · Copilot · Microsoft Excel · RBI cims portal</t>
        </is>
      </c>
      <c r="R43" s="9" t="inlineStr">
        <is>
          <t>Deep domain expertise, or one team</t>
        </is>
      </c>
      <c r="S43" s="9" t="inlineStr">
        <is>
          <t>Hardest problems in the domain</t>
        </is>
      </c>
      <c r="T43" s="9" t="inlineStr">
        <is>
          <t>Allocates people and sets team priorities</t>
        </is>
      </c>
      <c r="U43" s="9" t="inlineStr">
        <is>
          <t>One team or a client portfolio</t>
        </is>
      </c>
      <c r="V43" s="9" t="inlineStr">
        <is>
          <r>
            <rPr>
              <rFont val="Calibri"/>
              <b val="1"/>
              <sz val="10"/>
            </rPr>
            <t>IC:</t>
          </r>
          <r>
            <rPr>
              <rFont val="Calibri"/>
              <sz val="10"/>
            </rPr>
            <t xml:space="preserve"> guides others in the domain · People: manages a team of 6+</t>
          </r>
        </is>
      </c>
      <c r="W43" s="9" t="inlineStr">
        <is>
          <t>6–9 yrs</t>
        </is>
      </c>
      <c r="X43" s="9" t="inlineStr">
        <is>
          <t>Graduate or postgraduate; professional qualification preferred</t>
        </is>
      </c>
      <c r="Y43" s="9" t="inlineStr">
        <is>
          <t>Internal product certification</t>
        </is>
      </c>
      <c r="Z43" s="9" t="inlineStr">
        <is>
          <r>
            <rPr>
              <rFont val="Calibri"/>
              <b val="1"/>
              <sz val="10"/>
            </rPr>
            <t>IC:</t>
          </r>
          <r>
            <rPr>
              <rFont val="Calibri"/>
              <sz val="10"/>
            </rPr>
            <t xml:space="preserve"> none · People: 6–8 knowledge work, 8–12 standardised delivery</t>
          </r>
        </is>
      </c>
      <c r="AA43" s="9" t="inlineStr">
        <is>
          <t>Core 3 · Future-ready 3 · Functional 4 · Leadership 3</t>
        </is>
      </c>
      <c r="AB43" s="9" t="inlineStr">
        <is>
          <t>Product, Platform &amp; Domain Knowledge · Stakeholder &amp; Client Management</t>
        </is>
      </c>
      <c r="AC43" s="9" t="inlineStr">
        <is>
          <t>Communication &amp; Presentation · Database, SQL &amp; Data Engineering · Regulatory &amp; BFSI Domain · Process Improvement &amp; Quality Mindset</t>
        </is>
      </c>
      <c r="AD43" s="8" t="inlineStr">
        <is>
          <t>P4 / M3</t>
        </is>
      </c>
      <c r="AE43" s="8" t="inlineStr">
        <is>
          <t>4–5</t>
        </is>
      </c>
      <c r="AF43" s="9" t="inlineStr">
        <is>
          <r>
            <rPr>
              <rFont val="Calibri"/>
              <b val="1"/>
              <sz val="10"/>
            </rPr>
            <t>Workiva:</t>
          </r>
          <r>
            <rPr>
              <rFont val="Calibri"/>
              <sz val="10"/>
            </rPr>
            <t xml:space="preserve"> Product Success Manager · IRIS Vs Competitor Benchmark — SaaS customer-success ladder: Senior CSM · IRIS Vs Competitor Benchmark — support tiers: Support Team Manager</t>
          </r>
        </is>
      </c>
      <c r="AG43" s="9" t="inlineStr">
        <is>
          <t>TSIA frameworks and benchmarks; ITIL 4 service desk; Gainsight customer-success practice</t>
        </is>
      </c>
      <c r="AH43" s="9" t="inlineStr">
        <is>
          <t>B3 · Lead Specialist</t>
        </is>
      </c>
      <c r="AI43" s="9" t="inlineStr">
        <is>
          <t>Leadership &amp; people management · Communication &amp; presentation · Broader exposure &amp; ownership</t>
        </is>
      </c>
      <c r="AJ43" s="9" t="inlineStr">
        <is>
          <t>Customer success methods; communication &amp; de-escalation; People management: goal-setting &amp; feedback, 1:1 coaching, performance conversations | Leadership development: strategic thinking, cross-functional influence, financial/business acumen, succession &amp; talent development, change management, client communication</t>
        </is>
      </c>
      <c r="AK43" s="9" t="inlineStr">
        <is>
          <t>Formal / classroom training · Mentoring / guidance from seniors · On-the-job / hands-on · Knowledge transfer · KT</t>
        </is>
      </c>
      <c r="AL43" s="9" t="inlineStr">
        <is>
          <t>issue · dependency · laptop · client · slow</t>
        </is>
      </c>
      <c r="AM43" s="9" t="inlineStr">
        <is>
          <t>dependency · better · training · client · pam</t>
        </is>
      </c>
      <c r="AN43" s="9" t="inlineStr">
        <is>
          <t>8 of 24 say the role is changing because of AI / automation</t>
        </is>
      </c>
      <c r="AO43" s="9" t="inlineStr">
        <is>
          <t>Enable sustained customer value and issue resolution. Includes: Adoption, product support and customer education. Excludes: Employee IT support; initial client implementation.</t>
        </is>
      </c>
      <c r="AP43" s="9" t="inlineStr">
        <is>
          <t>LD07-1 · Support / Customer Success Manager</t>
        </is>
      </c>
      <c r="AQ43" s="9" t="inlineStr">
        <is>
          <t>Own staffing decisions, performance support, service quality and delegated team resources</t>
        </is>
      </c>
      <c r="AR43" s="9" t="inlineStr">
        <is>
          <t>Do not manufacture three reporting layers. Choose roles the organisation needs. A specialist may remain on an equally valued expert path.</t>
        </is>
      </c>
      <c r="AS43" s="9" t="inlineStr">
        <is>
          <t>—</t>
        </is>
      </c>
      <c r="AT43" s="9" t="inlineStr">
        <is>
          <t>—</t>
        </is>
      </c>
      <c r="AU43" s="19" t="inlineStr">
        <is>
          <t>Framework + sub-family themes · 3+ answered</t>
        </is>
      </c>
      <c r="AV43" s="9" t="inlineStr">
        <is>
          <t>1 holder, 1 answered the survey; sub-family 25 answered</t>
        </is>
      </c>
    </row>
    <row r="44" ht="158" customHeight="1">
      <c r="A44" s="17" t="inlineStr">
        <is>
          <t>RC-034</t>
        </is>
      </c>
      <c r="B44" s="9" t="inlineStr">
        <is>
          <t>Customer Success &amp; Support</t>
        </is>
      </c>
      <c r="C44" s="9" t="inlineStr">
        <is>
          <t>Customer Success &amp; Account Management</t>
        </is>
      </c>
      <c r="D44" s="18" t="inlineStr">
        <is>
          <t>A3</t>
        </is>
      </c>
      <c r="E44" s="19" t="inlineStr">
        <is>
          <t>Senior Associate</t>
        </is>
      </c>
      <c r="F44" s="9" t="inlineStr">
        <is>
          <t>IC</t>
        </is>
      </c>
      <c r="G44" s="9" t="inlineStr">
        <is>
          <t>Senior Customer Success Executive</t>
        </is>
      </c>
      <c r="H44" s="8" t="n">
        <v>2</v>
      </c>
      <c r="I44" s="9" t="inlineStr">
        <is>
          <t>CARBON 2</t>
        </is>
      </c>
      <c r="J44" s="9" t="inlineStr">
        <is>
          <r>
            <rPr>
              <rFont val="Calibri"/>
              <sz val="10"/>
            </rPr>
            <t xml:space="preserve">Owns client relationships after sale — hypercare, renewals, upsell, CSAT/NPS, delivery follow-through. At A3: varied work; reviews juniors; go-to for a process.
</t>
          </r>
          <r>
            <rPr>
              <rFont val="Calibri"/>
              <b val="1"/>
              <sz val="10"/>
            </rPr>
            <t>Common themes in sub-family holders, all levels' answers:</t>
          </r>
          <r>
            <rPr>
              <rFont val="Calibri"/>
              <sz val="10"/>
            </rPr>
            <t xml:space="preserve"> cross improve · upsell cross · nps follow · tech · improve nps · us market</t>
          </r>
        </is>
      </c>
      <c r="K44" s="9" t="inlineStr">
        <is>
          <r>
            <rPr>
              <rFont val="Calibri"/>
              <sz val="10"/>
            </rPr>
            <t xml:space="preserve">Owns client relationships after sale — hypercare, renewals, upsell, CSAT/NPS, delivery follow-through; Varied and non-standard work; handles exceptions; A module / process, or work with client or regulatory consequences
</t>
          </r>
          <r>
            <rPr>
              <rFont val="Calibri"/>
              <b val="1"/>
              <sz val="10"/>
            </rPr>
            <t>Common themes in sub-family holders, all levels' answers:</t>
          </r>
          <r>
            <rPr>
              <rFont val="Calibri"/>
              <sz val="10"/>
            </rPr>
            <t xml:space="preserve"> product · renewals · testing · upsell · cross sell · training</t>
          </r>
        </is>
      </c>
      <c r="L44" s="9" t="inlineStr">
        <is>
          <r>
            <rPr>
              <rFont val="Calibri"/>
              <sz val="10"/>
            </rPr>
            <t xml:space="preserve">A module / process, or work with client or regulatory consequences
</t>
          </r>
          <r>
            <rPr>
              <rFont val="Calibri"/>
              <b val="1"/>
              <sz val="10"/>
            </rPr>
            <t>Common themes in sub-family holders, all levels' answers:</t>
          </r>
          <r>
            <rPr>
              <rFont val="Calibri"/>
              <sz val="10"/>
            </rPr>
            <t xml:space="preserve"> customer · csat · product · esef · client</t>
          </r>
        </is>
      </c>
      <c r="M44" s="9" t="inlineStr">
        <is>
          <r>
            <rPr>
              <rFont val="Calibri"/>
              <sz val="10"/>
            </rPr>
            <t xml:space="preserve">A module / process, or work with client or regulatory consequences
</t>
          </r>
          <r>
            <rPr>
              <rFont val="Calibri"/>
              <b val="1"/>
              <sz val="10"/>
            </rPr>
            <t>Common themes in sub-family holders, all levels' answers:</t>
          </r>
          <r>
            <rPr>
              <rFont val="Calibri"/>
              <sz val="10"/>
            </rPr>
            <t xml:space="preserve"> retention · renewals · sell · cross · invoicing · outstanding</t>
          </r>
        </is>
      </c>
      <c r="N44" s="9" t="inlineStr">
        <is>
          <r>
            <rPr>
              <rFont val="Calibri"/>
              <sz val="10"/>
            </rPr>
            <t xml:space="preserve">Technical / QC / client calls on own work
</t>
          </r>
          <r>
            <rPr>
              <rFont val="Calibri"/>
              <b val="1"/>
              <sz val="10"/>
            </rPr>
            <t>Common themes in sub-family holders, all levels' answers:</t>
          </r>
          <r>
            <rPr>
              <rFont val="Calibri"/>
              <sz val="10"/>
            </rPr>
            <t xml:space="preserve"> trainings</t>
          </r>
        </is>
      </c>
      <c r="O44" s="9" t="inlineStr">
        <is>
          <t>—</t>
        </is>
      </c>
      <c r="P44" s="9" t="inlineStr">
        <is>
          <t>XBRL Domain · Communication</t>
        </is>
      </c>
      <c r="Q44" s="9" t="inlineStr">
        <is>
          <t>Hubspot · excel · Office 365</t>
        </is>
      </c>
      <c r="R44" s="9" t="inlineStr">
        <is>
          <t>Varied work; reviews juniors; go-to for a process</t>
        </is>
      </c>
      <c r="S44" s="9" t="inlineStr">
        <is>
          <t>Varied and non-standard work; handles exceptions</t>
        </is>
      </c>
      <c r="T44" s="9" t="inlineStr">
        <is>
          <t>Technical / QC / client calls on own work</t>
        </is>
      </c>
      <c r="U44" s="9" t="inlineStr">
        <is>
          <t>A module / process, or work with client or regulatory consequences</t>
        </is>
      </c>
      <c r="V44" s="9" t="inlineStr">
        <is>
          <t>Not scored in Band A</t>
        </is>
      </c>
      <c r="W44" s="9" t="inlineStr">
        <is>
          <t>2–4 yrs</t>
        </is>
      </c>
      <c r="X44" s="9" t="inlineStr">
        <is>
          <t>Graduate; relevant certification preferred</t>
        </is>
      </c>
      <c r="Y44" s="9" t="inlineStr">
        <is>
          <t>Internal product certification</t>
        </is>
      </c>
      <c r="Z44" s="9" t="inlineStr">
        <is>
          <t>None · guides 1–3 juniors informally</t>
        </is>
      </c>
      <c r="AA44" s="9" t="inlineStr">
        <is>
          <t>Core 2 · Future-ready 2 · Functional 3 · Leadership —</t>
        </is>
      </c>
      <c r="AB44" s="9" t="inlineStr">
        <is>
          <t>Product, Platform &amp; Domain Knowledge · Stakeholder &amp; Client Management</t>
        </is>
      </c>
      <c r="AC44" s="9" t="inlineStr">
        <is>
          <t>Communication &amp; Presentation · Database, SQL &amp; Data Engineering · Regulatory &amp; BFSI Domain · Process Improvement &amp; Quality Mindset</t>
        </is>
      </c>
      <c r="AD44" s="8" t="inlineStr">
        <is>
          <t>P2</t>
        </is>
      </c>
      <c r="AE44" s="8" t="inlineStr">
        <is>
          <t>3 Apply</t>
        </is>
      </c>
      <c r="AF44" s="9" t="inlineStr">
        <is>
          <t>IRIS Vs Competitor Benchmark — SaaS customer-success ladder: Associate CSM · Regnology: Product Support Specialist · Reg Reporting · IRIS Vs Competitor Benchmark — support tiers: L2 Application Support</t>
        </is>
      </c>
      <c r="AG44" s="9" t="inlineStr">
        <is>
          <t>TSIA frameworks and benchmarks; ITIL 4 service desk; Gainsight customer-success practice</t>
        </is>
      </c>
      <c r="AH44" s="9" t="inlineStr">
        <is>
          <t>B1 · Specialist</t>
        </is>
      </c>
      <c r="AI44" s="9" t="inlineStr">
        <is>
          <t>Project / programme management · Data, SQL &amp; analytics · Certification / formal course</t>
        </is>
      </c>
      <c r="AJ44" s="9" t="inlineStr">
        <is>
          <t>XBRL taxonomy &amp; regulatory updates; domain/accounting refreshers; quality &amp; accuracy practices; tooling proficiency | Transition to leadership: people management &amp; delegation, mentoring/coaching, project ownership &amp; stakeholder management, prioritisation under ambiguity, presentation &amp; influence skills</t>
        </is>
      </c>
      <c r="AK44" s="9" t="inlineStr">
        <is>
          <t>Formal / classroom training · On-the-job / hands-on</t>
        </is>
      </c>
      <c r="AL44" s="9" t="inlineStr">
        <is>
          <t>process · approvals · internal · invoicing · clarity</t>
        </is>
      </c>
      <c r="AM44" s="9" t="inlineStr">
        <is>
          <t>ownership · sales · process · remove · activities</t>
        </is>
      </c>
      <c r="AN44" s="9" t="inlineStr">
        <is>
          <t>0 of 9 say the role is changing because of AI / automation</t>
        </is>
      </c>
      <c r="AO44" s="9" t="inlineStr">
        <is>
          <t>Enable sustained customer value and issue resolution. Includes: Adoption, product support and customer education. Excludes: Employee IT support; initial client implementation.</t>
        </is>
      </c>
      <c r="AP44" s="9" t="inlineStr">
        <is>
          <t>CS02-2 · Customer Success Manager</t>
        </is>
      </c>
      <c r="AQ44" s="9" t="inlineStr">
        <is>
          <t>Run success plans, adoption reviews and renewal-risk follow-up.</t>
        </is>
      </c>
      <c r="AR44" s="9" t="inlineStr">
        <is>
          <t>Demonstrate routine delivery plus judgement in bounded exceptions.</t>
        </is>
      </c>
      <c r="AS44" s="9" t="inlineStr">
        <is>
          <t>An account success plan with agreed outcomes, adoption evidence and managed renewal risks</t>
        </is>
      </c>
      <c r="AT44" s="9" t="inlineStr">
        <is>
          <r>
            <rPr>
              <rFont val="Calibri"/>
              <b val="1"/>
              <sz val="10"/>
            </rPr>
            <t>Workiva:</t>
          </r>
          <r>
            <rPr>
              <rFont val="Calibri"/>
              <sz val="10"/>
            </rPr>
            <t xml:space="preserve"> Customer Success Manager
</t>
          </r>
          <r>
            <rPr>
              <rFont val="Calibri"/>
              <b val="1"/>
              <sz val="10"/>
            </rPr>
            <t>Workiva:</t>
          </r>
          <r>
            <rPr>
              <rFont val="Calibri"/>
              <sz val="10"/>
            </rPr>
            <t xml:space="preserve"> Lead Customer Success Manager, Public Sector · Two selected titles. Gap: Different geographies and segments prevent a precise employer promotion mapping</t>
          </r>
        </is>
      </c>
      <c r="AU44" s="19" t="inlineStr">
        <is>
          <t>Framework + sub-family themes · 3+ answered</t>
        </is>
      </c>
      <c r="AV44" s="9" t="inlineStr">
        <is>
          <t>2 holders, 2 answered the survey; sub-family 9 answered</t>
        </is>
      </c>
    </row>
    <row r="45" ht="106" customHeight="1">
      <c r="A45" s="17" t="inlineStr">
        <is>
          <t>RC-035</t>
        </is>
      </c>
      <c r="B45" s="9" t="inlineStr">
        <is>
          <t>Customer Success &amp; Support</t>
        </is>
      </c>
      <c r="C45" s="9" t="inlineStr">
        <is>
          <t>Customer Success &amp; Account Management</t>
        </is>
      </c>
      <c r="D45" s="21" t="inlineStr">
        <is>
          <t>B1</t>
        </is>
      </c>
      <c r="E45" s="22" t="inlineStr">
        <is>
          <t>Specialist</t>
        </is>
      </c>
      <c r="F45" s="9" t="inlineStr">
        <is>
          <t>IC</t>
        </is>
      </c>
      <c r="G45" s="9" t="inlineStr">
        <is>
          <t>Senior Customer Success Specialist – POD Lead · Senior Customer Success Specialist</t>
        </is>
      </c>
      <c r="H45" s="8" t="n">
        <v>2</v>
      </c>
      <c r="I45" s="9" t="inlineStr">
        <is>
          <t>CARBON 2</t>
        </is>
      </c>
      <c r="J45" s="9" t="inlineStr">
        <is>
          <r>
            <rPr>
              <rFont val="Calibri"/>
              <sz val="10"/>
            </rPr>
            <t xml:space="preserve">Owns client relationships after sale — hypercare, renewals, upsell, CSAT/NPS, delivery follow-through. At B1: a domain / module, or a small team.
</t>
          </r>
          <r>
            <rPr>
              <rFont val="Calibri"/>
              <b val="1"/>
              <sz val="10"/>
            </rPr>
            <t>Common themes in sub-family holders, all levels' answers:</t>
          </r>
          <r>
            <rPr>
              <rFont val="Calibri"/>
              <sz val="10"/>
            </rPr>
            <t xml:space="preserve"> cross improve · upsell cross · nps follow · tech · improve nps · us market</t>
          </r>
        </is>
      </c>
      <c r="K45" s="9" t="inlineStr">
        <is>
          <r>
            <rPr>
              <rFont val="Calibri"/>
              <sz val="10"/>
            </rPr>
            <t xml:space="preserve">Owns client relationships after sale — hypercare, renewals, upsell, CSAT/NPS, delivery follow-through; Domain specialist work; A domain or a small team
</t>
          </r>
          <r>
            <rPr>
              <rFont val="Calibri"/>
              <b val="1"/>
              <sz val="10"/>
            </rPr>
            <t>Common themes in sub-family holders, all levels' answers:</t>
          </r>
          <r>
            <rPr>
              <rFont val="Calibri"/>
              <sz val="10"/>
            </rPr>
            <t xml:space="preserve"> product · renewals · testing · upsell · cross sell · training</t>
          </r>
        </is>
      </c>
      <c r="L45" s="9" t="inlineStr">
        <is>
          <r>
            <rPr>
              <rFont val="Calibri"/>
              <sz val="10"/>
            </rPr>
            <t xml:space="preserve">A domain or a small team
</t>
          </r>
          <r>
            <rPr>
              <rFont val="Calibri"/>
              <b val="1"/>
              <sz val="10"/>
            </rPr>
            <t>Common themes in sub-family holders, all levels' answers:</t>
          </r>
          <r>
            <rPr>
              <rFont val="Calibri"/>
              <sz val="10"/>
            </rPr>
            <t xml:space="preserve"> customer · csat · product · esef · client</t>
          </r>
        </is>
      </c>
      <c r="M45" s="9" t="inlineStr">
        <is>
          <r>
            <rPr>
              <rFont val="Calibri"/>
              <sz val="10"/>
            </rPr>
            <t xml:space="preserve">A domain or a small team
</t>
          </r>
          <r>
            <rPr>
              <rFont val="Calibri"/>
              <b val="1"/>
              <sz val="10"/>
            </rPr>
            <t>Common themes in sub-family holders, all levels' answers:</t>
          </r>
          <r>
            <rPr>
              <rFont val="Calibri"/>
              <sz val="10"/>
            </rPr>
            <t xml:space="preserve"> retention · renewals · sell · cross · invoicing · outstanding</t>
          </r>
        </is>
      </c>
      <c r="N45" s="9" t="inlineStr">
        <is>
          <r>
            <rPr>
              <rFont val="Calibri"/>
              <sz val="10"/>
            </rPr>
            <t xml:space="preserve">Technical / QC / client calls for the domain
</t>
          </r>
          <r>
            <rPr>
              <rFont val="Calibri"/>
              <b val="1"/>
              <sz val="10"/>
            </rPr>
            <t>Common themes in sub-family holders, all levels' answers:</t>
          </r>
          <r>
            <rPr>
              <rFont val="Calibri"/>
              <sz val="10"/>
            </rPr>
            <t xml:space="preserve"> trainings</t>
          </r>
        </is>
      </c>
      <c r="O45" s="9" t="inlineStr">
        <is>
          <t>—</t>
        </is>
      </c>
      <c r="P45" s="9" t="inlineStr">
        <is>
          <t>XBRL Domain · Communication</t>
        </is>
      </c>
      <c r="Q45" s="9" t="inlineStr">
        <is>
          <t>Hubspot · excel · Office 365</t>
        </is>
      </c>
      <c r="R45" s="9" t="inlineStr">
        <is>
          <t>A domain / module, or a small team</t>
        </is>
      </c>
      <c r="S45" s="9" t="inlineStr">
        <is>
          <t>Domain specialist work</t>
        </is>
      </c>
      <c r="T45" s="9" t="inlineStr">
        <is>
          <t>Technical / QC / client calls for the domain</t>
        </is>
      </c>
      <c r="U45" s="9" t="inlineStr">
        <is>
          <t>A domain or a small team</t>
        </is>
      </c>
      <c r="V45" s="9" t="inlineStr">
        <is>
          <r>
            <rPr>
              <rFont val="Calibri"/>
              <b val="1"/>
              <sz val="10"/>
            </rPr>
            <t>IC:</t>
          </r>
          <r>
            <rPr>
              <rFont val="Calibri"/>
              <sz val="10"/>
            </rPr>
            <t xml:space="preserve"> mentors and reviews · People: hands-on team lead of 3–5</t>
          </r>
        </is>
      </c>
      <c r="W45" s="9" t="inlineStr">
        <is>
          <t>4–7 yrs</t>
        </is>
      </c>
      <c r="X45" s="9" t="inlineStr">
        <is>
          <t>Graduate + relevant qualification or certification preferred</t>
        </is>
      </c>
      <c r="Y45" s="9" t="inlineStr">
        <is>
          <t>Internal product certification</t>
        </is>
      </c>
      <c r="Z45" s="9" t="inlineStr">
        <is>
          <r>
            <rPr>
              <rFont val="Calibri"/>
              <b val="1"/>
              <sz val="10"/>
            </rPr>
            <t>IC:</t>
          </r>
          <r>
            <rPr>
              <rFont val="Calibri"/>
              <sz val="10"/>
            </rPr>
            <t xml:space="preserve"> none · Team Lead: 3–5</t>
          </r>
        </is>
      </c>
      <c r="AA45" s="9" t="inlineStr">
        <is>
          <t>Core 3 · Future-ready 3 · Functional 3 · Leadership 1</t>
        </is>
      </c>
      <c r="AB45" s="9" t="inlineStr">
        <is>
          <t>Product, Platform &amp; Domain Knowledge · Stakeholder &amp; Client Management</t>
        </is>
      </c>
      <c r="AC45" s="9" t="inlineStr">
        <is>
          <t>Communication &amp; Presentation · Database, SQL &amp; Data Engineering · Regulatory &amp; BFSI Domain · Process Improvement &amp; Quality Mindset</t>
        </is>
      </c>
      <c r="AD45" s="8" t="inlineStr">
        <is>
          <t>P3 / M2</t>
        </is>
      </c>
      <c r="AE45" s="8" t="inlineStr">
        <is>
          <t>4 Enable</t>
        </is>
      </c>
      <c r="AF45" s="9" t="inlineStr">
        <is>
          <r>
            <rPr>
              <rFont val="Calibri"/>
              <b val="1"/>
              <sz val="10"/>
            </rPr>
            <t>Workiva:</t>
          </r>
          <r>
            <rPr>
              <rFont val="Calibri"/>
              <sz val="10"/>
            </rPr>
            <t xml:space="preserve"> Customer Success Manager · IRIS Vs Competitor Benchmark — SaaS customer-success ladder: CSM · IRIS Vs Competitor Benchmark — support tiers: L3 / Problem Analyst</t>
          </r>
        </is>
      </c>
      <c r="AG45" s="9" t="inlineStr">
        <is>
          <t>TSIA frameworks and benchmarks; ITIL 4 service desk; Gainsight customer-success practice</t>
        </is>
      </c>
      <c r="AH45" s="9" t="inlineStr">
        <is>
          <t>B2 · Senior Specialist</t>
        </is>
      </c>
      <c r="AI45" s="9" t="inlineStr">
        <is>
          <t>Leadership &amp; people management · AI / automation · Certification / formal course</t>
        </is>
      </c>
      <c r="AJ45" s="9" t="inlineStr">
        <is>
          <t>Customer success methods; communication &amp; de-escalation; Team work | Transition to leadership: people management &amp; delegation, mentoring/coaching, prioritisation under ambiguity, Customer Management, influence skills</t>
        </is>
      </c>
      <c r="AK45" s="9" t="inlineStr">
        <is>
          <t>Formal / classroom training · On-the-job / hands-on</t>
        </is>
      </c>
      <c r="AL45" s="9" t="inlineStr">
        <is>
          <t>process · approvals · internal · invoicing · clarity</t>
        </is>
      </c>
      <c r="AM45" s="9" t="inlineStr">
        <is>
          <t>ownership · sales · process · remove · activities</t>
        </is>
      </c>
      <c r="AN45" s="9" t="inlineStr">
        <is>
          <t>0 of 9 say the role is changing because of AI / automation</t>
        </is>
      </c>
      <c r="AO45" s="9" t="inlineStr">
        <is>
          <t>Enable sustained customer value and issue resolution. Includes: Adoption, product support and customer education. Excludes: Employee IT support; initial client implementation.</t>
        </is>
      </c>
      <c r="AP45" s="9" t="inlineStr">
        <is>
          <t>CS02-3 · Senior Customer Success Manager</t>
        </is>
      </c>
      <c r="AQ45" s="9" t="inlineStr">
        <is>
          <t>Own complex account outcomes and executive escalations.</t>
        </is>
      </c>
      <c r="AR45" s="9" t="inlineStr">
        <is>
          <t>Evidence of complex work, decisions and outcomes beyond routine delivery.</t>
        </is>
      </c>
      <c r="AS45" s="9" t="inlineStr">
        <is>
          <t>An account success plan with agreed outcomes, adoption evidence and managed renewal risks</t>
        </is>
      </c>
      <c r="AT45" s="9" t="inlineStr">
        <is>
          <r>
            <rPr>
              <rFont val="Calibri"/>
              <b val="1"/>
              <sz val="10"/>
            </rPr>
            <t>Workiva:</t>
          </r>
          <r>
            <rPr>
              <rFont val="Calibri"/>
              <sz val="10"/>
            </rPr>
            <t xml:space="preserve"> Customer Success Manager
</t>
          </r>
          <r>
            <rPr>
              <rFont val="Calibri"/>
              <b val="1"/>
              <sz val="10"/>
            </rPr>
            <t>Workiva:</t>
          </r>
          <r>
            <rPr>
              <rFont val="Calibri"/>
              <sz val="10"/>
            </rPr>
            <t xml:space="preserve"> Lead Customer Success Manager, Public Sector · Two selected titles. Gap: Different geographies and segments prevent a precise employer promotion mapping</t>
          </r>
        </is>
      </c>
      <c r="AU45" s="19" t="inlineStr">
        <is>
          <t>Framework + sub-family themes · 3+ answered</t>
        </is>
      </c>
      <c r="AV45" s="9" t="inlineStr">
        <is>
          <t>2 holders, 2 answered the survey; sub-family 9 answered</t>
        </is>
      </c>
    </row>
    <row r="46" ht="106" customHeight="1">
      <c r="A46" s="17" t="inlineStr">
        <is>
          <t>RC-036</t>
        </is>
      </c>
      <c r="B46" s="9" t="inlineStr">
        <is>
          <t>Customer Success &amp; Support</t>
        </is>
      </c>
      <c r="C46" s="9" t="inlineStr">
        <is>
          <t>Customer Success &amp; Account Management</t>
        </is>
      </c>
      <c r="D46" s="21" t="inlineStr">
        <is>
          <t>B2</t>
        </is>
      </c>
      <c r="E46" s="22" t="inlineStr">
        <is>
          <t>Senior Specialist</t>
        </is>
      </c>
      <c r="F46" s="9" t="inlineStr">
        <is>
          <t>IC</t>
        </is>
      </c>
      <c r="G46" s="9" t="inlineStr">
        <is>
          <t>Senior Customer Success Specialist · Senior Customer Success Specialist – POD Lead · Customer Success Specialist</t>
        </is>
      </c>
      <c r="H46" s="8" t="n">
        <v>5</v>
      </c>
      <c r="I46" s="9" t="inlineStr">
        <is>
          <t>CARBON 5</t>
        </is>
      </c>
      <c r="J46" s="9" t="inlineStr">
        <is>
          <r>
            <rPr>
              <rFont val="Calibri"/>
              <sz val="10"/>
            </rPr>
            <t xml:space="preserve">Owns client relationships after sale — hypercare, renewals, upsell, CSAT/NPS, delivery follow-through. At B2: deep domain expertise, or one team.
</t>
          </r>
          <r>
            <rPr>
              <rFont val="Calibri"/>
              <b val="1"/>
              <sz val="10"/>
            </rPr>
            <t>Common themes in role-holders' answers:</t>
          </r>
          <r>
            <rPr>
              <rFont val="Calibri"/>
              <sz val="10"/>
            </rPr>
            <t xml:space="preserve"> cross improve · upsell cross · nps follow · tech · improve nps · us market</t>
          </r>
        </is>
      </c>
      <c r="K46" s="9" t="inlineStr">
        <is>
          <r>
            <rPr>
              <rFont val="Calibri"/>
              <sz val="10"/>
            </rPr>
            <t xml:space="preserve">Owns client relationships after sale — hypercare, renewals, upsell, CSAT/NPS, delivery follow-through; Hardest problems in the domain; One team or a client portfolio
</t>
          </r>
          <r>
            <rPr>
              <rFont val="Calibri"/>
              <b val="1"/>
              <sz val="10"/>
            </rPr>
            <t>Common themes in role-holders' answers:</t>
          </r>
          <r>
            <rPr>
              <rFont val="Calibri"/>
              <sz val="10"/>
            </rPr>
            <t xml:space="preserve"> product · renewals · upsell · cross sell · update · testing</t>
          </r>
        </is>
      </c>
      <c r="L46" s="9" t="inlineStr">
        <is>
          <r>
            <rPr>
              <rFont val="Calibri"/>
              <sz val="10"/>
            </rPr>
            <t xml:space="preserve">One team or a client portfolio
</t>
          </r>
          <r>
            <rPr>
              <rFont val="Calibri"/>
              <b val="1"/>
              <sz val="10"/>
            </rPr>
            <t>Common themes in role-holders' answers:</t>
          </r>
          <r>
            <rPr>
              <rFont val="Calibri"/>
              <sz val="10"/>
            </rPr>
            <t xml:space="preserve"> client · customer</t>
          </r>
        </is>
      </c>
      <c r="M46" s="9" t="inlineStr">
        <is>
          <r>
            <rPr>
              <rFont val="Calibri"/>
              <sz val="10"/>
            </rPr>
            <t xml:space="preserve">One team or a client portfolio
</t>
          </r>
          <r>
            <rPr>
              <rFont val="Calibri"/>
              <b val="1"/>
              <sz val="10"/>
            </rPr>
            <t>Common themes in role-holders' answers:</t>
          </r>
          <r>
            <rPr>
              <rFont val="Calibri"/>
              <sz val="10"/>
            </rPr>
            <t xml:space="preserve"> retention · renewals · sell · cross · maintaining · invoicing</t>
          </r>
        </is>
      </c>
      <c r="N46" s="9" t="inlineStr">
        <is>
          <t>Allocates people and sets team priorities</t>
        </is>
      </c>
      <c r="O46" s="9" t="inlineStr">
        <is>
          <t>—</t>
        </is>
      </c>
      <c r="P46" s="9" t="inlineStr">
        <is>
          <t>XBRL Domain</t>
        </is>
      </c>
      <c r="Q46" s="9" t="inlineStr">
        <is>
          <t>Hubspot · excel</t>
        </is>
      </c>
      <c r="R46" s="9" t="inlineStr">
        <is>
          <t>Deep domain expertise, or one team</t>
        </is>
      </c>
      <c r="S46" s="9" t="inlineStr">
        <is>
          <t>Hardest problems in the domain</t>
        </is>
      </c>
      <c r="T46" s="9" t="inlineStr">
        <is>
          <t>Allocates people and sets team priorities</t>
        </is>
      </c>
      <c r="U46" s="9" t="inlineStr">
        <is>
          <t>One team or a client portfolio</t>
        </is>
      </c>
      <c r="V46" s="9" t="inlineStr">
        <is>
          <r>
            <rPr>
              <rFont val="Calibri"/>
              <b val="1"/>
              <sz val="10"/>
            </rPr>
            <t>IC:</t>
          </r>
          <r>
            <rPr>
              <rFont val="Calibri"/>
              <sz val="10"/>
            </rPr>
            <t xml:space="preserve"> guides others in the domain · People: manages a team of 6+</t>
          </r>
        </is>
      </c>
      <c r="W46" s="9" t="inlineStr">
        <is>
          <t>6–9 yrs</t>
        </is>
      </c>
      <c r="X46" s="9" t="inlineStr">
        <is>
          <t>Graduate or postgraduate; professional qualification preferred</t>
        </is>
      </c>
      <c r="Y46" s="9" t="inlineStr">
        <is>
          <t>Internal product certification</t>
        </is>
      </c>
      <c r="Z46" s="9" t="inlineStr">
        <is>
          <r>
            <rPr>
              <rFont val="Calibri"/>
              <b val="1"/>
              <sz val="10"/>
            </rPr>
            <t>IC:</t>
          </r>
          <r>
            <rPr>
              <rFont val="Calibri"/>
              <sz val="10"/>
            </rPr>
            <t xml:space="preserve"> none · People: 6–8 knowledge work, 8–12 standardised delivery</t>
          </r>
        </is>
      </c>
      <c r="AA46" s="9" t="inlineStr">
        <is>
          <t>Core 3 · Future-ready 3 · Functional 4 · Leadership 2</t>
        </is>
      </c>
      <c r="AB46" s="9" t="inlineStr">
        <is>
          <t>Product, Platform &amp; Domain Knowledge · Stakeholder &amp; Client Management</t>
        </is>
      </c>
      <c r="AC46" s="9" t="inlineStr">
        <is>
          <t>Communication &amp; Presentation · Database, SQL &amp; Data Engineering · Regulatory &amp; BFSI Domain · Process Improvement &amp; Quality Mindset</t>
        </is>
      </c>
      <c r="AD46" s="8" t="inlineStr">
        <is>
          <t>P4 / M3</t>
        </is>
      </c>
      <c r="AE46" s="8" t="inlineStr">
        <is>
          <t>4–5</t>
        </is>
      </c>
      <c r="AF46" s="9" t="inlineStr">
        <is>
          <r>
            <rPr>
              <rFont val="Calibri"/>
              <b val="1"/>
              <sz val="10"/>
            </rPr>
            <t>Workiva:</t>
          </r>
          <r>
            <rPr>
              <rFont val="Calibri"/>
              <sz val="10"/>
            </rPr>
            <t xml:space="preserve"> Product Success Manager · IRIS Vs Competitor Benchmark — SaaS customer-success ladder: Senior CSM · IRIS Vs Competitor Benchmark — support tiers: Support Team Manager</t>
          </r>
        </is>
      </c>
      <c r="AG46" s="9" t="inlineStr">
        <is>
          <t>TSIA frameworks and benchmarks; ITIL 4 service desk; Gainsight customer-success practice</t>
        </is>
      </c>
      <c r="AH46" s="9" t="inlineStr">
        <is>
          <t>B3 · Lead Specialist</t>
        </is>
      </c>
      <c r="AI46" s="9" t="inlineStr">
        <is>
          <t>Data, SQL &amp; analytics · Communication &amp; presentation · Client, sales &amp; stakeholders · Project / programme management · Product &amp; tool knowledge</t>
        </is>
      </c>
      <c r="AJ46" s="9" t="inlineStr">
        <is>
          <t>practices · accuracy · quality · communication · refreshers</t>
        </is>
      </c>
      <c r="AK46" s="9" t="inlineStr">
        <is>
          <t>Formal / classroom training</t>
        </is>
      </c>
      <c r="AL46" s="9" t="inlineStr">
        <is>
          <t>approval · process · clarity</t>
        </is>
      </c>
      <c r="AM46" s="9" t="inlineStr">
        <is>
          <t>ownership · sales</t>
        </is>
      </c>
      <c r="AN46" s="9" t="inlineStr">
        <is>
          <t>0 of 5 say the role is changing because of AI / automation</t>
        </is>
      </c>
      <c r="AO46" s="9" t="inlineStr">
        <is>
          <t>Enable sustained customer value and issue resolution. Includes: Adoption, product support and customer education. Excludes: Employee IT support; initial client implementation.</t>
        </is>
      </c>
      <c r="AP46" s="9" t="inlineStr">
        <is>
          <t>CS02-3 · Senior Customer Success Manager</t>
        </is>
      </c>
      <c r="AQ46" s="9" t="inlineStr">
        <is>
          <t>Own complex account outcomes and executive escalations.</t>
        </is>
      </c>
      <c r="AR46" s="9" t="inlineStr">
        <is>
          <t>Evidence of complex work, decisions and outcomes beyond routine delivery.</t>
        </is>
      </c>
      <c r="AS46" s="9" t="inlineStr">
        <is>
          <t>An account success plan with agreed outcomes, adoption evidence and managed renewal risks</t>
        </is>
      </c>
      <c r="AT46" s="9" t="inlineStr">
        <is>
          <r>
            <rPr>
              <rFont val="Calibri"/>
              <b val="1"/>
              <sz val="10"/>
            </rPr>
            <t>Workiva:</t>
          </r>
          <r>
            <rPr>
              <rFont val="Calibri"/>
              <sz val="10"/>
            </rPr>
            <t xml:space="preserve"> Customer Success Manager
</t>
          </r>
          <r>
            <rPr>
              <rFont val="Calibri"/>
              <b val="1"/>
              <sz val="10"/>
            </rPr>
            <t>Workiva:</t>
          </r>
          <r>
            <rPr>
              <rFont val="Calibri"/>
              <sz val="10"/>
            </rPr>
            <t xml:space="preserve"> Lead Customer Success Manager, Public Sector · Two selected titles. Gap: Different geographies and segments prevent a precise employer promotion mapping</t>
          </r>
        </is>
      </c>
      <c r="AU46" s="22" t="inlineStr">
        <is>
          <t>Framework + role-holders' themes · 3+ answered</t>
        </is>
      </c>
      <c r="AV46" s="9" t="inlineStr">
        <is>
          <t>5 holders, 5 answered the survey; sub-family 9 answered</t>
        </is>
      </c>
    </row>
    <row r="47" ht="158" customHeight="1">
      <c r="A47" s="17" t="inlineStr">
        <is>
          <t>RC-037</t>
        </is>
      </c>
      <c r="B47" s="9" t="inlineStr">
        <is>
          <t>Customer Success &amp; Support</t>
        </is>
      </c>
      <c r="C47" s="9" t="inlineStr">
        <is>
          <t>Customer Success &amp; Account Management</t>
        </is>
      </c>
      <c r="D47" s="39" t="inlineStr">
        <is>
          <t>X1</t>
        </is>
      </c>
      <c r="E47" s="40" t="inlineStr">
        <is>
          <t>Associate Consultant</t>
        </is>
      </c>
      <c r="F47" s="9" t="inlineStr">
        <is>
          <t>IC</t>
        </is>
      </c>
      <c r="G47" s="9" t="inlineStr">
        <is>
          <t>Associate Consultant – Customer Success &amp; Account Management</t>
        </is>
      </c>
      <c r="H47" s="8" t="n">
        <v>1</v>
      </c>
      <c r="I47" s="9" t="inlineStr">
        <is>
          <t>CARBON 1</t>
        </is>
      </c>
      <c r="J47" s="9" t="inlineStr">
        <is>
          <r>
            <rPr>
              <rFont val="Calibri"/>
              <sz val="10"/>
            </rPr>
            <t xml:space="preserve">Owns client relationships after sale — hypercare, renewals, upsell, CSAT/NPS, delivery follow-through. At X1: defined deliverables under a statement of work · ≈ A2–A3.
</t>
          </r>
          <r>
            <rPr>
              <rFont val="Calibri"/>
              <b val="1"/>
              <sz val="10"/>
            </rPr>
            <t>Common themes in sub-family holders, all levels' answers:</t>
          </r>
          <r>
            <rPr>
              <rFont val="Calibri"/>
              <sz val="10"/>
            </rPr>
            <t xml:space="preserve"> cross improve · upsell cross · nps follow · tech · improve nps · us market</t>
          </r>
        </is>
      </c>
      <c r="K47" s="9" t="inlineStr">
        <is>
          <r>
            <rPr>
              <rFont val="Calibri"/>
              <sz val="10"/>
            </rPr>
            <t xml:space="preserve">Owns client relationships after sale — hypercare, renewals, upsell, CSAT/NPS, delivery follow-through
</t>
          </r>
          <r>
            <rPr>
              <rFont val="Calibri"/>
              <b val="1"/>
              <sz val="10"/>
            </rPr>
            <t>Common themes in sub-family holders, all levels' answers:</t>
          </r>
          <r>
            <rPr>
              <rFont val="Calibri"/>
              <sz val="10"/>
            </rPr>
            <t xml:space="preserve"> product · renewals · testing · upsell · cross sell · training</t>
          </r>
        </is>
      </c>
      <c r="L47" s="9" t="inlineStr">
        <is>
          <r>
            <rPr>
              <rFont val="Calibri"/>
              <sz val="10"/>
            </rPr>
            <t xml:space="preserve">Owns client relationships after sale — hypercare, renewals, upsell, CSAT/NPS, delivery follow-through.
</t>
          </r>
          <r>
            <rPr>
              <rFont val="Calibri"/>
              <b val="1"/>
              <sz val="10"/>
            </rPr>
            <t>Common themes in sub-family holders, all levels' answers:</t>
          </r>
          <r>
            <rPr>
              <rFont val="Calibri"/>
              <sz val="10"/>
            </rPr>
            <t xml:space="preserve"> customer · csat · product · esef · client</t>
          </r>
        </is>
      </c>
      <c r="M47" s="9" t="inlineStr">
        <is>
          <r>
            <rPr>
              <rFont val="Calibri"/>
              <sz val="10"/>
            </rPr>
            <t xml:space="preserve">Deliverables under the statement of work
</t>
          </r>
          <r>
            <rPr>
              <rFont val="Calibri"/>
              <b val="1"/>
              <sz val="10"/>
            </rPr>
            <t>Common themes in sub-family holders, all levels' answers:</t>
          </r>
          <r>
            <rPr>
              <rFont val="Calibri"/>
              <sz val="10"/>
            </rPr>
            <t xml:space="preserve"> retention · renewals · sell · cross · invoicing · outstanding</t>
          </r>
        </is>
      </c>
      <c r="N47" s="9" t="inlineStr">
        <is>
          <r>
            <rPr>
              <rFont val="Calibri"/>
              <sz val="10"/>
            </rPr>
            <t xml:space="preserve">Within the statement of work
</t>
          </r>
          <r>
            <rPr>
              <rFont val="Calibri"/>
              <b val="1"/>
              <sz val="10"/>
            </rPr>
            <t>Common themes in sub-family holders, all levels' answers:</t>
          </r>
          <r>
            <rPr>
              <rFont val="Calibri"/>
              <sz val="10"/>
            </rPr>
            <t xml:space="preserve"> trainings</t>
          </r>
        </is>
      </c>
      <c r="O47" s="9" t="inlineStr">
        <is>
          <t>—</t>
        </is>
      </c>
      <c r="P47" s="9" t="inlineStr">
        <is>
          <t>XBRL Domain · Communication</t>
        </is>
      </c>
      <c r="Q47" s="9" t="inlineStr">
        <is>
          <t>Hubspot · excel · Office 365</t>
        </is>
      </c>
      <c r="R47" s="9" t="inlineStr">
        <is>
          <t>Defined deliverables under a statement of work · ≈ A2–A3</t>
        </is>
      </c>
      <c r="S47" s="9" t="inlineStr">
        <is>
          <t>—</t>
        </is>
      </c>
      <c r="T47" s="9" t="inlineStr">
        <is>
          <t>—</t>
        </is>
      </c>
      <c r="U47" s="9" t="inlineStr">
        <is>
          <t>—</t>
        </is>
      </c>
      <c r="V47" s="9" t="inlineStr">
        <is>
          <t>—</t>
        </is>
      </c>
      <c r="W47" s="9" t="inlineStr">
        <is>
          <t>0–5 yrs</t>
        </is>
      </c>
      <c r="X47" s="9" t="inlineStr">
        <is>
          <t>As for equivalent role</t>
        </is>
      </c>
      <c r="Y47" s="9" t="inlineStr">
        <is>
          <t>Internal product certification</t>
        </is>
      </c>
      <c r="Z47" s="9" t="inlineStr">
        <is>
          <t>Not counted in spans</t>
        </is>
      </c>
      <c r="AA47" s="9" t="inlineStr">
        <is>
          <t>Per statement of work</t>
        </is>
      </c>
      <c r="AB47" s="9" t="inlineStr">
        <is>
          <t>Product, Platform &amp; Domain Knowledge · Stakeholder &amp; Client Management</t>
        </is>
      </c>
      <c r="AC47" s="9" t="inlineStr">
        <is>
          <t>Communication &amp; Presentation · Database, SQL &amp; Data Engineering · Regulatory &amp; BFSI Domain · Process Improvement &amp; Quality Mindset</t>
        </is>
      </c>
      <c r="AD47" s="8" t="inlineStr">
        <is>
          <t>Contractor</t>
        </is>
      </c>
      <c r="AE47" s="8" t="inlineStr">
        <is>
          <t>—</t>
        </is>
      </c>
      <c r="AF47" s="9" t="inlineStr">
        <is>
          <t>—</t>
        </is>
      </c>
      <c r="AG47" s="9" t="inlineStr">
        <is>
          <t>TSIA frameworks and benchmarks; ITIL 4 service desk; Gainsight customer-success practice</t>
        </is>
      </c>
      <c r="AH47" s="9" t="inlineStr">
        <is>
          <t>—</t>
        </is>
      </c>
      <c r="AI47" s="9" t="inlineStr">
        <is>
          <t>—</t>
        </is>
      </c>
      <c r="AJ47" s="9" t="inlineStr">
        <is>
          <t>XBRL taxonomy &amp; regulatory updates; domain/accounting refreshers; quality &amp; accuracy practices; tooling proficiency | Transition to leadership: people management &amp; delegation, mentoring/coaching, project ownership &amp; stakeholder management, prioritisation under ambiguity, presentation &amp; influence skills</t>
        </is>
      </c>
      <c r="AK47" s="9" t="inlineStr">
        <is>
          <t>Formal / classroom training · On-the-job / hands-on</t>
        </is>
      </c>
      <c r="AL47" s="9" t="inlineStr">
        <is>
          <t>process · approvals · internal · invoicing · clarity</t>
        </is>
      </c>
      <c r="AM47" s="9" t="inlineStr">
        <is>
          <t>ownership · sales · process · remove · activities</t>
        </is>
      </c>
      <c r="AN47" s="9" t="inlineStr">
        <is>
          <t>0 of 9 say the role is changing because of AI / automation</t>
        </is>
      </c>
      <c r="AO47" s="9" t="inlineStr">
        <is>
          <t>Enable sustained customer value and issue resolution. Includes: Adoption, product support and customer education. Excludes: Employee IT support; initial client implementation.</t>
        </is>
      </c>
      <c r="AP47" s="9" t="inlineStr">
        <is>
          <t>—</t>
        </is>
      </c>
      <c r="AQ47" s="9" t="inlineStr">
        <is>
          <t>—</t>
        </is>
      </c>
      <c r="AR47" s="9" t="inlineStr">
        <is>
          <t>—</t>
        </is>
      </c>
      <c r="AS47" s="9" t="inlineStr">
        <is>
          <t>—</t>
        </is>
      </c>
      <c r="AT47" s="9" t="inlineStr">
        <is>
          <t>—</t>
        </is>
      </c>
      <c r="AU47" s="19" t="inlineStr">
        <is>
          <t>Framework + sub-family themes · 3+ answered</t>
        </is>
      </c>
      <c r="AV47" s="9" t="inlineStr">
        <is>
          <t>1 holder, 0 answered the survey; sub-family 9 answered</t>
        </is>
      </c>
    </row>
    <row r="48" ht="184" customHeight="1">
      <c r="A48" s="17" t="inlineStr">
        <is>
          <t>RC-038</t>
        </is>
      </c>
      <c r="B48" s="9" t="inlineStr">
        <is>
          <t>Customer Success &amp; Support</t>
        </is>
      </c>
      <c r="C48" s="9" t="inlineStr">
        <is>
          <t>Customer Success Leadership</t>
        </is>
      </c>
      <c r="D48" s="27" t="inlineStr">
        <is>
          <t>C1</t>
        </is>
      </c>
      <c r="E48" s="28" t="inlineStr">
        <is>
          <t>Associate Head</t>
        </is>
      </c>
      <c r="F48" s="9" t="inlineStr">
        <is>
          <t>Manager</t>
        </is>
      </c>
      <c r="G48" s="9" t="inlineStr">
        <is>
          <t>Associate Head – Customer Success</t>
        </is>
      </c>
      <c r="H48" s="8" t="n">
        <v>1</v>
      </c>
      <c r="I48" s="9" t="inlineStr">
        <is>
          <t>CARBON 1</t>
        </is>
      </c>
      <c r="J48" s="9" t="inlineStr">
        <is>
          <t>Leads the customer success &amp; support function. At C1: a sub-function, or principal authority across products.</t>
        </is>
      </c>
      <c r="K48" s="9" t="inlineStr">
        <is>
          <t>Leads the customer success &amp; support function; Ambiguous, cross-product problems; Sub-function results or domain quality across products</t>
        </is>
      </c>
      <c r="L48" s="9" t="inlineStr">
        <is>
          <t>Sub-function results or domain quality across products</t>
        </is>
      </c>
      <c r="M48" s="9" t="inlineStr">
        <is>
          <t>Sub-function results or domain quality across products</t>
        </is>
      </c>
      <c r="N48" s="9" t="inlineStr">
        <is>
          <t>Sets direction for a sub-function or domain</t>
        </is>
      </c>
      <c r="O48" s="9" t="inlineStr">
        <is>
          <t>—</t>
        </is>
      </c>
      <c r="P48" s="9" t="inlineStr">
        <is>
          <t>—</t>
        </is>
      </c>
      <c r="Q48" s="9" t="inlineStr">
        <is>
          <t>—</t>
        </is>
      </c>
      <c r="R48" s="9" t="inlineStr">
        <is>
          <t>A sub-function, or principal authority across products</t>
        </is>
      </c>
      <c r="S48" s="9" t="inlineStr">
        <is>
          <t>Ambiguous, cross-product problems</t>
        </is>
      </c>
      <c r="T48" s="9" t="inlineStr">
        <is>
          <t>Sets direction for a sub-function or domain</t>
        </is>
      </c>
      <c r="U48" s="9" t="inlineStr">
        <is>
          <t>Sub-function results or domain quality across products</t>
        </is>
      </c>
      <c r="V48" s="9" t="inlineStr">
        <is>
          <t>Leads managers or a community of practice</t>
        </is>
      </c>
      <c r="W48" s="9" t="inlineStr">
        <is>
          <t>10–14 yrs</t>
        </is>
      </c>
      <c r="X48" s="9" t="inlineStr">
        <is>
          <t>Postgraduate / professional qualification preferred</t>
        </is>
      </c>
      <c r="Y48" s="9" t="inlineStr">
        <is>
          <t>Internal product certification</t>
        </is>
      </c>
      <c r="Z48" s="9" t="inlineStr">
        <is>
          <t>5–8, mostly managers</t>
        </is>
      </c>
      <c r="AA48" s="9" t="inlineStr">
        <is>
          <t>Core 4 · Future-ready 4 · Functional 4 · Leadership 4</t>
        </is>
      </c>
      <c r="AB48" s="9" t="inlineStr">
        <is>
          <t>Product, Platform &amp; Domain Knowledge · Stakeholder &amp; Client Management</t>
        </is>
      </c>
      <c r="AC48" s="9" t="inlineStr">
        <is>
          <t>Communication &amp; Presentation · Database, SQL &amp; Data Engineering · Regulatory &amp; BFSI Domain · Process Improvement &amp; Quality Mindset</t>
        </is>
      </c>
      <c r="AD48" s="8" t="inlineStr">
        <is>
          <t>P6 / M5</t>
        </is>
      </c>
      <c r="AE48" s="8" t="inlineStr">
        <is>
          <t>5–6</t>
        </is>
      </c>
      <c r="AF48" s="9" t="inlineStr">
        <is>
          <t>IRIS Vs Competitor Benchmark — SaaS customer-success ladder: Senior Manager CS</t>
        </is>
      </c>
      <c r="AG48" s="9" t="inlineStr">
        <is>
          <t>TSIA frameworks and benchmarks; ITIL 4 service desk; Gainsight customer-success practice</t>
        </is>
      </c>
      <c r="AH48" s="9" t="inlineStr">
        <is>
          <t>C2 · Senior Principal / Architect</t>
        </is>
      </c>
      <c r="AI48" s="9" t="inlineStr">
        <is>
          <t>—</t>
        </is>
      </c>
      <c r="AJ48" s="9" t="inlineStr">
        <is>
          <t>XBRL taxonomy &amp; regulatory updates; domain/accounting refreshers; quality &amp; accuracy practices; tooling proficiency | People management: goal-setting &amp; feedback, 1:1 coaching, performance conversations | Leadership development: strategic thinking, cross-functional influence, financial/business acumen, succession &amp; talent development, change management, executive communication</t>
        </is>
      </c>
      <c r="AK48" s="9" t="inlineStr">
        <is>
          <t>—</t>
        </is>
      </c>
      <c r="AL48" s="9" t="inlineStr">
        <is>
          <t>—</t>
        </is>
      </c>
      <c r="AM48" s="9" t="inlineStr">
        <is>
          <t>—</t>
        </is>
      </c>
      <c r="AN48" s="9" t="inlineStr">
        <is>
          <t>—</t>
        </is>
      </c>
      <c r="AO48" s="9" t="inlineStr">
        <is>
          <t>Enable sustained customer value and issue resolution. Includes: Adoption, product support and customer education. Excludes: Employee IT support; initial client implementation.</t>
        </is>
      </c>
      <c r="AP48" s="9" t="inlineStr">
        <is>
          <t>LD07-2 · Head / VP of Customer Experience</t>
        </is>
      </c>
      <c r="AQ48" s="9" t="inlineStr">
        <is>
          <t>Own integrated function strategy, capacity, controls and cross-team trade-offs</t>
        </is>
      </c>
      <c r="AR48" s="9" t="inlineStr">
        <is>
          <t>Do not manufacture three reporting layers. Choose roles the organisation needs. A specialist may remain on an equally valued expert path.</t>
        </is>
      </c>
      <c r="AS48" s="9" t="inlineStr">
        <is>
          <t>—</t>
        </is>
      </c>
      <c r="AT48" s="9" t="inlineStr">
        <is>
          <t>—</t>
        </is>
      </c>
      <c r="AU48" s="57" t="inlineStr">
        <is>
          <t>Framework only · fewer than 3 answered</t>
        </is>
      </c>
      <c r="AV48" s="9" t="inlineStr">
        <is>
          <t>1 holder, 0 answered the survey; sub-family 0 answered</t>
        </is>
      </c>
    </row>
    <row r="49" ht="67" customHeight="1">
      <c r="A49" s="17" t="inlineStr">
        <is>
          <t>RC-039</t>
        </is>
      </c>
      <c r="B49" s="9" t="inlineStr">
        <is>
          <t>Customer Success &amp; Support</t>
        </is>
      </c>
      <c r="C49" s="9" t="inlineStr">
        <is>
          <t>Customer Training &amp; Enablement</t>
        </is>
      </c>
      <c r="D49" s="21" t="inlineStr">
        <is>
          <t>B1</t>
        </is>
      </c>
      <c r="E49" s="22" t="inlineStr">
        <is>
          <t>Specialist</t>
        </is>
      </c>
      <c r="F49" s="9" t="inlineStr">
        <is>
          <t>IC</t>
        </is>
      </c>
      <c r="G49" s="9" t="inlineStr">
        <is>
          <t>Customer Enablement Specialist – POD Lead</t>
        </is>
      </c>
      <c r="H49" s="8" t="n">
        <v>1</v>
      </c>
      <c r="I49" s="9" t="inlineStr">
        <is>
          <t>CARBON 1</t>
        </is>
      </c>
      <c r="J49" s="9" t="inlineStr">
        <is>
          <t>Trains clients and drives product adoption. At B1: a domain / module, or a small team.</t>
        </is>
      </c>
      <c r="K49" s="9" t="inlineStr">
        <is>
          <t>Trains clients and drives product adoption; Domain specialist work; A domain or a small team</t>
        </is>
      </c>
      <c r="L49" s="9" t="inlineStr">
        <is>
          <t>A domain or a small team</t>
        </is>
      </c>
      <c r="M49" s="9" t="inlineStr">
        <is>
          <t>A domain or a small team</t>
        </is>
      </c>
      <c r="N49" s="9" t="inlineStr">
        <is>
          <t>Technical / QC / client calls for the domain</t>
        </is>
      </c>
      <c r="O49" s="9" t="inlineStr">
        <is>
          <t>—</t>
        </is>
      </c>
      <c r="P49" s="9" t="inlineStr">
        <is>
          <t>—</t>
        </is>
      </c>
      <c r="Q49" s="9" t="inlineStr">
        <is>
          <t>—</t>
        </is>
      </c>
      <c r="R49" s="9" t="inlineStr">
        <is>
          <t>A domain / module, or a small team</t>
        </is>
      </c>
      <c r="S49" s="9" t="inlineStr">
        <is>
          <t>Domain specialist work</t>
        </is>
      </c>
      <c r="T49" s="9" t="inlineStr">
        <is>
          <t>Technical / QC / client calls for the domain</t>
        </is>
      </c>
      <c r="U49" s="9" t="inlineStr">
        <is>
          <t>A domain or a small team</t>
        </is>
      </c>
      <c r="V49" s="9" t="inlineStr">
        <is>
          <r>
            <rPr>
              <rFont val="Calibri"/>
              <b val="1"/>
              <sz val="10"/>
            </rPr>
            <t>IC:</t>
          </r>
          <r>
            <rPr>
              <rFont val="Calibri"/>
              <sz val="10"/>
            </rPr>
            <t xml:space="preserve"> mentors and reviews · People: hands-on team lead of 3–5</t>
          </r>
        </is>
      </c>
      <c r="W49" s="9" t="inlineStr">
        <is>
          <t>4–7 yrs</t>
        </is>
      </c>
      <c r="X49" s="9" t="inlineStr">
        <is>
          <t>Graduate + relevant qualification or certification preferred</t>
        </is>
      </c>
      <c r="Y49" s="9" t="inlineStr">
        <is>
          <t>Internal product certification</t>
        </is>
      </c>
      <c r="Z49" s="9" t="inlineStr">
        <is>
          <r>
            <rPr>
              <rFont val="Calibri"/>
              <b val="1"/>
              <sz val="10"/>
            </rPr>
            <t>IC:</t>
          </r>
          <r>
            <rPr>
              <rFont val="Calibri"/>
              <sz val="10"/>
            </rPr>
            <t xml:space="preserve"> none · Team Lead: 3–5</t>
          </r>
        </is>
      </c>
      <c r="AA49" s="9" t="inlineStr">
        <is>
          <t>Core 3 · Future-ready 3 · Functional 3 · Leadership 1</t>
        </is>
      </c>
      <c r="AB49" s="9" t="inlineStr">
        <is>
          <t>Product, Platform &amp; Domain Knowledge · Stakeholder &amp; Client Management</t>
        </is>
      </c>
      <c r="AC49" s="9" t="inlineStr">
        <is>
          <t>Communication &amp; Presentation · Database, SQL &amp; Data Engineering · Regulatory &amp; BFSI Domain · Process Improvement &amp; Quality Mindset</t>
        </is>
      </c>
      <c r="AD49" s="8" t="inlineStr">
        <is>
          <t>P3 / M2</t>
        </is>
      </c>
      <c r="AE49" s="8" t="inlineStr">
        <is>
          <t>4 Enable</t>
        </is>
      </c>
      <c r="AF49" s="9" t="inlineStr">
        <is>
          <r>
            <rPr>
              <rFont val="Calibri"/>
              <b val="1"/>
              <sz val="10"/>
            </rPr>
            <t>Workiva:</t>
          </r>
          <r>
            <rPr>
              <rFont val="Calibri"/>
              <sz val="10"/>
            </rPr>
            <t xml:space="preserve"> Customer Success Manager · IRIS Vs Competitor Benchmark — SaaS customer-success ladder: CSM · IRIS Vs Competitor Benchmark — support tiers: L3 / Problem Analyst</t>
          </r>
        </is>
      </c>
      <c r="AG49" s="9" t="inlineStr">
        <is>
          <t>TSIA frameworks and benchmarks; ITIL 4 service desk; Gainsight customer-success practice</t>
        </is>
      </c>
      <c r="AH49" s="9" t="inlineStr">
        <is>
          <t>B2 · Senior Specialist</t>
        </is>
      </c>
      <c r="AI49" s="9" t="inlineStr">
        <is>
          <t>AI / automation · Leadership &amp; people management · Project / programme management</t>
        </is>
      </c>
      <c r="AJ49" s="9" t="inlineStr">
        <is>
          <t>—</t>
        </is>
      </c>
      <c r="AK49" s="9" t="inlineStr">
        <is>
          <t>—</t>
        </is>
      </c>
      <c r="AL49" s="9" t="inlineStr">
        <is>
          <t>—</t>
        </is>
      </c>
      <c r="AM49" s="9" t="inlineStr">
        <is>
          <t>—</t>
        </is>
      </c>
      <c r="AN49" s="9" t="inlineStr">
        <is>
          <t>—</t>
        </is>
      </c>
      <c r="AO49" s="9" t="inlineStr">
        <is>
          <t>Enable sustained customer value and issue resolution. Includes: Adoption, product support and customer education. Excludes: Employee IT support; initial client implementation.</t>
        </is>
      </c>
      <c r="AP49" s="9" t="inlineStr">
        <is>
          <t>CS03-3 · Senior Customer Education Specialist</t>
        </is>
      </c>
      <c r="AQ49" s="9" t="inlineStr">
        <is>
          <t>Own a curriculum and evaluate customer application and readiness.</t>
        </is>
      </c>
      <c r="AR49" s="9" t="inlineStr">
        <is>
          <t>Evidence of complex work, decisions and outcomes beyond routine delivery.</t>
        </is>
      </c>
      <c r="AS49" s="9" t="inlineStr">
        <is>
          <t>A customer learning intervention with application evidence and measured readiness</t>
        </is>
      </c>
      <c r="AT49" s="9" t="inlineStr">
        <is>
          <r>
            <rPr>
              <rFont val="Calibri"/>
              <b val="1"/>
              <sz val="10"/>
            </rPr>
            <t>Workiva:</t>
          </r>
          <r>
            <rPr>
              <rFont val="Calibri"/>
              <sz val="10"/>
            </rPr>
            <t xml:space="preserve"> VP of Customer Experience · Function-level evidence. Gap: Peer executive owns customer education; individual education levels remain proposed</t>
          </r>
        </is>
      </c>
      <c r="AU49" s="57" t="inlineStr">
        <is>
          <t>Framework only · fewer than 3 answered</t>
        </is>
      </c>
      <c r="AV49" s="9" t="inlineStr">
        <is>
          <t>1 holder, 1 answered the survey; sub-family 1 answered</t>
        </is>
      </c>
    </row>
    <row r="50">
      <c r="A50" s="94" t="inlineStr">
        <is>
          <t>Data &amp; Analytics — 5 roles · 11 people</t>
        </is>
      </c>
    </row>
    <row r="51" ht="106" customHeight="1">
      <c r="A51" s="17" t="inlineStr">
        <is>
          <t>RC-040</t>
        </is>
      </c>
      <c r="B51" s="9" t="inlineStr">
        <is>
          <t>Data &amp; Analytics</t>
        </is>
      </c>
      <c r="C51" s="9" t="inlineStr">
        <is>
          <t>Financial Data Processing</t>
        </is>
      </c>
      <c r="D51" s="18" t="inlineStr">
        <is>
          <t>A3</t>
        </is>
      </c>
      <c r="E51" s="19" t="inlineStr">
        <is>
          <t>Senior Associate</t>
        </is>
      </c>
      <c r="F51" s="9" t="inlineStr">
        <is>
          <t>IC</t>
        </is>
      </c>
      <c r="G51" s="9" t="inlineStr">
        <is>
          <t>Senior Data Analyst</t>
        </is>
      </c>
      <c r="H51" s="8" t="n">
        <v>7</v>
      </c>
      <c r="I51" s="9" t="inlineStr">
        <is>
          <t>Consume 7</t>
        </is>
      </c>
      <c r="J51" s="9" t="inlineStr">
        <is>
          <r>
            <rPr>
              <rFont val="Calibri"/>
              <sz val="10"/>
            </rPr>
            <t xml:space="preserve">Processes and delivers mutual-fund, scheme and capital-market data feeds and reports. At A3: varied work; reviews juniors; go-to for a process.
</t>
          </r>
          <r>
            <rPr>
              <rFont val="Calibri"/>
              <b val="1"/>
              <sz val="10"/>
            </rPr>
            <t>Common themes in role-holders' answers:</t>
          </r>
          <r>
            <rPr>
              <rFont val="Calibri"/>
              <sz val="10"/>
            </rPr>
            <t xml:space="preserve"> data · mutual fund · update · analyzing · responsible · accurate</t>
          </r>
        </is>
      </c>
      <c r="K51" s="9" t="inlineStr">
        <is>
          <r>
            <rPr>
              <rFont val="Calibri"/>
              <sz val="10"/>
            </rPr>
            <t xml:space="preserve">Processes and delivers mutual-fund, scheme and capital-market data feeds and reports; Varied and non-standard work; handles exceptions; A module / process, or work with client or regulatory consequences
</t>
          </r>
          <r>
            <rPr>
              <rFont val="Calibri"/>
              <b val="1"/>
              <sz val="10"/>
            </rPr>
            <t>Common themes in role-holders' answers:</t>
          </r>
          <r>
            <rPr>
              <rFont val="Calibri"/>
              <sz val="10"/>
            </rPr>
            <t xml:space="preserve"> data · client · accuracy · delivery · time · market</t>
          </r>
        </is>
      </c>
      <c r="L51" s="9" t="inlineStr">
        <is>
          <r>
            <rPr>
              <rFont val="Calibri"/>
              <sz val="10"/>
            </rPr>
            <t xml:space="preserve">A module / process, or work with client or regulatory consequences
</t>
          </r>
          <r>
            <rPr>
              <rFont val="Calibri"/>
              <b val="1"/>
              <sz val="10"/>
            </rPr>
            <t>Common themes in role-holders' answers:</t>
          </r>
          <r>
            <rPr>
              <rFont val="Calibri"/>
              <sz val="10"/>
            </rPr>
            <t xml:space="preserve"> mutual fund · client · delivery</t>
          </r>
        </is>
      </c>
      <c r="M51" s="9" t="inlineStr">
        <is>
          <r>
            <rPr>
              <rFont val="Calibri"/>
              <sz val="10"/>
            </rPr>
            <t xml:space="preserve">A module / process, or work with client or regulatory consequences
</t>
          </r>
          <r>
            <rPr>
              <rFont val="Calibri"/>
              <b val="1"/>
              <sz val="10"/>
            </rPr>
            <t>Common themes in role-holders' answers:</t>
          </r>
          <r>
            <rPr>
              <rFont val="Calibri"/>
              <sz val="10"/>
            </rPr>
            <t xml:space="preserve"> client · data · am · delivery · duties · responsible</t>
          </r>
        </is>
      </c>
      <c r="N51" s="9" t="inlineStr">
        <is>
          <r>
            <rPr>
              <rFont val="Calibri"/>
              <sz val="10"/>
            </rPr>
            <t xml:space="preserve">Technical / QC / client calls on own work
</t>
          </r>
          <r>
            <rPr>
              <rFont val="Calibri"/>
              <b val="1"/>
              <sz val="10"/>
            </rPr>
            <t>Common themes in role-holders' answers:</t>
          </r>
          <r>
            <rPr>
              <rFont val="Calibri"/>
              <sz val="10"/>
            </rPr>
            <t xml:space="preserve"> data · independently</t>
          </r>
        </is>
      </c>
      <c r="O51" s="9" t="inlineStr">
        <is>
          <r>
            <rPr>
              <rFont val="Calibri"/>
              <b val="1"/>
              <sz val="10"/>
            </rPr>
            <t>Common themes in manager-set KRAs:</t>
          </r>
          <r>
            <rPr>
              <rFont val="Calibri"/>
              <sz val="10"/>
            </rPr>
            <t xml:space="preserve"> business-day response · manual · contribute · delivery time · provide solutions · complete assigned</t>
          </r>
        </is>
      </c>
      <c r="P51" s="9" t="inlineStr">
        <is>
          <t>Data Processing · Data validation</t>
        </is>
      </c>
      <c r="Q51" s="9" t="inlineStr">
        <is>
          <t>Microsoft Excel · MS access</t>
        </is>
      </c>
      <c r="R51" s="9" t="inlineStr">
        <is>
          <t>Varied work; reviews juniors; go-to for a process</t>
        </is>
      </c>
      <c r="S51" s="9" t="inlineStr">
        <is>
          <t>Varied and non-standard work; handles exceptions</t>
        </is>
      </c>
      <c r="T51" s="9" t="inlineStr">
        <is>
          <t>Technical / QC / client calls on own work</t>
        </is>
      </c>
      <c r="U51" s="9" t="inlineStr">
        <is>
          <t>A module / process, or work with client or regulatory consequences</t>
        </is>
      </c>
      <c r="V51" s="9" t="inlineStr">
        <is>
          <t>Not scored in Band A</t>
        </is>
      </c>
      <c r="W51" s="9" t="inlineStr">
        <is>
          <t>2–4 yrs</t>
        </is>
      </c>
      <c r="X51" s="9" t="inlineStr">
        <is>
          <t>Graduate; relevant certification preferred</t>
        </is>
      </c>
      <c r="Y51" s="9" t="inlineStr">
        <is>
          <t>Power BI / Tableau · optional; Database certifications · optional</t>
        </is>
      </c>
      <c r="Z51" s="9" t="inlineStr">
        <is>
          <t>None · guides 1–3 juniors informally</t>
        </is>
      </c>
      <c r="AA51" s="9" t="inlineStr">
        <is>
          <t>Core 2 · Future-ready 2 · Functional 3 · Leadership —</t>
        </is>
      </c>
      <c r="AB51" s="9" t="inlineStr">
        <is>
          <t>Data Analytics, BI &amp; Visualisation · Database, SQL &amp; Data Engineering</t>
        </is>
      </c>
      <c r="AC51" s="9" t="inlineStr">
        <is>
          <t>Advanced Excel &amp; Productivity Tools · Regulatory &amp; BFSI Domain · Process Improvement &amp; Quality Mindset · Accounting &amp; Reporting Standards · IFRS/US GAAP</t>
        </is>
      </c>
      <c r="AD51" s="8" t="inlineStr">
        <is>
          <t>P2</t>
        </is>
      </c>
      <c r="AE51" s="8" t="inlineStr">
        <is>
          <t>3 Apply</t>
        </is>
      </c>
      <c r="AF51" s="9" t="inlineStr">
        <is>
          <r>
            <rPr>
              <rFont val="Calibri"/>
              <b val="1"/>
              <sz val="10"/>
            </rPr>
            <t>Atlassian company-wide P-levels:</t>
          </r>
          <r>
            <rPr>
              <rFont val="Calibri"/>
              <sz val="10"/>
            </rPr>
            <t xml:space="preserve"> P40 Analyst · IRIS Vs Competitor Benchmark — data analyst ladder: Data Analyst II</t>
          </r>
        </is>
      </c>
      <c r="AG51" s="9" t="inlineStr">
        <is>
          <t>DAMA-DMBOK · 11 knowledge areas around data governance</t>
        </is>
      </c>
      <c r="AH51" s="9" t="inlineStr">
        <is>
          <t>B1 · Specialist</t>
        </is>
      </c>
      <c r="AI51" s="9" t="inlineStr">
        <is>
          <t>AI / automation · Leadership &amp; people management · Project / programme management · Broader exposure &amp; ownership · Client, sales &amp; stakeholders</t>
        </is>
      </c>
      <c r="AJ51" s="9" t="inlineStr">
        <is>
          <t>presentation influence · ownership · stakeholder management · management prioritisation · skills</t>
        </is>
      </c>
      <c r="AK51" s="9" t="inlineStr">
        <is>
          <t>On-the-job / hands-on · Mentoring / guidance from seniors · Formal / classroom training</t>
        </is>
      </c>
      <c r="AL51" s="9" t="inlineStr">
        <is>
          <t>No common theme</t>
        </is>
      </c>
      <c r="AM51" s="9" t="inlineStr">
        <is>
          <t>time · consistent · support</t>
        </is>
      </c>
      <c r="AN51" s="9" t="inlineStr">
        <is>
          <t>1 of 6 say the role is changing because of AI / automation</t>
        </is>
      </c>
      <c r="AO51" s="9" t="inlineStr">
        <is>
          <t>Turn data into defensible decisions and models. Includes: BI, decision analysis and data science. Excludes: Financial-data production; software engineering of pipelines.</t>
        </is>
      </c>
      <c r="AP51" s="9" t="inlineStr">
        <is>
          <t>OPS02-2 · Financial Data Analyst</t>
        </is>
      </c>
      <c r="AQ51" s="9" t="inlineStr">
        <is>
          <t>Source and reconcile financial records using controlled definitions.</t>
        </is>
      </c>
      <c r="AR51" s="9" t="inlineStr">
        <is>
          <t>Demonstrate routine delivery plus judgement in bounded exceptions.</t>
        </is>
      </c>
      <c r="AS51" s="9" t="inlineStr">
        <is>
          <t>A financial dataset reconciled to source disclosures with documented exceptions and lineage</t>
        </is>
      </c>
      <c r="AT51" s="9" t="inlineStr">
        <is>
          <r>
            <rPr>
              <rFont val="Calibri"/>
              <b val="1"/>
              <sz val="10"/>
            </rPr>
            <t>S&amp;P Global:</t>
          </r>
          <r>
            <rPr>
              <rFont val="Calibri"/>
              <sz val="10"/>
            </rPr>
            <t xml:space="preserve"> Lead data analyst · Adjacent sector, retained extract. Gap: Financial-data production differs from corporate financial planning and BI</t>
          </r>
        </is>
      </c>
      <c r="AU51" s="22" t="inlineStr">
        <is>
          <t>Framework + role-holders' themes · 3+ answered</t>
        </is>
      </c>
      <c r="AV51" s="9" t="inlineStr">
        <is>
          <t>7 holders, 7 answered the survey; sub-family 9 answered</t>
        </is>
      </c>
    </row>
    <row r="52" ht="119" customHeight="1">
      <c r="A52" s="17" t="inlineStr">
        <is>
          <t>RC-041</t>
        </is>
      </c>
      <c r="B52" s="9" t="inlineStr">
        <is>
          <t>Data &amp; Analytics</t>
        </is>
      </c>
      <c r="C52" s="9" t="inlineStr">
        <is>
          <t>Financial Data Processing</t>
        </is>
      </c>
      <c r="D52" s="21" t="inlineStr">
        <is>
          <t>B1</t>
        </is>
      </c>
      <c r="E52" s="22" t="inlineStr">
        <is>
          <t>Specialist</t>
        </is>
      </c>
      <c r="F52" s="9" t="inlineStr">
        <is>
          <t>IC</t>
        </is>
      </c>
      <c r="G52" s="9" t="inlineStr">
        <is>
          <t>Data Specialist</t>
        </is>
      </c>
      <c r="H52" s="8" t="n">
        <v>1</v>
      </c>
      <c r="I52" s="9" t="inlineStr">
        <is>
          <t>Consume 1</t>
        </is>
      </c>
      <c r="J52" s="9" t="inlineStr">
        <is>
          <r>
            <rPr>
              <rFont val="Calibri"/>
              <sz val="10"/>
            </rPr>
            <t xml:space="preserve">Processes and delivers mutual-fund, scheme and capital-market data feeds and reports. At B1: a domain / module, or a small team.
</t>
          </r>
          <r>
            <rPr>
              <rFont val="Calibri"/>
              <b val="1"/>
              <sz val="10"/>
            </rPr>
            <t>Common themes in sub-family holders, all levels' answers:</t>
          </r>
          <r>
            <rPr>
              <rFont val="Calibri"/>
              <sz val="10"/>
            </rPr>
            <t xml:space="preserve"> data · mutual fund · accurate · update · client · analyzing</t>
          </r>
        </is>
      </c>
      <c r="K52" s="9" t="inlineStr">
        <is>
          <r>
            <rPr>
              <rFont val="Calibri"/>
              <sz val="10"/>
            </rPr>
            <t xml:space="preserve">Processes and delivers mutual-fund, scheme and capital-market data feeds and reports; Domain specialist work; A domain or a small team
</t>
          </r>
          <r>
            <rPr>
              <rFont val="Calibri"/>
              <b val="1"/>
              <sz val="10"/>
            </rPr>
            <t>Common themes in sub-family holders, all levels' answers:</t>
          </r>
          <r>
            <rPr>
              <rFont val="Calibri"/>
              <sz val="10"/>
            </rPr>
            <t xml:space="preserve"> data · client · timely · accuracy · delivery · market</t>
          </r>
        </is>
      </c>
      <c r="L52" s="9" t="inlineStr">
        <is>
          <r>
            <rPr>
              <rFont val="Calibri"/>
              <sz val="10"/>
            </rPr>
            <t xml:space="preserve">A domain or a small team
</t>
          </r>
          <r>
            <rPr>
              <rFont val="Calibri"/>
              <b val="1"/>
              <sz val="10"/>
            </rPr>
            <t>Common themes in sub-family holders, all levels' answers:</t>
          </r>
          <r>
            <rPr>
              <rFont val="Calibri"/>
              <sz val="10"/>
            </rPr>
            <t xml:space="preserve"> client · mutual fund · delivery</t>
          </r>
        </is>
      </c>
      <c r="M52" s="9" t="inlineStr">
        <is>
          <r>
            <rPr>
              <rFont val="Calibri"/>
              <sz val="10"/>
            </rPr>
            <t xml:space="preserve">A domain or a small team
</t>
          </r>
          <r>
            <rPr>
              <rFont val="Calibri"/>
              <b val="1"/>
              <sz val="10"/>
            </rPr>
            <t>Common themes in sub-family holders, all levels' answers:</t>
          </r>
          <r>
            <rPr>
              <rFont val="Calibri"/>
              <sz val="10"/>
            </rPr>
            <t xml:space="preserve"> client · data · if · wrong · am · delivery</t>
          </r>
        </is>
      </c>
      <c r="N52" s="9" t="inlineStr">
        <is>
          <r>
            <rPr>
              <rFont val="Calibri"/>
              <sz val="10"/>
            </rPr>
            <t xml:space="preserve">Technical / QC / client calls for the domain
</t>
          </r>
          <r>
            <rPr>
              <rFont val="Calibri"/>
              <b val="1"/>
              <sz val="10"/>
            </rPr>
            <t>Common themes in sub-family holders, all levels' answers:</t>
          </r>
          <r>
            <rPr>
              <rFont val="Calibri"/>
              <sz val="10"/>
            </rPr>
            <t xml:space="preserve"> update · data · independently</t>
          </r>
        </is>
      </c>
      <c r="O52" s="9" t="inlineStr">
        <is>
          <t>—</t>
        </is>
      </c>
      <c r="P52" s="9" t="inlineStr">
        <is>
          <t>Data processing · Mutual fund · Data validation</t>
        </is>
      </c>
      <c r="Q52" s="9" t="inlineStr">
        <is>
          <t>Microsoft Excel · MS access</t>
        </is>
      </c>
      <c r="R52" s="9" t="inlineStr">
        <is>
          <t>A domain / module, or a small team</t>
        </is>
      </c>
      <c r="S52" s="9" t="inlineStr">
        <is>
          <t>Domain specialist work</t>
        </is>
      </c>
      <c r="T52" s="9" t="inlineStr">
        <is>
          <t>Technical / QC / client calls for the domain</t>
        </is>
      </c>
      <c r="U52" s="9" t="inlineStr">
        <is>
          <t>A domain or a small team</t>
        </is>
      </c>
      <c r="V52" s="9" t="inlineStr">
        <is>
          <r>
            <rPr>
              <rFont val="Calibri"/>
              <b val="1"/>
              <sz val="10"/>
            </rPr>
            <t>IC:</t>
          </r>
          <r>
            <rPr>
              <rFont val="Calibri"/>
              <sz val="10"/>
            </rPr>
            <t xml:space="preserve"> mentors and reviews · People: hands-on team lead of 3–5</t>
          </r>
        </is>
      </c>
      <c r="W52" s="9" t="inlineStr">
        <is>
          <t>4–7 yrs</t>
        </is>
      </c>
      <c r="X52" s="9" t="inlineStr">
        <is>
          <t>Graduate + relevant qualification or certification preferred</t>
        </is>
      </c>
      <c r="Y52" s="9" t="inlineStr">
        <is>
          <t>Power BI / Tableau · optional; Database certifications · optional</t>
        </is>
      </c>
      <c r="Z52" s="9" t="inlineStr">
        <is>
          <r>
            <rPr>
              <rFont val="Calibri"/>
              <b val="1"/>
              <sz val="10"/>
            </rPr>
            <t>IC:</t>
          </r>
          <r>
            <rPr>
              <rFont val="Calibri"/>
              <sz val="10"/>
            </rPr>
            <t xml:space="preserve"> none · Team Lead: 3–5</t>
          </r>
        </is>
      </c>
      <c r="AA52" s="9" t="inlineStr">
        <is>
          <t>Core 3 · Future-ready 3 · Functional 3 · Leadership 1</t>
        </is>
      </c>
      <c r="AB52" s="9" t="inlineStr">
        <is>
          <t>Data Analytics, BI &amp; Visualisation · Database, SQL &amp; Data Engineering</t>
        </is>
      </c>
      <c r="AC52" s="9" t="inlineStr">
        <is>
          <t>Advanced Excel &amp; Productivity Tools · Regulatory &amp; BFSI Domain · Process Improvement &amp; Quality Mindset · Accounting &amp; Reporting Standards · IFRS/US GAAP</t>
        </is>
      </c>
      <c r="AD52" s="8" t="inlineStr">
        <is>
          <t>P3 / M2</t>
        </is>
      </c>
      <c r="AE52" s="8" t="inlineStr">
        <is>
          <t>4 Enable</t>
        </is>
      </c>
      <c r="AF52" s="9" t="inlineStr">
        <is>
          <r>
            <rPr>
              <rFont val="Calibri"/>
              <b val="1"/>
              <sz val="10"/>
            </rPr>
            <t>Atlassian company-wide P-levels:</t>
          </r>
          <r>
            <rPr>
              <rFont val="Calibri"/>
              <sz val="10"/>
            </rPr>
            <t xml:space="preserve"> P40 · IRIS Vs Competitor Benchmark — data analyst ladder: Senior Data Analyst</t>
          </r>
        </is>
      </c>
      <c r="AG52" s="9" t="inlineStr">
        <is>
          <t>DAMA-DMBOK · 11 knowledge areas around data governance</t>
        </is>
      </c>
      <c r="AH52" s="9" t="inlineStr">
        <is>
          <t>B2 · Senior Specialist</t>
        </is>
      </c>
      <c r="AI52" s="9" t="inlineStr">
        <is>
          <t>Leadership &amp; people management · Project / programme management · Communication &amp; presentation · Strategy &amp; business acumen</t>
        </is>
      </c>
      <c r="AJ52" s="9" t="inlineStr">
        <is>
          <t>The team needs training for new automation tools. | Transition to leadership: people management &amp; delegation, mentoring/coaching, project ownership &amp; stakeholder management, prioritisation under ambiguity, presentation &amp; influence skills</t>
        </is>
      </c>
      <c r="AK52" s="9" t="inlineStr">
        <is>
          <t>Formal / classroom training · On-the-job / hands-on · Mentoring / guidance from seniors</t>
        </is>
      </c>
      <c r="AL52" s="9" t="inlineStr">
        <is>
          <t>unclear</t>
        </is>
      </c>
      <c r="AM52" s="9" t="inlineStr">
        <is>
          <t>support · access · technical · time · consistent</t>
        </is>
      </c>
      <c r="AN52" s="9" t="inlineStr">
        <is>
          <t>1 of 8 say the role is changing because of AI / automation</t>
        </is>
      </c>
      <c r="AO52" s="9" t="inlineStr">
        <is>
          <t>Turn data into defensible decisions and models. Includes: BI, decision analysis and data science. Excludes: Financial-data production; software engineering of pipelines.</t>
        </is>
      </c>
      <c r="AP52" s="9" t="inlineStr">
        <is>
          <t>OPS02-3 · Senior Financial Data Analyst</t>
        </is>
      </c>
      <c r="AQ52" s="9" t="inlineStr">
        <is>
          <t>Resolve accounting-data exceptions and review difficult cases.</t>
        </is>
      </c>
      <c r="AR52" s="9" t="inlineStr">
        <is>
          <t>Evidence of complex work, decisions and outcomes beyond routine delivery.</t>
        </is>
      </c>
      <c r="AS52" s="9" t="inlineStr">
        <is>
          <t>A financial dataset reconciled to source disclosures with documented exceptions and lineage</t>
        </is>
      </c>
      <c r="AT52" s="9" t="inlineStr">
        <is>
          <r>
            <rPr>
              <rFont val="Calibri"/>
              <b val="1"/>
              <sz val="10"/>
            </rPr>
            <t>S&amp;P Global:</t>
          </r>
          <r>
            <rPr>
              <rFont val="Calibri"/>
              <sz val="10"/>
            </rPr>
            <t xml:space="preserve"> Lead data analyst · Adjacent sector, retained extract. Gap: Financial-data production differs from corporate financial planning and BI</t>
          </r>
        </is>
      </c>
      <c r="AU52" s="19" t="inlineStr">
        <is>
          <t>Framework + sub-family themes · 3+ answered</t>
        </is>
      </c>
      <c r="AV52" s="9" t="inlineStr">
        <is>
          <t>1 holder, 1 answered the survey; sub-family 9 answered</t>
        </is>
      </c>
    </row>
    <row r="53" ht="106" customHeight="1">
      <c r="A53" s="17" t="inlineStr">
        <is>
          <t>RC-042</t>
        </is>
      </c>
      <c r="B53" s="9" t="inlineStr">
        <is>
          <t>Data &amp; Analytics</t>
        </is>
      </c>
      <c r="C53" s="9" t="inlineStr">
        <is>
          <t>Financial Data Processing</t>
        </is>
      </c>
      <c r="D53" s="21" t="inlineStr">
        <is>
          <t>B2</t>
        </is>
      </c>
      <c r="E53" s="22" t="inlineStr">
        <is>
          <t>Manager</t>
        </is>
      </c>
      <c r="F53" s="9" t="inlineStr">
        <is>
          <t>Manager</t>
        </is>
      </c>
      <c r="G53" s="9" t="inlineStr">
        <is>
          <t>Data Operations Manager</t>
        </is>
      </c>
      <c r="H53" s="8" t="n">
        <v>1</v>
      </c>
      <c r="I53" s="9" t="inlineStr">
        <is>
          <t>Consume 1</t>
        </is>
      </c>
      <c r="J53" s="9" t="inlineStr">
        <is>
          <r>
            <rPr>
              <rFont val="Calibri"/>
              <sz val="10"/>
            </rPr>
            <t xml:space="preserve">Processes and delivers mutual-fund, scheme and capital-market data feeds and reports. At B2: deep domain expertise, or one team.
</t>
          </r>
          <r>
            <rPr>
              <rFont val="Calibri"/>
              <b val="1"/>
              <sz val="10"/>
            </rPr>
            <t>Common themes in sub-family holders, all levels' answers:</t>
          </r>
          <r>
            <rPr>
              <rFont val="Calibri"/>
              <sz val="10"/>
            </rPr>
            <t xml:space="preserve"> data · mutual fund · accurate · update · client · analyzing</t>
          </r>
        </is>
      </c>
      <c r="K53" s="9" t="inlineStr">
        <is>
          <r>
            <rPr>
              <rFont val="Calibri"/>
              <sz val="10"/>
            </rPr>
            <t xml:space="preserve">Processes and delivers mutual-fund, scheme and capital-market data feeds and reports; Hardest problems in the domain; One team or a client portfolio
</t>
          </r>
          <r>
            <rPr>
              <rFont val="Calibri"/>
              <b val="1"/>
              <sz val="10"/>
            </rPr>
            <t>Common themes in sub-family holders, all levels' answers:</t>
          </r>
          <r>
            <rPr>
              <rFont val="Calibri"/>
              <sz val="10"/>
            </rPr>
            <t xml:space="preserve"> data · client · timely · accuracy · delivery · market</t>
          </r>
        </is>
      </c>
      <c r="L53" s="9" t="inlineStr">
        <is>
          <r>
            <rPr>
              <rFont val="Calibri"/>
              <sz val="10"/>
            </rPr>
            <t xml:space="preserve">One team or a client portfolio
</t>
          </r>
          <r>
            <rPr>
              <rFont val="Calibri"/>
              <b val="1"/>
              <sz val="10"/>
            </rPr>
            <t>Common themes in sub-family holders, all levels' answers:</t>
          </r>
          <r>
            <rPr>
              <rFont val="Calibri"/>
              <sz val="10"/>
            </rPr>
            <t xml:space="preserve"> client · mutual fund · delivery</t>
          </r>
        </is>
      </c>
      <c r="M53" s="9" t="inlineStr">
        <is>
          <r>
            <rPr>
              <rFont val="Calibri"/>
              <sz val="10"/>
            </rPr>
            <t xml:space="preserve">One team or a client portfolio
</t>
          </r>
          <r>
            <rPr>
              <rFont val="Calibri"/>
              <b val="1"/>
              <sz val="10"/>
            </rPr>
            <t>Common themes in sub-family holders, all levels' answers:</t>
          </r>
          <r>
            <rPr>
              <rFont val="Calibri"/>
              <sz val="10"/>
            </rPr>
            <t xml:space="preserve"> client · data · if · wrong · am · delivery</t>
          </r>
        </is>
      </c>
      <c r="N53" s="9" t="inlineStr">
        <is>
          <r>
            <rPr>
              <rFont val="Calibri"/>
              <sz val="10"/>
            </rPr>
            <t xml:space="preserve">Allocates people and sets team priorities
</t>
          </r>
          <r>
            <rPr>
              <rFont val="Calibri"/>
              <b val="1"/>
              <sz val="10"/>
            </rPr>
            <t>Common themes in sub-family holders, all levels' answers:</t>
          </r>
          <r>
            <rPr>
              <rFont val="Calibri"/>
              <sz val="10"/>
            </rPr>
            <t xml:space="preserve"> update · data · independently</t>
          </r>
        </is>
      </c>
      <c r="O53" s="9" t="inlineStr">
        <is>
          <t>—</t>
        </is>
      </c>
      <c r="P53" s="9" t="inlineStr">
        <is>
          <t>Data processing · Mutual fund · Data validation</t>
        </is>
      </c>
      <c r="Q53" s="9" t="inlineStr">
        <is>
          <t>Microsoft Excel · MS access</t>
        </is>
      </c>
      <c r="R53" s="9" t="inlineStr">
        <is>
          <t>Deep domain expertise, or one team</t>
        </is>
      </c>
      <c r="S53" s="9" t="inlineStr">
        <is>
          <t>Hardest problems in the domain</t>
        </is>
      </c>
      <c r="T53" s="9" t="inlineStr">
        <is>
          <t>Allocates people and sets team priorities</t>
        </is>
      </c>
      <c r="U53" s="9" t="inlineStr">
        <is>
          <t>One team or a client portfolio</t>
        </is>
      </c>
      <c r="V53" s="9" t="inlineStr">
        <is>
          <r>
            <rPr>
              <rFont val="Calibri"/>
              <b val="1"/>
              <sz val="10"/>
            </rPr>
            <t>IC:</t>
          </r>
          <r>
            <rPr>
              <rFont val="Calibri"/>
              <sz val="10"/>
            </rPr>
            <t xml:space="preserve"> guides others in the domain · People: manages a team of 6+</t>
          </r>
        </is>
      </c>
      <c r="W53" s="9" t="inlineStr">
        <is>
          <t>6–9 yrs</t>
        </is>
      </c>
      <c r="X53" s="9" t="inlineStr">
        <is>
          <t>Graduate or postgraduate; professional qualification preferred</t>
        </is>
      </c>
      <c r="Y53" s="9" t="inlineStr">
        <is>
          <t>Power BI / Tableau · optional; Database certifications · optional</t>
        </is>
      </c>
      <c r="Z53" s="9" t="inlineStr">
        <is>
          <r>
            <rPr>
              <rFont val="Calibri"/>
              <b val="1"/>
              <sz val="10"/>
            </rPr>
            <t>IC:</t>
          </r>
          <r>
            <rPr>
              <rFont val="Calibri"/>
              <sz val="10"/>
            </rPr>
            <t xml:space="preserve"> none · People: 6–8 knowledge work, 8–12 standardised delivery</t>
          </r>
        </is>
      </c>
      <c r="AA53" s="9" t="inlineStr">
        <is>
          <t>Core 3 · Future-ready 3 · Functional 4 · Leadership 3</t>
        </is>
      </c>
      <c r="AB53" s="9" t="inlineStr">
        <is>
          <t>Data Analytics, BI &amp; Visualisation · Database, SQL &amp; Data Engineering</t>
        </is>
      </c>
      <c r="AC53" s="9" t="inlineStr">
        <is>
          <t>Advanced Excel &amp; Productivity Tools · Regulatory &amp; BFSI Domain · Process Improvement &amp; Quality Mindset · Accounting &amp; Reporting Standards · IFRS/US GAAP</t>
        </is>
      </c>
      <c r="AD53" s="8" t="inlineStr">
        <is>
          <t>P4 / M3</t>
        </is>
      </c>
      <c r="AE53" s="8" t="inlineStr">
        <is>
          <t>4–5</t>
        </is>
      </c>
      <c r="AF53" s="9" t="inlineStr">
        <is>
          <r>
            <rPr>
              <rFont val="Calibri"/>
              <b val="1"/>
              <sz val="10"/>
            </rPr>
            <t>Atlassian company-wide P-levels:</t>
          </r>
          <r>
            <rPr>
              <rFont val="Calibri"/>
              <sz val="10"/>
            </rPr>
            <t xml:space="preserve"> P50 Senior Analyst · IRIS Vs Competitor Benchmark — data analyst ladder: Lead Data Analyst</t>
          </r>
        </is>
      </c>
      <c r="AG53" s="9" t="inlineStr">
        <is>
          <t>DAMA-DMBOK · 11 knowledge areas around data governance</t>
        </is>
      </c>
      <c r="AH53" s="9" t="inlineStr">
        <is>
          <t>B3 · Lead Specialist</t>
        </is>
      </c>
      <c r="AI53" s="9" t="inlineStr">
        <is>
          <t>AI / automation · Data, SQL &amp; analytics</t>
        </is>
      </c>
      <c r="AJ53" s="9" t="inlineStr">
        <is>
          <t>—</t>
        </is>
      </c>
      <c r="AK53" s="9" t="inlineStr">
        <is>
          <t>Formal / classroom training · On-the-job / hands-on · Mentoring / guidance from seniors</t>
        </is>
      </c>
      <c r="AL53" s="9" t="inlineStr">
        <is>
          <t>unclear</t>
        </is>
      </c>
      <c r="AM53" s="9" t="inlineStr">
        <is>
          <t>support · access · technical · time · consistent</t>
        </is>
      </c>
      <c r="AN53" s="9" t="inlineStr">
        <is>
          <t>1 of 8 say the role is changing because of AI / automation</t>
        </is>
      </c>
      <c r="AO53" s="9" t="inlineStr">
        <is>
          <t>Turn data into defensible decisions and models. Includes: BI, decision analysis and data science. Excludes: Financial-data production; software engineering of pipelines.</t>
        </is>
      </c>
      <c r="AP53" s="9" t="inlineStr">
        <is>
          <t>LD08-1 · Data Operations Manager</t>
        </is>
      </c>
      <c r="AQ53" s="9" t="inlineStr">
        <is>
          <t>Own staffing decisions, performance support, service quality and delegated team resources</t>
        </is>
      </c>
      <c r="AR53" s="9" t="inlineStr">
        <is>
          <t>Do not manufacture three reporting layers. Choose roles the organisation needs. A specialist may remain on an equally valued expert path.</t>
        </is>
      </c>
      <c r="AS53" s="9" t="inlineStr">
        <is>
          <t>—</t>
        </is>
      </c>
      <c r="AT53" s="9" t="inlineStr">
        <is>
          <t>—</t>
        </is>
      </c>
      <c r="AU53" s="19" t="inlineStr">
        <is>
          <t>Framework + sub-family themes · 3+ answered</t>
        </is>
      </c>
      <c r="AV53" s="9" t="inlineStr">
        <is>
          <t>1 holder, 1 answered the survey; sub-family 9 answered</t>
        </is>
      </c>
    </row>
    <row r="54" ht="80" customHeight="1">
      <c r="A54" s="17" t="inlineStr">
        <is>
          <t>RC-043</t>
        </is>
      </c>
      <c r="B54" s="9" t="inlineStr">
        <is>
          <t>Data &amp; Analytics</t>
        </is>
      </c>
      <c r="C54" s="9" t="inlineStr">
        <is>
          <t>MIS &amp; Business Reporting</t>
        </is>
      </c>
      <c r="D54" s="18" t="inlineStr">
        <is>
          <t>A2</t>
        </is>
      </c>
      <c r="E54" s="19" t="inlineStr">
        <is>
          <t>Associate</t>
        </is>
      </c>
      <c r="F54" s="9" t="inlineStr">
        <is>
          <t>IC</t>
        </is>
      </c>
      <c r="G54" s="9" t="inlineStr">
        <is>
          <t>MIS Associate</t>
        </is>
      </c>
      <c r="H54" s="8" t="n">
        <v>1</v>
      </c>
      <c r="I54" s="9" t="inlineStr">
        <is>
          <t>Datatech 1</t>
        </is>
      </c>
      <c r="J54" s="9" t="inlineStr">
        <is>
          <t>Builds MIS, dashboards and revenue/ARR forecasts. At A2: standard work delivered independently.</t>
        </is>
      </c>
      <c r="K54" s="9" t="inlineStr">
        <is>
          <t>Builds MIS, dashboards and revenue/ARR forecasts; Standard work of the discipline; Own deliverables · accuracy, TAT</t>
        </is>
      </c>
      <c r="L54" s="9" t="inlineStr">
        <is>
          <t>Own deliverables · accuracy, TAT</t>
        </is>
      </c>
      <c r="M54" s="9" t="inlineStr">
        <is>
          <t>Own deliverables · accuracy, TAT</t>
        </is>
      </c>
      <c r="N54" s="9" t="inlineStr">
        <is>
          <t>Chooses own approach within standards</t>
        </is>
      </c>
      <c r="O54" s="9" t="inlineStr">
        <is>
          <t>—</t>
        </is>
      </c>
      <c r="P54" s="9" t="inlineStr">
        <is>
          <t>—</t>
        </is>
      </c>
      <c r="Q54" s="9" t="inlineStr">
        <is>
          <t>—</t>
        </is>
      </c>
      <c r="R54" s="9" t="inlineStr">
        <is>
          <t>Standard work delivered independently</t>
        </is>
      </c>
      <c r="S54" s="9" t="inlineStr">
        <is>
          <t>Standard work of the discipline</t>
        </is>
      </c>
      <c r="T54" s="9" t="inlineStr">
        <is>
          <t>Chooses own approach within standards</t>
        </is>
      </c>
      <c r="U54" s="9" t="inlineStr">
        <is>
          <t>Own deliverables · accuracy, TAT</t>
        </is>
      </c>
      <c r="V54" s="9" t="inlineStr">
        <is>
          <t>Not scored in Band A</t>
        </is>
      </c>
      <c r="W54" s="9" t="inlineStr">
        <is>
          <t>0–2 yrs</t>
        </is>
      </c>
      <c r="X54" s="9" t="inlineStr">
        <is>
          <t>Graduate · or diploma with experience</t>
        </is>
      </c>
      <c r="Y54" s="9" t="inlineStr">
        <is>
          <t>Power BI / Tableau · optional; Database certifications · optional</t>
        </is>
      </c>
      <c r="Z54" s="9" t="inlineStr">
        <is>
          <t>No direct reports</t>
        </is>
      </c>
      <c r="AA54" s="9" t="inlineStr">
        <is>
          <t>Core 2 · Future-ready 2 · Functional 2 · Leadership —</t>
        </is>
      </c>
      <c r="AB54" s="9" t="inlineStr">
        <is>
          <t>Data Analytics, BI &amp; Visualisation · Database, SQL &amp; Data Engineering</t>
        </is>
      </c>
      <c r="AC54" s="9" t="inlineStr">
        <is>
          <t>Advanced Excel &amp; Productivity Tools · Regulatory &amp; BFSI Domain · Process Improvement &amp; Quality Mindset · Accounting &amp; Reporting Standards · IFRS/US GAAP</t>
        </is>
      </c>
      <c r="AD54" s="8" t="inlineStr">
        <is>
          <t>P1–P2</t>
        </is>
      </c>
      <c r="AE54" s="8" t="inlineStr">
        <is>
          <t>2 Assist</t>
        </is>
      </c>
      <c r="AF54" s="9" t="inlineStr">
        <is>
          <r>
            <rPr>
              <rFont val="Calibri"/>
              <b val="1"/>
              <sz val="10"/>
            </rPr>
            <t>Atlassian company-wide P-levels:</t>
          </r>
          <r>
            <rPr>
              <rFont val="Calibri"/>
              <sz val="10"/>
            </rPr>
            <t xml:space="preserve"> P30 Analyst · IRIS Vs Competitor Benchmark — data analyst ladder: Data Analyst I</t>
          </r>
        </is>
      </c>
      <c r="AG54" s="9" t="inlineStr">
        <is>
          <t>DAMA-DMBOK · 11 knowledge areas around data governance</t>
        </is>
      </c>
      <c r="AH54" s="9" t="inlineStr">
        <is>
          <t>A3 · Senior Associate</t>
        </is>
      </c>
      <c r="AI54" s="9" t="inlineStr">
        <is>
          <t>Technical depth &amp; architecture · Data, SQL &amp; analytics</t>
        </is>
      </c>
      <c r="AJ54" s="9" t="inlineStr">
        <is>
          <r>
            <rPr>
              <rFont val="Calibri"/>
              <b val="1"/>
              <sz val="10"/>
            </rPr>
            <t>Decision:</t>
          </r>
          <r>
            <rPr>
              <rFont val="Calibri"/>
              <sz val="10"/>
            </rPr>
            <t xml:space="preserve"> Contract extension · not conversion at this point for 6-12 months.</t>
          </r>
        </is>
      </c>
      <c r="AK54" s="9" t="inlineStr">
        <is>
          <t>—</t>
        </is>
      </c>
      <c r="AL54" s="9" t="inlineStr">
        <is>
          <t>—</t>
        </is>
      </c>
      <c r="AM54" s="9" t="inlineStr">
        <is>
          <t>—</t>
        </is>
      </c>
      <c r="AN54" s="9" t="inlineStr">
        <is>
          <t>—</t>
        </is>
      </c>
      <c r="AO54" s="9" t="inlineStr">
        <is>
          <t>Turn data into defensible decisions and models. Includes: BI, decision analysis and data science. Excludes: Financial-data production; software engineering of pipelines.</t>
        </is>
      </c>
      <c r="AP54" s="9" t="inlineStr">
        <is>
          <t>DAT01-1 · Junior Data Analyst</t>
        </is>
      </c>
      <c r="AQ54" s="9" t="inlineStr">
        <is>
          <r>
            <rPr>
              <rFont val="Calibri"/>
              <b val="1"/>
              <sz val="10"/>
            </rPr>
            <t>Complete defined parts under review:</t>
          </r>
          <r>
            <rPr>
              <rFont val="Calibri"/>
              <sz val="10"/>
            </rPr>
            <t xml:space="preserve"> build reconciled metrics and explain their limitations.</t>
          </r>
        </is>
      </c>
      <c r="AR54" s="9" t="inlineStr">
        <is>
          <t>Repeatable correct delivery, safe escalation and required entry eligibility.</t>
        </is>
      </c>
      <c r="AS54" s="9" t="inlineStr">
        <is>
          <t>A reconciled dashboard with explicit metric definitions and documented decisions</t>
        </is>
      </c>
      <c r="AT54" s="9" t="inlineStr">
        <is>
          <r>
            <rPr>
              <rFont val="Calibri"/>
              <b val="1"/>
              <sz val="10"/>
            </rPr>
            <t>S&amp;P Global:</t>
          </r>
          <r>
            <rPr>
              <rFont val="Calibri"/>
              <sz val="10"/>
            </rPr>
            <t xml:space="preserve"> Lead data analyst · Adjacent work, retained extract. Gap: Financial-data processing is not decision analytics; Wise is the stronger scope source</t>
          </r>
        </is>
      </c>
      <c r="AU54" s="57" t="inlineStr">
        <is>
          <t>Framework only · fewer than 3 answered</t>
        </is>
      </c>
      <c r="AV54" s="9" t="inlineStr">
        <is>
          <t>1 holder, 1 answered the survey; sub-family 2 answered</t>
        </is>
      </c>
    </row>
    <row r="55" ht="80" customHeight="1">
      <c r="A55" s="17" t="inlineStr">
        <is>
          <t>RC-044</t>
        </is>
      </c>
      <c r="B55" s="9" t="inlineStr">
        <is>
          <t>Data &amp; Analytics</t>
        </is>
      </c>
      <c r="C55" s="9" t="inlineStr">
        <is>
          <t>MIS &amp; Business Reporting</t>
        </is>
      </c>
      <c r="D55" s="18" t="inlineStr">
        <is>
          <t>A3</t>
        </is>
      </c>
      <c r="E55" s="19" t="inlineStr">
        <is>
          <t>Senior Associate</t>
        </is>
      </c>
      <c r="F55" s="9" t="inlineStr">
        <is>
          <t>IC</t>
        </is>
      </c>
      <c r="G55" s="9" t="inlineStr">
        <is>
          <t>MIS Specialist</t>
        </is>
      </c>
      <c r="H55" s="8" t="n">
        <v>1</v>
      </c>
      <c r="I55" s="9" t="inlineStr">
        <is>
          <t>CARBON 1</t>
        </is>
      </c>
      <c r="J55" s="9" t="inlineStr">
        <is>
          <t>Builds MIS, dashboards and revenue/ARR forecasts. At A3: varied work; reviews juniors; go-to for a process.</t>
        </is>
      </c>
      <c r="K55" s="9" t="inlineStr">
        <is>
          <t>Builds MIS, dashboards and revenue/ARR forecasts; Varied and non-standard work; handles exceptions; A module / process, or work with client or regulatory consequences</t>
        </is>
      </c>
      <c r="L55" s="9" t="inlineStr">
        <is>
          <t>A module / process, or work with client or regulatory consequences</t>
        </is>
      </c>
      <c r="M55" s="9" t="inlineStr">
        <is>
          <t>A module / process, or work with client or regulatory consequences</t>
        </is>
      </c>
      <c r="N55" s="9" t="inlineStr">
        <is>
          <t>Technical / QC / client calls on own work</t>
        </is>
      </c>
      <c r="O55" s="9" t="inlineStr">
        <is>
          <t>—</t>
        </is>
      </c>
      <c r="P55" s="9" t="inlineStr">
        <is>
          <t>—</t>
        </is>
      </c>
      <c r="Q55" s="9" t="inlineStr">
        <is>
          <t>—</t>
        </is>
      </c>
      <c r="R55" s="9" t="inlineStr">
        <is>
          <t>Varied work; reviews juniors; go-to for a process</t>
        </is>
      </c>
      <c r="S55" s="9" t="inlineStr">
        <is>
          <t>Varied and non-standard work; handles exceptions</t>
        </is>
      </c>
      <c r="T55" s="9" t="inlineStr">
        <is>
          <t>Technical / QC / client calls on own work</t>
        </is>
      </c>
      <c r="U55" s="9" t="inlineStr">
        <is>
          <t>A module / process, or work with client or regulatory consequences</t>
        </is>
      </c>
      <c r="V55" s="9" t="inlineStr">
        <is>
          <t>Not scored in Band A</t>
        </is>
      </c>
      <c r="W55" s="9" t="inlineStr">
        <is>
          <t>2–4 yrs</t>
        </is>
      </c>
      <c r="X55" s="9" t="inlineStr">
        <is>
          <t>Graduate; relevant certification preferred</t>
        </is>
      </c>
      <c r="Y55" s="9" t="inlineStr">
        <is>
          <t>Power BI / Tableau · optional; Database certifications · optional</t>
        </is>
      </c>
      <c r="Z55" s="9" t="inlineStr">
        <is>
          <t>None · guides 1–3 juniors informally</t>
        </is>
      </c>
      <c r="AA55" s="9" t="inlineStr">
        <is>
          <t>Core 2 · Future-ready 2 · Functional 3 · Leadership —</t>
        </is>
      </c>
      <c r="AB55" s="9" t="inlineStr">
        <is>
          <t>Data Analytics, BI &amp; Visualisation · Database, SQL &amp; Data Engineering</t>
        </is>
      </c>
      <c r="AC55" s="9" t="inlineStr">
        <is>
          <t>Advanced Excel &amp; Productivity Tools · Regulatory &amp; BFSI Domain · Process Improvement &amp; Quality Mindset · Accounting &amp; Reporting Standards · IFRS/US GAAP</t>
        </is>
      </c>
      <c r="AD55" s="8" t="inlineStr">
        <is>
          <t>P2</t>
        </is>
      </c>
      <c r="AE55" s="8" t="inlineStr">
        <is>
          <t>3 Apply</t>
        </is>
      </c>
      <c r="AF55" s="9" t="inlineStr">
        <is>
          <r>
            <rPr>
              <rFont val="Calibri"/>
              <b val="1"/>
              <sz val="10"/>
            </rPr>
            <t>Atlassian company-wide P-levels:</t>
          </r>
          <r>
            <rPr>
              <rFont val="Calibri"/>
              <sz val="10"/>
            </rPr>
            <t xml:space="preserve"> P40 Analyst · IRIS Vs Competitor Benchmark — data analyst ladder: Data Analyst II</t>
          </r>
        </is>
      </c>
      <c r="AG55" s="9" t="inlineStr">
        <is>
          <t>DAMA-DMBOK · 11 knowledge areas around data governance</t>
        </is>
      </c>
      <c r="AH55" s="9" t="inlineStr">
        <is>
          <t>B1 · Specialist</t>
        </is>
      </c>
      <c r="AI55" s="9" t="inlineStr">
        <is>
          <t>—</t>
        </is>
      </c>
      <c r="AJ55" s="9" t="inlineStr">
        <is>
          <t>—</t>
        </is>
      </c>
      <c r="AK55" s="9" t="inlineStr">
        <is>
          <t>—</t>
        </is>
      </c>
      <c r="AL55" s="9" t="inlineStr">
        <is>
          <t>—</t>
        </is>
      </c>
      <c r="AM55" s="9" t="inlineStr">
        <is>
          <t>—</t>
        </is>
      </c>
      <c r="AN55" s="9" t="inlineStr">
        <is>
          <t>—</t>
        </is>
      </c>
      <c r="AO55" s="9" t="inlineStr">
        <is>
          <t>Turn data into defensible decisions and models. Includes: BI, decision analysis and data science. Excludes: Financial-data production; software engineering of pipelines.</t>
        </is>
      </c>
      <c r="AP55" s="9" t="inlineStr">
        <is>
          <t>DAT01-2 · BI / Data Analyst</t>
        </is>
      </c>
      <c r="AQ55" s="9" t="inlineStr">
        <is>
          <t>Build reconciled metrics and explain their limitations.</t>
        </is>
      </c>
      <c r="AR55" s="9" t="inlineStr">
        <is>
          <t>Demonstrate routine delivery plus judgement in bounded exceptions.</t>
        </is>
      </c>
      <c r="AS55" s="9" t="inlineStr">
        <is>
          <t>A reconciled dashboard with explicit metric definitions and documented decisions</t>
        </is>
      </c>
      <c r="AT55" s="9" t="inlineStr">
        <is>
          <r>
            <rPr>
              <rFont val="Calibri"/>
              <b val="1"/>
              <sz val="10"/>
            </rPr>
            <t>S&amp;P Global:</t>
          </r>
          <r>
            <rPr>
              <rFont val="Calibri"/>
              <sz val="10"/>
            </rPr>
            <t xml:space="preserve"> Lead data analyst · Adjacent work, retained extract. Gap: Financial-data processing is not decision analytics; Wise is the stronger scope source</t>
          </r>
        </is>
      </c>
      <c r="AU55" s="57" t="inlineStr">
        <is>
          <t>Framework only · fewer than 3 answered</t>
        </is>
      </c>
      <c r="AV55" s="9" t="inlineStr">
        <is>
          <t>1 holder, 1 answered the survey; sub-family 2 answered</t>
        </is>
      </c>
    </row>
    <row r="56">
      <c r="A56" s="94" t="inlineStr">
        <is>
          <t>Data Operations &amp; Digitization — 6 roles · 32 people</t>
        </is>
      </c>
    </row>
    <row r="57" ht="93" customHeight="1">
      <c r="A57" s="17" t="inlineStr">
        <is>
          <t>RC-045</t>
        </is>
      </c>
      <c r="B57" s="9" t="inlineStr">
        <is>
          <t>Data Operations &amp; Digitization</t>
        </is>
      </c>
      <c r="C57" s="9" t="inlineStr">
        <is>
          <t>Digitization Leadership</t>
        </is>
      </c>
      <c r="D57" s="27" t="inlineStr">
        <is>
          <t>C1</t>
        </is>
      </c>
      <c r="E57" s="28" t="inlineStr">
        <is>
          <t>Associate Head</t>
        </is>
      </c>
      <c r="F57" s="9" t="inlineStr">
        <is>
          <t>Manager</t>
        </is>
      </c>
      <c r="G57" s="9" t="inlineStr">
        <is>
          <t>Associate Head – Digitization</t>
        </is>
      </c>
      <c r="H57" s="8" t="n">
        <v>1</v>
      </c>
      <c r="I57" s="9" t="inlineStr">
        <is>
          <t>CARBON 1</t>
        </is>
      </c>
      <c r="J57" s="9" t="inlineStr">
        <is>
          <t>Leads the data operations &amp; digitization function. At C1: a sub-function, or principal authority across products.</t>
        </is>
      </c>
      <c r="K57" s="9" t="inlineStr">
        <is>
          <t>Leads the data operations &amp; digitization function; Ambiguous, cross-product problems; Sub-function results or domain quality across products</t>
        </is>
      </c>
      <c r="L57" s="9" t="inlineStr">
        <is>
          <t>Sub-function results or domain quality across products</t>
        </is>
      </c>
      <c r="M57" s="9" t="inlineStr">
        <is>
          <t>Sub-function results or domain quality across products</t>
        </is>
      </c>
      <c r="N57" s="9" t="inlineStr">
        <is>
          <t>Sets direction for a sub-function or domain</t>
        </is>
      </c>
      <c r="O57" s="9" t="inlineStr">
        <is>
          <t>—</t>
        </is>
      </c>
      <c r="P57" s="9" t="inlineStr">
        <is>
          <t>—</t>
        </is>
      </c>
      <c r="Q57" s="9" t="inlineStr">
        <is>
          <t>—</t>
        </is>
      </c>
      <c r="R57" s="9" t="inlineStr">
        <is>
          <t>A sub-function, or principal authority across products</t>
        </is>
      </c>
      <c r="S57" s="9" t="inlineStr">
        <is>
          <t>Ambiguous, cross-product problems</t>
        </is>
      </c>
      <c r="T57" s="9" t="inlineStr">
        <is>
          <t>Sets direction for a sub-function or domain</t>
        </is>
      </c>
      <c r="U57" s="9" t="inlineStr">
        <is>
          <t>Sub-function results or domain quality across products</t>
        </is>
      </c>
      <c r="V57" s="9" t="inlineStr">
        <is>
          <t>Leads managers or a community of practice</t>
        </is>
      </c>
      <c r="W57" s="9" t="inlineStr">
        <is>
          <t>10–14 yrs</t>
        </is>
      </c>
      <c r="X57" s="9" t="inlineStr">
        <is>
          <t>Postgraduate / professional qualification preferred</t>
        </is>
      </c>
      <c r="Y57" s="9" t="inlineStr">
        <is>
          <t>MOS Excel · optional; Lean / Six Sigma · optional</t>
        </is>
      </c>
      <c r="Z57" s="9" t="inlineStr">
        <is>
          <t>5–8, mostly managers</t>
        </is>
      </c>
      <c r="AA57" s="9" t="inlineStr">
        <is>
          <t>Core 4 · Future-ready 4 · Functional 4 · Leadership 4</t>
        </is>
      </c>
      <c r="AB57" s="9" t="inlineStr">
        <is>
          <t>Advanced Excel &amp; Productivity Tools · Process Improvement &amp; Quality Mindset</t>
        </is>
      </c>
      <c r="AC57" s="9" t="inlineStr">
        <is>
          <t>Regulatory &amp; BFSI Domain · XBRL, iXBRL &amp; Taxonomy · AI, GenAI &amp; Prompt Engineering · Time, Priority &amp; Self-Management</t>
        </is>
      </c>
      <c r="AD57" s="8" t="inlineStr">
        <is>
          <t>P6 / M5</t>
        </is>
      </c>
      <c r="AE57" s="8" t="inlineStr">
        <is>
          <t>5–6</t>
        </is>
      </c>
      <c r="AF57" s="9" t="inlineStr">
        <is>
          <r>
            <rPr>
              <rFont val="Calibri"/>
              <b val="1"/>
              <sz val="10"/>
            </rPr>
            <t>Accenture Operations:</t>
          </r>
          <r>
            <rPr>
              <rFont val="Calibri"/>
              <sz val="10"/>
            </rPr>
            <t xml:space="preserve"> L6 Senior Manager · IRIS Vs Competitor Benchmark — operations roles: Head of Delivery</t>
          </r>
        </is>
      </c>
      <c r="AG57" s="9" t="inlineStr">
        <is>
          <t>COPC CX Standard · leadership &amp; planning, people, processes, performance; ISO 9001; Lean / Six Sigma</t>
        </is>
      </c>
      <c r="AH57" s="9" t="inlineStr">
        <is>
          <t>C2 · Senior Principal / Architect</t>
        </is>
      </c>
      <c r="AI57" s="9" t="inlineStr">
        <is>
          <t>Product &amp; tool knowledge · Broader exposure &amp; ownership</t>
        </is>
      </c>
      <c r="AJ57" s="9" t="inlineStr">
        <is>
          <t>—</t>
        </is>
      </c>
      <c r="AK57" s="9" t="inlineStr">
        <is>
          <t>—</t>
        </is>
      </c>
      <c r="AL57" s="9" t="inlineStr">
        <is>
          <t>—</t>
        </is>
      </c>
      <c r="AM57" s="9" t="inlineStr">
        <is>
          <t>—</t>
        </is>
      </c>
      <c r="AN57" s="9" t="inlineStr">
        <is>
          <t>—</t>
        </is>
      </c>
      <c r="AO57" s="9" t="inlineStr">
        <is>
          <t>Produce trustworthy structured content and data. Includes: Document production, financial-data sourcing, validation and stewardship. Excludes: Corporate reporting; BI insight; software data-pipeline engineering.</t>
        </is>
      </c>
      <c r="AP57" s="9" t="inlineStr">
        <is>
          <t>LD08-2 · Head of Data Operations</t>
        </is>
      </c>
      <c r="AQ57" s="9" t="inlineStr">
        <is>
          <t>Own integrated function strategy, capacity, controls and cross-team trade-offs</t>
        </is>
      </c>
      <c r="AR57" s="9" t="inlineStr">
        <is>
          <t>Do not manufacture three reporting layers. Choose roles the organisation needs. A specialist may remain on an equally valued expert path.</t>
        </is>
      </c>
      <c r="AS57" s="9" t="inlineStr">
        <is>
          <t>—</t>
        </is>
      </c>
      <c r="AT57" s="9" t="inlineStr">
        <is>
          <t>—</t>
        </is>
      </c>
      <c r="AU57" s="57" t="inlineStr">
        <is>
          <t>Framework only · fewer than 3 answered</t>
        </is>
      </c>
      <c r="AV57" s="9" t="inlineStr">
        <is>
          <t>1 holder, 1 answered the survey; sub-family 1 answered</t>
        </is>
      </c>
    </row>
    <row r="58" ht="106" customHeight="1">
      <c r="A58" s="17" t="inlineStr">
        <is>
          <t>RC-046</t>
        </is>
      </c>
      <c r="B58" s="9" t="inlineStr">
        <is>
          <t>Data Operations &amp; Digitization</t>
        </is>
      </c>
      <c r="C58" s="9" t="inlineStr">
        <is>
          <t>Document Conversion, Formatting &amp; Web Publishing</t>
        </is>
      </c>
      <c r="D58" s="18" t="inlineStr">
        <is>
          <t>A2</t>
        </is>
      </c>
      <c r="E58" s="19" t="inlineStr">
        <is>
          <t>Associate</t>
        </is>
      </c>
      <c r="F58" s="9" t="inlineStr">
        <is>
          <t>IC</t>
        </is>
      </c>
      <c r="G58" s="9" t="inlineStr">
        <is>
          <t>Digitization Associate</t>
        </is>
      </c>
      <c r="H58" s="8" t="n">
        <v>4</v>
      </c>
      <c r="I58" s="9" t="inlineStr">
        <is>
          <t>CARBON 3 · Consume 1</t>
        </is>
      </c>
      <c r="J58" s="9" t="inlineStr">
        <is>
          <r>
            <rPr>
              <rFont val="Calibri"/>
              <sz val="10"/>
            </rPr>
            <t xml:space="preserve">Converts and formats documents into HTML/PDF/Word to filing or web standards, and publishes content · incl. RBI website. At A2: standard work delivered independently.
</t>
          </r>
          <r>
            <rPr>
              <rFont val="Calibri"/>
              <b val="1"/>
              <sz val="10"/>
            </rPr>
            <t>Common themes in role-holders' answers:</t>
          </r>
          <r>
            <rPr>
              <rFont val="Calibri"/>
              <sz val="10"/>
            </rPr>
            <t xml:space="preserve"> documents · data · purpose · requirements</t>
          </r>
        </is>
      </c>
      <c r="K58" s="9" t="inlineStr">
        <is>
          <r>
            <rPr>
              <rFont val="Calibri"/>
              <sz val="10"/>
            </rPr>
            <t xml:space="preserve">Converts and formats documents into HTML/PDF/Word to filing or web standards, and publishes content · incl. RBI website; Standard work of the discipline; Own deliverables · accuracy, TAT
</t>
          </r>
          <r>
            <rPr>
              <rFont val="Calibri"/>
              <b val="1"/>
              <sz val="10"/>
            </rPr>
            <t>Common themes in role-holders' answers:</t>
          </r>
          <r>
            <rPr>
              <rFont val="Calibri"/>
              <sz val="10"/>
            </rPr>
            <t xml:space="preserve"> formatting · quality · review · data · checking · document</t>
          </r>
        </is>
      </c>
      <c r="L58" s="9" t="inlineStr">
        <is>
          <r>
            <rPr>
              <rFont val="Calibri"/>
              <sz val="10"/>
            </rPr>
            <t xml:space="preserve">Own deliverables · accuracy, TAT
</t>
          </r>
          <r>
            <rPr>
              <rFont val="Calibri"/>
              <b val="1"/>
              <sz val="10"/>
            </rPr>
            <t>Common themes in role-holders' answers:</t>
          </r>
          <r>
            <rPr>
              <rFont val="Calibri"/>
              <sz val="10"/>
            </rPr>
            <t xml:space="preserve"> formatted · documents · html</t>
          </r>
        </is>
      </c>
      <c r="M58" s="9" t="inlineStr">
        <is>
          <r>
            <rPr>
              <rFont val="Calibri"/>
              <sz val="10"/>
            </rPr>
            <t xml:space="preserve">Own deliverables · accuracy, TAT
</t>
          </r>
          <r>
            <rPr>
              <rFont val="Calibri"/>
              <b val="1"/>
              <sz val="10"/>
            </rPr>
            <t>Common themes in role-holders' answers:</t>
          </r>
          <r>
            <rPr>
              <rFont val="Calibri"/>
              <sz val="10"/>
            </rPr>
            <t xml:space="preserve"> am · accountable · every · formatting</t>
          </r>
        </is>
      </c>
      <c r="N58" s="9" t="inlineStr">
        <is>
          <t>Chooses own approach within standards</t>
        </is>
      </c>
      <c r="O58" s="9" t="inlineStr">
        <is>
          <t>—</t>
        </is>
      </c>
      <c r="P58" s="9" t="inlineStr">
        <is>
          <t>OCR/Image procesing</t>
        </is>
      </c>
      <c r="Q58" s="9" t="inlineStr">
        <is>
          <t>Office 365 word · Excel</t>
        </is>
      </c>
      <c r="R58" s="9" t="inlineStr">
        <is>
          <t>Standard work delivered independently</t>
        </is>
      </c>
      <c r="S58" s="9" t="inlineStr">
        <is>
          <t>Standard work of the discipline</t>
        </is>
      </c>
      <c r="T58" s="9" t="inlineStr">
        <is>
          <t>Chooses own approach within standards</t>
        </is>
      </c>
      <c r="U58" s="9" t="inlineStr">
        <is>
          <t>Own deliverables · accuracy, TAT</t>
        </is>
      </c>
      <c r="V58" s="9" t="inlineStr">
        <is>
          <t>Not scored in Band A</t>
        </is>
      </c>
      <c r="W58" s="9" t="inlineStr">
        <is>
          <t>0–2 yrs</t>
        </is>
      </c>
      <c r="X58" s="9" t="inlineStr">
        <is>
          <t>Graduate · or diploma with experience</t>
        </is>
      </c>
      <c r="Y58" s="9" t="inlineStr">
        <is>
          <t>MOS Excel · optional; Lean / Six Sigma · optional</t>
        </is>
      </c>
      <c r="Z58" s="9" t="inlineStr">
        <is>
          <t>No direct reports</t>
        </is>
      </c>
      <c r="AA58" s="9" t="inlineStr">
        <is>
          <t>Core 2 · Future-ready 2 · Functional 2 · Leadership —</t>
        </is>
      </c>
      <c r="AB58" s="9" t="inlineStr">
        <is>
          <t>Advanced Excel &amp; Productivity Tools · Process Improvement &amp; Quality Mindset</t>
        </is>
      </c>
      <c r="AC58" s="9" t="inlineStr">
        <is>
          <t>Regulatory &amp; BFSI Domain · XBRL, iXBRL &amp; Taxonomy · AI, GenAI &amp; Prompt Engineering · Time, Priority &amp; Self-Management</t>
        </is>
      </c>
      <c r="AD58" s="8" t="inlineStr">
        <is>
          <t>P1–P2</t>
        </is>
      </c>
      <c r="AE58" s="8" t="inlineStr">
        <is>
          <t>2 Assist</t>
        </is>
      </c>
      <c r="AF58" s="9" t="inlineStr">
        <is>
          <r>
            <rPr>
              <rFont val="Calibri"/>
              <b val="1"/>
              <sz val="10"/>
            </rPr>
            <t>DataTracks:</t>
          </r>
          <r>
            <rPr>
              <rFont val="Calibri"/>
              <sz val="10"/>
            </rPr>
            <t xml:space="preserve"> Associate · Accenture Operations: L11 Analyst · IRIS Vs Competitor Benchmark — operations roles: Processor / Agent</t>
          </r>
        </is>
      </c>
      <c r="AG58" s="9" t="inlineStr">
        <is>
          <t>COPC CX Standard · leadership &amp; planning, people, processes, performance; ISO 9001; Lean / Six Sigma</t>
        </is>
      </c>
      <c r="AH58" s="9" t="inlineStr">
        <is>
          <t>A3 · Senior Associate</t>
        </is>
      </c>
      <c r="AI58" s="9" t="inlineStr">
        <is>
          <t>Broader exposure &amp; ownership · Communication &amp; presentation · Project / programme management · Client, sales &amp; stakeholders · Product &amp; tool knowledge</t>
        </is>
      </c>
      <c r="AJ58" s="9" t="inlineStr">
        <is>
          <t>—</t>
        </is>
      </c>
      <c r="AK58" s="9" t="inlineStr">
        <is>
          <t>On-the-job / hands-on · Formal / classroom training · Mentoring / guidance from seniors</t>
        </is>
      </c>
      <c r="AL58" s="9" t="inlineStr">
        <is>
          <t>changing · requirements · unclear · complex</t>
        </is>
      </c>
      <c r="AM58" s="9" t="inlineStr">
        <is>
          <t>clearer · templates · formatting · requirements · standardized</t>
        </is>
      </c>
      <c r="AN58" s="9" t="inlineStr">
        <is>
          <t>1 of 4 say the role is changing because of AI / automation</t>
        </is>
      </c>
      <c r="AO58" s="9" t="inlineStr">
        <is>
          <t>Produce trustworthy structured content and data. Includes: Document production, financial-data sourcing, validation and stewardship. Excludes: Corporate reporting; BI insight; software data-pipeline engineering.</t>
        </is>
      </c>
      <c r="AP58" s="9" t="inlineStr">
        <is>
          <t>OPS01-1 · Associate Document Specialist</t>
        </is>
      </c>
      <c r="AQ58" s="9" t="inlineStr">
        <is>
          <r>
            <rPr>
              <rFont val="Calibri"/>
              <b val="1"/>
              <sz val="10"/>
            </rPr>
            <t>Complete defined parts under review:</t>
          </r>
          <r>
            <rPr>
              <rFont val="Calibri"/>
              <sz val="10"/>
            </rPr>
            <t xml:space="preserve"> convert and publish documents with layout and source checks.</t>
          </r>
        </is>
      </c>
      <c r="AR58" s="9" t="inlineStr">
        <is>
          <t>Repeatable correct delivery, safe escalation and required entry eligibility.</t>
        </is>
      </c>
      <c r="AS58" s="9" t="inlineStr">
        <is>
          <t>A controlled conversion with source reconciliation, rendering checks and publishing approval</t>
        </is>
      </c>
      <c r="AT58" s="9" t="inlineStr">
        <is>
          <r>
            <rPr>
              <rFont val="Calibri"/>
              <b val="1"/>
              <sz val="10"/>
            </rPr>
            <t>DataTracks:</t>
          </r>
          <r>
            <rPr>
              <rFont val="Calibri"/>
              <sz val="10"/>
            </rPr>
            <t xml:space="preserve"> Published career openings · Two selected titles. Gap: Associate and Senior Associate Document Specialist directly inform naming</t>
          </r>
        </is>
      </c>
      <c r="AU58" s="22" t="inlineStr">
        <is>
          <t>Framework + role-holders' themes · 3+ answered</t>
        </is>
      </c>
      <c r="AV58" s="9" t="inlineStr">
        <is>
          <t>4 holders, 4 answered the survey; sub-family 30 answered</t>
        </is>
      </c>
    </row>
    <row r="59" ht="132" customHeight="1">
      <c r="A59" s="17" t="inlineStr">
        <is>
          <t>RC-047</t>
        </is>
      </c>
      <c r="B59" s="9" t="inlineStr">
        <is>
          <t>Data Operations &amp; Digitization</t>
        </is>
      </c>
      <c r="C59" s="9" t="inlineStr">
        <is>
          <t>Document Conversion, Formatting &amp; Web Publishing</t>
        </is>
      </c>
      <c r="D59" s="18" t="inlineStr">
        <is>
          <t>A3</t>
        </is>
      </c>
      <c r="E59" s="19" t="inlineStr">
        <is>
          <t>Senior Associate</t>
        </is>
      </c>
      <c r="F59" s="9" t="inlineStr">
        <is>
          <t>IC</t>
        </is>
      </c>
      <c r="G59" s="9" t="inlineStr">
        <is>
          <t>Senior Digitization Associate</t>
        </is>
      </c>
      <c r="H59" s="8" t="n">
        <v>20</v>
      </c>
      <c r="I59" s="9" t="inlineStr">
        <is>
          <t>CARBON 14 · Consume 6</t>
        </is>
      </c>
      <c r="J59" s="9" t="inlineStr">
        <is>
          <r>
            <rPr>
              <rFont val="Calibri"/>
              <sz val="10"/>
            </rPr>
            <t xml:space="preserve">Converts and formats documents into HTML/PDF/Word to filing or web standards, and publishes content · incl. RBI website. At A3: varied work; reviews juniors; go-to for a process.
</t>
          </r>
          <r>
            <rPr>
              <rFont val="Calibri"/>
              <b val="1"/>
              <sz val="10"/>
            </rPr>
            <t>Common themes in role-holders' answers:</t>
          </r>
          <r>
            <rPr>
              <rFont val="Calibri"/>
              <sz val="10"/>
            </rPr>
            <t xml:space="preserve"> purpose · core · quality · formatting · accuracy · information</t>
          </r>
        </is>
      </c>
      <c r="K59" s="9" t="inlineStr">
        <is>
          <r>
            <rPr>
              <rFont val="Calibri"/>
              <sz val="10"/>
            </rPr>
            <t xml:space="preserve">Converts and formats documents into HTML/PDF/Word to filing or web standards, and publishes content · incl. RBI website; Varied and non-standard work; handles exceptions; A module / process, or work with client or regulatory consequences
</t>
          </r>
          <r>
            <rPr>
              <rFont val="Calibri"/>
              <b val="1"/>
              <sz val="10"/>
            </rPr>
            <t>Common themes in role-holders' answers:</t>
          </r>
          <r>
            <rPr>
              <rFont val="Calibri"/>
              <sz val="10"/>
            </rPr>
            <t xml:space="preserve"> document · quality · formatting · accuracy · checks · conversion</t>
          </r>
        </is>
      </c>
      <c r="L59" s="9" t="inlineStr">
        <is>
          <r>
            <rPr>
              <rFont val="Calibri"/>
              <sz val="10"/>
            </rPr>
            <t xml:space="preserve">A module / process, or work with client or regulatory consequences
</t>
          </r>
          <r>
            <rPr>
              <rFont val="Calibri"/>
              <b val="1"/>
              <sz val="10"/>
            </rPr>
            <t>Common themes in role-holders' answers:</t>
          </r>
          <r>
            <rPr>
              <rFont val="Calibri"/>
              <sz val="10"/>
            </rPr>
            <t xml:space="preserve"> html · pdf · word · documents · deliver · formatted</t>
          </r>
        </is>
      </c>
      <c r="M59" s="9" t="inlineStr">
        <is>
          <r>
            <rPr>
              <rFont val="Calibri"/>
              <sz val="10"/>
            </rPr>
            <t xml:space="preserve">A module / process, or work with client or regulatory consequences
</t>
          </r>
          <r>
            <rPr>
              <rFont val="Calibri"/>
              <b val="1"/>
              <sz val="10"/>
            </rPr>
            <t>Common themes in role-holders' answers:</t>
          </r>
          <r>
            <rPr>
              <rFont val="Calibri"/>
              <sz val="10"/>
            </rPr>
            <t xml:space="preserve"> accountable · am · accuracy · quality · timely · every</t>
          </r>
        </is>
      </c>
      <c r="N59" s="9" t="inlineStr">
        <is>
          <r>
            <rPr>
              <rFont val="Calibri"/>
              <sz val="10"/>
            </rPr>
            <t xml:space="preserve">Technical / QC / client calls on own work
</t>
          </r>
          <r>
            <rPr>
              <rFont val="Calibri"/>
              <b val="1"/>
              <sz val="10"/>
            </rPr>
            <t>Common themes in role-holders' answers:</t>
          </r>
          <r>
            <rPr>
              <rFont val="Calibri"/>
              <sz val="10"/>
            </rPr>
            <t xml:space="preserve"> formatting · validate · check · handle · independently · html</t>
          </r>
        </is>
      </c>
      <c r="O59" s="9" t="inlineStr">
        <is>
          <t>—</t>
        </is>
      </c>
      <c r="P59" s="9" t="inlineStr">
        <is>
          <t>OCR/Image procesing · attention to detail · Excel · quality checking · HTML · timely delivery · OCR · Word</t>
        </is>
      </c>
      <c r="Q59" s="9" t="inlineStr">
        <is>
          <t>Excel · Office 365 word · Abby FineReader · Carbon applications · DM · Web Expression HTML editor · Web Expression · HTML Editor</t>
        </is>
      </c>
      <c r="R59" s="9" t="inlineStr">
        <is>
          <t>Varied work; reviews juniors; go-to for a process</t>
        </is>
      </c>
      <c r="S59" s="9" t="inlineStr">
        <is>
          <t>Varied and non-standard work; handles exceptions</t>
        </is>
      </c>
      <c r="T59" s="9" t="inlineStr">
        <is>
          <t>Technical / QC / client calls on own work</t>
        </is>
      </c>
      <c r="U59" s="9" t="inlineStr">
        <is>
          <t>A module / process, or work with client or regulatory consequences</t>
        </is>
      </c>
      <c r="V59" s="9" t="inlineStr">
        <is>
          <t>Not scored in Band A</t>
        </is>
      </c>
      <c r="W59" s="9" t="inlineStr">
        <is>
          <t>2–4 yrs</t>
        </is>
      </c>
      <c r="X59" s="9" t="inlineStr">
        <is>
          <t>Graduate; relevant certification preferred</t>
        </is>
      </c>
      <c r="Y59" s="9" t="inlineStr">
        <is>
          <t>MOS Excel · optional; Lean / Six Sigma · optional</t>
        </is>
      </c>
      <c r="Z59" s="9" t="inlineStr">
        <is>
          <t>None · guides 1–3 juniors informally</t>
        </is>
      </c>
      <c r="AA59" s="9" t="inlineStr">
        <is>
          <t>Core 2 · Future-ready 2 · Functional 3 · Leadership —</t>
        </is>
      </c>
      <c r="AB59" s="9" t="inlineStr">
        <is>
          <t>Advanced Excel &amp; Productivity Tools · Process Improvement &amp; Quality Mindset</t>
        </is>
      </c>
      <c r="AC59" s="9" t="inlineStr">
        <is>
          <t>Regulatory &amp; BFSI Domain · XBRL, iXBRL &amp; Taxonomy · AI, GenAI &amp; Prompt Engineering · Time, Priority &amp; Self-Management</t>
        </is>
      </c>
      <c r="AD59" s="8" t="inlineStr">
        <is>
          <t>P2</t>
        </is>
      </c>
      <c r="AE59" s="8" t="inlineStr">
        <is>
          <t>3 Apply</t>
        </is>
      </c>
      <c r="AF59" s="9" t="inlineStr">
        <is>
          <r>
            <rPr>
              <rFont val="Calibri"/>
              <b val="1"/>
              <sz val="10"/>
            </rPr>
            <t>DataTracks:</t>
          </r>
          <r>
            <rPr>
              <rFont val="Calibri"/>
              <sz val="10"/>
            </rPr>
            <t xml:space="preserve"> Senior Associate · 2–5 yrs · Accenture Operations: L10 Senior Analyst · IRIS Vs Competitor Benchmark — operations roles: Senior Processor / QC</t>
          </r>
        </is>
      </c>
      <c r="AG59" s="9" t="inlineStr">
        <is>
          <t>COPC CX Standard · leadership &amp; planning, people, processes, performance; ISO 9001; Lean / Six Sigma</t>
        </is>
      </c>
      <c r="AH59" s="9" t="inlineStr">
        <is>
          <t>B1 · Specialist</t>
        </is>
      </c>
      <c r="AI59" s="9" t="inlineStr">
        <is>
          <t>Communication &amp; presentation · AI / automation · Broader exposure &amp; ownership · Domain, regulatory &amp; XBRL · Project / programme management</t>
        </is>
      </c>
      <c r="AJ59" s="9" t="inlineStr">
        <is>
          <t>—</t>
        </is>
      </c>
      <c r="AK59" s="9" t="inlineStr">
        <is>
          <t>Mentoring / guidance from seniors · Formal / classroom training · On-the-job / hands-on</t>
        </is>
      </c>
      <c r="AL59" s="9" t="inlineStr">
        <is>
          <t>issues · server · requirements · changes · formatting</t>
        </is>
      </c>
      <c r="AM59" s="9" t="inlineStr">
        <is>
          <t>reduce · improve · better · efficiency · automation</t>
        </is>
      </c>
      <c r="AN59" s="9" t="inlineStr">
        <is>
          <t>14 of 19 say the role is changing because of AI / automation</t>
        </is>
      </c>
      <c r="AO59" s="9" t="inlineStr">
        <is>
          <t>Produce trustworthy structured content and data. Includes: Document production, financial-data sourcing, validation and stewardship. Excludes: Corporate reporting; BI insight; software data-pipeline engineering.</t>
        </is>
      </c>
      <c r="AP59" s="9" t="inlineStr">
        <is>
          <t>OPS01-2 · Document Specialist</t>
        </is>
      </c>
      <c r="AQ59" s="9" t="inlineStr">
        <is>
          <t>Convert and publish documents with layout and source checks.</t>
        </is>
      </c>
      <c r="AR59" s="9" t="inlineStr">
        <is>
          <t>Demonstrate routine delivery plus judgement in bounded exceptions.</t>
        </is>
      </c>
      <c r="AS59" s="9" t="inlineStr">
        <is>
          <t>A controlled conversion with source reconciliation, rendering checks and publishing approval</t>
        </is>
      </c>
      <c r="AT59" s="9" t="inlineStr">
        <is>
          <r>
            <rPr>
              <rFont val="Calibri"/>
              <b val="1"/>
              <sz val="10"/>
            </rPr>
            <t>DataTracks:</t>
          </r>
          <r>
            <rPr>
              <rFont val="Calibri"/>
              <sz val="10"/>
            </rPr>
            <t xml:space="preserve"> Published career openings · Two selected titles. Gap: Associate and Senior Associate Document Specialist directly inform naming</t>
          </r>
        </is>
      </c>
      <c r="AU59" s="22" t="inlineStr">
        <is>
          <t>Framework + role-holders' themes · 3+ answered</t>
        </is>
      </c>
      <c r="AV59" s="9" t="inlineStr">
        <is>
          <t>20 holders, 19 answered the survey; sub-family 30 answered</t>
        </is>
      </c>
    </row>
    <row r="60" ht="106" customHeight="1">
      <c r="A60" s="17" t="inlineStr">
        <is>
          <t>RC-048</t>
        </is>
      </c>
      <c r="B60" s="9" t="inlineStr">
        <is>
          <t>Data Operations &amp; Digitization</t>
        </is>
      </c>
      <c r="C60" s="9" t="inlineStr">
        <is>
          <t>Document Conversion, Formatting &amp; Web Publishing</t>
        </is>
      </c>
      <c r="D60" s="21" t="inlineStr">
        <is>
          <t>B1</t>
        </is>
      </c>
      <c r="E60" s="22" t="inlineStr">
        <is>
          <t>Specialist</t>
        </is>
      </c>
      <c r="F60" s="9" t="inlineStr">
        <is>
          <t>IC</t>
        </is>
      </c>
      <c r="G60" s="9" t="inlineStr">
        <is>
          <t>Digitization Specialist – POD Lead · Digitization Specialist</t>
        </is>
      </c>
      <c r="H60" s="8" t="n">
        <v>4</v>
      </c>
      <c r="I60" s="9" t="inlineStr">
        <is>
          <t>CARBON 3 · Consume 1</t>
        </is>
      </c>
      <c r="J60" s="9" t="inlineStr">
        <is>
          <r>
            <rPr>
              <rFont val="Calibri"/>
              <sz val="10"/>
            </rPr>
            <t xml:space="preserve">Converts and formats documents into HTML/PDF/Word to filing or web standards, and publishes content · incl. RBI website. At B1: a domain / module, or a small team.
</t>
          </r>
          <r>
            <rPr>
              <rFont val="Calibri"/>
              <b val="1"/>
              <sz val="10"/>
            </rPr>
            <t>Common themes in role-holders' answers:</t>
          </r>
          <r>
            <rPr>
              <rFont val="Calibri"/>
              <sz val="10"/>
            </rPr>
            <t xml:space="preserve"> am · formatting · processing · specialist · checker · image</t>
          </r>
        </is>
      </c>
      <c r="K60" s="9" t="inlineStr">
        <is>
          <r>
            <rPr>
              <rFont val="Calibri"/>
              <sz val="10"/>
            </rPr>
            <t xml:space="preserve">Converts and formats documents into HTML/PDF/Word to filing or web standards, and publishes content · incl. RBI website; Domain specialist work; A domain or a small team
</t>
          </r>
          <r>
            <rPr>
              <rFont val="Calibri"/>
              <b val="1"/>
              <sz val="10"/>
            </rPr>
            <t>Common themes in role-holders' answers:</t>
          </r>
          <r>
            <rPr>
              <rFont val="Calibri"/>
              <sz val="10"/>
            </rPr>
            <t xml:space="preserve"> files · quality · html · received · correctly · checking</t>
          </r>
        </is>
      </c>
      <c r="L60" s="9" t="inlineStr">
        <is>
          <r>
            <rPr>
              <rFont val="Calibri"/>
              <sz val="10"/>
            </rPr>
            <t xml:space="preserve">A domain or a small team
</t>
          </r>
          <r>
            <rPr>
              <rFont val="Calibri"/>
              <b val="1"/>
              <sz val="10"/>
            </rPr>
            <t>Common themes in role-holders' answers:</t>
          </r>
          <r>
            <rPr>
              <rFont val="Calibri"/>
              <sz val="10"/>
            </rPr>
            <t xml:space="preserve"> word · pdf · html</t>
          </r>
        </is>
      </c>
      <c r="M60" s="9" t="inlineStr">
        <is>
          <r>
            <rPr>
              <rFont val="Calibri"/>
              <sz val="10"/>
            </rPr>
            <t xml:space="preserve">A domain or a small team
</t>
          </r>
          <r>
            <rPr>
              <rFont val="Calibri"/>
              <b val="1"/>
              <sz val="10"/>
            </rPr>
            <t>Common themes in role-holders' answers:</t>
          </r>
          <r>
            <rPr>
              <rFont val="Calibri"/>
              <sz val="10"/>
            </rPr>
            <t xml:space="preserve"> accountable · am · every</t>
          </r>
        </is>
      </c>
      <c r="N60" s="9" t="inlineStr">
        <is>
          <t>Technical / QC / client calls for the domain</t>
        </is>
      </c>
      <c r="O60" s="9" t="inlineStr">
        <is>
          <t>—</t>
        </is>
      </c>
      <c r="P60" s="9" t="inlineStr">
        <is>
          <t>OCR/Image procesing</t>
        </is>
      </c>
      <c r="Q60" s="9" t="inlineStr">
        <is>
          <t>Carbon applications · Office 365 word · Excel · Abby FineReader · Web Expression HTML Editor</t>
        </is>
      </c>
      <c r="R60" s="9" t="inlineStr">
        <is>
          <t>A domain / module, or a small team</t>
        </is>
      </c>
      <c r="S60" s="9" t="inlineStr">
        <is>
          <t>Domain specialist work</t>
        </is>
      </c>
      <c r="T60" s="9" t="inlineStr">
        <is>
          <t>Technical / QC / client calls for the domain</t>
        </is>
      </c>
      <c r="U60" s="9" t="inlineStr">
        <is>
          <t>A domain or a small team</t>
        </is>
      </c>
      <c r="V60" s="9" t="inlineStr">
        <is>
          <r>
            <rPr>
              <rFont val="Calibri"/>
              <b val="1"/>
              <sz val="10"/>
            </rPr>
            <t>IC:</t>
          </r>
          <r>
            <rPr>
              <rFont val="Calibri"/>
              <sz val="10"/>
            </rPr>
            <t xml:space="preserve"> mentors and reviews · People: hands-on team lead of 3–5</t>
          </r>
        </is>
      </c>
      <c r="W60" s="9" t="inlineStr">
        <is>
          <t>4–7 yrs</t>
        </is>
      </c>
      <c r="X60" s="9" t="inlineStr">
        <is>
          <t>Graduate + relevant qualification or certification preferred</t>
        </is>
      </c>
      <c r="Y60" s="9" t="inlineStr">
        <is>
          <t>MOS Excel · optional; Lean / Six Sigma · optional</t>
        </is>
      </c>
      <c r="Z60" s="9" t="inlineStr">
        <is>
          <r>
            <rPr>
              <rFont val="Calibri"/>
              <b val="1"/>
              <sz val="10"/>
            </rPr>
            <t>IC:</t>
          </r>
          <r>
            <rPr>
              <rFont val="Calibri"/>
              <sz val="10"/>
            </rPr>
            <t xml:space="preserve"> none · Team Lead: 3–5</t>
          </r>
        </is>
      </c>
      <c r="AA60" s="9" t="inlineStr">
        <is>
          <t>Core 3 · Future-ready 3 · Functional 3 · Leadership 1</t>
        </is>
      </c>
      <c r="AB60" s="9" t="inlineStr">
        <is>
          <t>Advanced Excel &amp; Productivity Tools · Process Improvement &amp; Quality Mindset</t>
        </is>
      </c>
      <c r="AC60" s="9" t="inlineStr">
        <is>
          <t>Regulatory &amp; BFSI Domain · XBRL, iXBRL &amp; Taxonomy · AI, GenAI &amp; Prompt Engineering · Time, Priority &amp; Self-Management</t>
        </is>
      </c>
      <c r="AD60" s="8" t="inlineStr">
        <is>
          <t>P3 / M2</t>
        </is>
      </c>
      <c r="AE60" s="8" t="inlineStr">
        <is>
          <t>4 Enable</t>
        </is>
      </c>
      <c r="AF60" s="9" t="inlineStr">
        <is>
          <r>
            <rPr>
              <rFont val="Calibri"/>
              <b val="1"/>
              <sz val="10"/>
            </rPr>
            <t>Accenture Operations:</t>
          </r>
          <r>
            <rPr>
              <rFont val="Calibri"/>
              <sz val="10"/>
            </rPr>
            <t xml:space="preserve"> L9 Team Lead · IRIS Vs Competitor Benchmark — operations roles: Team Lead / Quality Lead</t>
          </r>
        </is>
      </c>
      <c r="AG60" s="9" t="inlineStr">
        <is>
          <t>COPC CX Standard · leadership &amp; planning, people, processes, performance; ISO 9001; Lean / Six Sigma</t>
        </is>
      </c>
      <c r="AH60" s="9" t="inlineStr">
        <is>
          <t>B2 · Senior Specialist</t>
        </is>
      </c>
      <c r="AI60" s="9" t="inlineStr">
        <is>
          <t>Data, SQL &amp; analytics · Communication &amp; presentation · Product &amp; tool knowledge · Broader exposure &amp; ownership · Domain, regulatory &amp; XBRL</t>
        </is>
      </c>
      <c r="AJ60" s="9" t="inlineStr">
        <is>
          <t>—</t>
        </is>
      </c>
      <c r="AK60" s="9" t="inlineStr">
        <is>
          <t>Mentoring / guidance from seniors · On-the-job / hands-on · Formal / classroom training</t>
        </is>
      </c>
      <c r="AL60" s="9" t="inlineStr">
        <is>
          <t>quality · server · issues</t>
        </is>
      </c>
      <c r="AM60" s="9" t="inlineStr">
        <is>
          <t>automation reduce · tat way · forward · reduce tat</t>
        </is>
      </c>
      <c r="AN60" s="9" t="inlineStr">
        <is>
          <t>3 of 4 say the role is changing because of AI / automation</t>
        </is>
      </c>
      <c r="AO60" s="9" t="inlineStr">
        <is>
          <t>Produce trustworthy structured content and data. Includes: Document production, financial-data sourcing, validation and stewardship. Excludes: Corporate reporting; BI insight; software data-pipeline engineering.</t>
        </is>
      </c>
      <c r="AP60" s="9" t="inlineStr">
        <is>
          <t>OPS01-3 · Senior Associate Document Specialist</t>
        </is>
      </c>
      <c r="AQ60" s="9" t="inlineStr">
        <is>
          <t>Resolve complex production defects and review critical releases.</t>
        </is>
      </c>
      <c r="AR60" s="9" t="inlineStr">
        <is>
          <t>Evidence of complex work, decisions and outcomes beyond routine delivery.</t>
        </is>
      </c>
      <c r="AS60" s="9" t="inlineStr">
        <is>
          <t>A controlled conversion with source reconciliation, rendering checks and publishing approval</t>
        </is>
      </c>
      <c r="AT60" s="9" t="inlineStr">
        <is>
          <r>
            <rPr>
              <rFont val="Calibri"/>
              <b val="1"/>
              <sz val="10"/>
            </rPr>
            <t>DataTracks:</t>
          </r>
          <r>
            <rPr>
              <rFont val="Calibri"/>
              <sz val="10"/>
            </rPr>
            <t xml:space="preserve"> Published career openings · Two selected titles. Gap: Associate and Senior Associate Document Specialist directly inform naming</t>
          </r>
        </is>
      </c>
      <c r="AU60" s="22" t="inlineStr">
        <is>
          <t>Framework + role-holders' themes · 3+ answered</t>
        </is>
      </c>
      <c r="AV60" s="9" t="inlineStr">
        <is>
          <t>4 holders, 4 answered the survey; sub-family 30 answered</t>
        </is>
      </c>
    </row>
    <row r="61" ht="119" customHeight="1">
      <c r="A61" s="17" t="inlineStr">
        <is>
          <t>RC-049</t>
        </is>
      </c>
      <c r="B61" s="9" t="inlineStr">
        <is>
          <t>Data Operations &amp; Digitization</t>
        </is>
      </c>
      <c r="C61" s="9" t="inlineStr">
        <is>
          <t>Document Conversion, Formatting &amp; Web Publishing</t>
        </is>
      </c>
      <c r="D61" s="21" t="inlineStr">
        <is>
          <t>B1</t>
        </is>
      </c>
      <c r="E61" s="22" t="inlineStr">
        <is>
          <t>Team Lead</t>
        </is>
      </c>
      <c r="F61" s="9" t="inlineStr">
        <is>
          <t>Manager</t>
        </is>
      </c>
      <c r="G61" s="9" t="inlineStr">
        <is>
          <t>Team Lead – Digitization</t>
        </is>
      </c>
      <c r="H61" s="8" t="n">
        <v>1</v>
      </c>
      <c r="I61" s="9" t="inlineStr">
        <is>
          <t>CARBON 1</t>
        </is>
      </c>
      <c r="J61" s="9" t="inlineStr">
        <is>
          <r>
            <rPr>
              <rFont val="Calibri"/>
              <sz val="10"/>
            </rPr>
            <t xml:space="preserve">Converts and formats documents into HTML/PDF/Word to filing or web standards, and publishes content · incl. RBI website. At B1: a domain / module, or a small team.
</t>
          </r>
          <r>
            <rPr>
              <rFont val="Calibri"/>
              <b val="1"/>
              <sz val="10"/>
            </rPr>
            <t>Common themes in sub-family holders, all levels' answers:</t>
          </r>
          <r>
            <rPr>
              <rFont val="Calibri"/>
              <sz val="10"/>
            </rPr>
            <t xml:space="preserve"> purpose · core · formatting · quality · rbi · website</t>
          </r>
        </is>
      </c>
      <c r="K61" s="9" t="inlineStr">
        <is>
          <r>
            <rPr>
              <rFont val="Calibri"/>
              <sz val="10"/>
            </rPr>
            <t xml:space="preserve">Converts and formats documents into HTML/PDF/Word to filing or web standards, and publishes content · incl. RBI website; Domain specialist work; A domain or a small team
</t>
          </r>
          <r>
            <rPr>
              <rFont val="Calibri"/>
              <b val="1"/>
              <sz val="10"/>
            </rPr>
            <t>Common themes in sub-family holders, all levels' answers:</t>
          </r>
          <r>
            <rPr>
              <rFont val="Calibri"/>
              <sz val="10"/>
            </rPr>
            <t xml:space="preserve"> quality · document · formatting · html · accuracy · conversion</t>
          </r>
        </is>
      </c>
      <c r="L61" s="9" t="inlineStr">
        <is>
          <r>
            <rPr>
              <rFont val="Calibri"/>
              <sz val="10"/>
            </rPr>
            <t xml:space="preserve">A domain or a small team
</t>
          </r>
          <r>
            <rPr>
              <rFont val="Calibri"/>
              <b val="1"/>
              <sz val="10"/>
            </rPr>
            <t>Common themes in sub-family holders, all levels' answers:</t>
          </r>
          <r>
            <rPr>
              <rFont val="Calibri"/>
              <sz val="10"/>
            </rPr>
            <t xml:space="preserve"> html · pdf · word · deliver · formatted · documents</t>
          </r>
        </is>
      </c>
      <c r="M61" s="9" t="inlineStr">
        <is>
          <r>
            <rPr>
              <rFont val="Calibri"/>
              <sz val="10"/>
            </rPr>
            <t xml:space="preserve">A domain or a small team
</t>
          </r>
          <r>
            <rPr>
              <rFont val="Calibri"/>
              <b val="1"/>
              <sz val="10"/>
            </rPr>
            <t>Common themes in sub-family holders, all levels' answers:</t>
          </r>
          <r>
            <rPr>
              <rFont val="Calibri"/>
              <sz val="10"/>
            </rPr>
            <t xml:space="preserve"> am · accountable · accuracy · quality · every · formatting</t>
          </r>
        </is>
      </c>
      <c r="N61" s="9" t="inlineStr">
        <is>
          <r>
            <rPr>
              <rFont val="Calibri"/>
              <sz val="10"/>
            </rPr>
            <t xml:space="preserve">Technical / QC / client calls for the domain
</t>
          </r>
          <r>
            <rPr>
              <rFont val="Calibri"/>
              <b val="1"/>
              <sz val="10"/>
            </rPr>
            <t>Common themes in sub-family holders, all levels' answers:</t>
          </r>
          <r>
            <rPr>
              <rFont val="Calibri"/>
              <sz val="10"/>
            </rPr>
            <t xml:space="preserve"> formatting · independently · html · validate · allocate · cipc</t>
          </r>
        </is>
      </c>
      <c r="O61" s="9" t="inlineStr">
        <is>
          <t>—</t>
        </is>
      </c>
      <c r="P61" s="9" t="inlineStr">
        <is>
          <t>OCR/Image procesing · attention to detail · quality checking · Excel · timely delivery · HTML · Word · ABYYY Fine Reader</t>
        </is>
      </c>
      <c r="Q61" s="9" t="inlineStr">
        <is>
          <t>Excel · Office 365 word · Carbon applications · Abby FineReader · Web Expression HTML editor · DM · HTML Editor · US DM - Carbon</t>
        </is>
      </c>
      <c r="R61" s="9" t="inlineStr">
        <is>
          <t>A domain / module, or a small team</t>
        </is>
      </c>
      <c r="S61" s="9" t="inlineStr">
        <is>
          <t>Domain specialist work</t>
        </is>
      </c>
      <c r="T61" s="9" t="inlineStr">
        <is>
          <t>Technical / QC / client calls for the domain</t>
        </is>
      </c>
      <c r="U61" s="9" t="inlineStr">
        <is>
          <t>A domain or a small team</t>
        </is>
      </c>
      <c r="V61" s="9" t="inlineStr">
        <is>
          <r>
            <rPr>
              <rFont val="Calibri"/>
              <b val="1"/>
              <sz val="10"/>
            </rPr>
            <t>IC:</t>
          </r>
          <r>
            <rPr>
              <rFont val="Calibri"/>
              <sz val="10"/>
            </rPr>
            <t xml:space="preserve"> mentors and reviews · People: hands-on team lead of 3–5</t>
          </r>
        </is>
      </c>
      <c r="W61" s="9" t="inlineStr">
        <is>
          <t>4–7 yrs</t>
        </is>
      </c>
      <c r="X61" s="9" t="inlineStr">
        <is>
          <t>Graduate + relevant qualification or certification preferred</t>
        </is>
      </c>
      <c r="Y61" s="9" t="inlineStr">
        <is>
          <t>MOS Excel · optional; Lean / Six Sigma · optional</t>
        </is>
      </c>
      <c r="Z61" s="9" t="inlineStr">
        <is>
          <r>
            <rPr>
              <rFont val="Calibri"/>
              <b val="1"/>
              <sz val="10"/>
            </rPr>
            <t>IC:</t>
          </r>
          <r>
            <rPr>
              <rFont val="Calibri"/>
              <sz val="10"/>
            </rPr>
            <t xml:space="preserve"> none · Team Lead: 3–5</t>
          </r>
        </is>
      </c>
      <c r="AA61" s="9" t="inlineStr">
        <is>
          <t>Core 3 · Future-ready 3 · Functional 3 · Leadership 2</t>
        </is>
      </c>
      <c r="AB61" s="9" t="inlineStr">
        <is>
          <t>Advanced Excel &amp; Productivity Tools · Process Improvement &amp; Quality Mindset</t>
        </is>
      </c>
      <c r="AC61" s="9" t="inlineStr">
        <is>
          <t>Regulatory &amp; BFSI Domain · XBRL, iXBRL &amp; Taxonomy · AI, GenAI &amp; Prompt Engineering · Time, Priority &amp; Self-Management</t>
        </is>
      </c>
      <c r="AD61" s="8" t="inlineStr">
        <is>
          <t>P3 / M2</t>
        </is>
      </c>
      <c r="AE61" s="8" t="inlineStr">
        <is>
          <t>4 Enable</t>
        </is>
      </c>
      <c r="AF61" s="9" t="inlineStr">
        <is>
          <r>
            <rPr>
              <rFont val="Calibri"/>
              <b val="1"/>
              <sz val="10"/>
            </rPr>
            <t>Accenture Operations:</t>
          </r>
          <r>
            <rPr>
              <rFont val="Calibri"/>
              <sz val="10"/>
            </rPr>
            <t xml:space="preserve"> L9 Team Lead · IRIS Vs Competitor Benchmark — operations roles: Team Lead / Quality Lead</t>
          </r>
        </is>
      </c>
      <c r="AG61" s="9" t="inlineStr">
        <is>
          <t>COPC CX Standard · leadership &amp; planning, people, processes, performance; ISO 9001; Lean / Six Sigma</t>
        </is>
      </c>
      <c r="AH61" s="9" t="inlineStr">
        <is>
          <t>B2 · Senior Specialist</t>
        </is>
      </c>
      <c r="AI61" s="9" t="inlineStr">
        <is>
          <t>Leadership &amp; people management · Communication &amp; presentation</t>
        </is>
      </c>
      <c r="AJ61" s="9" t="inlineStr">
        <is>
          <r>
            <rPr>
              <rFont val="Calibri"/>
              <b val="1"/>
              <sz val="10"/>
            </rPr>
            <t>Leadership development:</t>
          </r>
          <r>
            <rPr>
              <rFont val="Calibri"/>
              <sz val="10"/>
            </rPr>
            <t xml:space="preserve"> strategic thinking, cross-functional influence, financial/business acumen, succession &amp; talent development, change management, executive communication</t>
          </r>
        </is>
      </c>
      <c r="AK61" s="9" t="inlineStr">
        <is>
          <t>Mentoring / guidance from seniors · Formal / classroom training · On-the-job / hands-on</t>
        </is>
      </c>
      <c r="AL61" s="9" t="inlineStr">
        <is>
          <t>issues · requirements · server · client · document</t>
        </is>
      </c>
      <c r="AM61" s="9" t="inlineStr">
        <is>
          <t>improve · reduce · efficiency · better · automation</t>
        </is>
      </c>
      <c r="AN61" s="9" t="inlineStr">
        <is>
          <t>19 of 30 say the role is changing because of AI / automation</t>
        </is>
      </c>
      <c r="AO61" s="9" t="inlineStr">
        <is>
          <t>Produce trustworthy structured content and data. Includes: Document production, financial-data sourcing, validation and stewardship. Excludes: Corporate reporting; BI insight; software data-pipeline engineering.</t>
        </is>
      </c>
      <c r="AP61" s="9" t="inlineStr">
        <is>
          <t>LD08-1 · Data Operations Manager</t>
        </is>
      </c>
      <c r="AQ61" s="9" t="inlineStr">
        <is>
          <t>Own staffing decisions, performance support, service quality and delegated team resources</t>
        </is>
      </c>
      <c r="AR61" s="9" t="inlineStr">
        <is>
          <t>Do not manufacture three reporting layers. Choose roles the organisation needs. A specialist may remain on an equally valued expert path.</t>
        </is>
      </c>
      <c r="AS61" s="9" t="inlineStr">
        <is>
          <t>—</t>
        </is>
      </c>
      <c r="AT61" s="9" t="inlineStr">
        <is>
          <t>—</t>
        </is>
      </c>
      <c r="AU61" s="19" t="inlineStr">
        <is>
          <t>Framework + sub-family themes · 3+ answered</t>
        </is>
      </c>
      <c r="AV61" s="9" t="inlineStr">
        <is>
          <t>1 holder, 1 answered the survey; sub-family 30 answered</t>
        </is>
      </c>
    </row>
    <row r="62" ht="119" customHeight="1">
      <c r="A62" s="17" t="inlineStr">
        <is>
          <t>RC-050</t>
        </is>
      </c>
      <c r="B62" s="9" t="inlineStr">
        <is>
          <t>Data Operations &amp; Digitization</t>
        </is>
      </c>
      <c r="C62" s="9" t="inlineStr">
        <is>
          <t>Document Conversion, Formatting &amp; Web Publishing</t>
        </is>
      </c>
      <c r="D62" s="21" t="inlineStr">
        <is>
          <t>B2</t>
        </is>
      </c>
      <c r="E62" s="22" t="inlineStr">
        <is>
          <t>Manager</t>
        </is>
      </c>
      <c r="F62" s="9" t="inlineStr">
        <is>
          <t>Manager</t>
        </is>
      </c>
      <c r="G62" s="9" t="inlineStr">
        <is>
          <t>Digitization Manager</t>
        </is>
      </c>
      <c r="H62" s="8" t="n">
        <v>2</v>
      </c>
      <c r="I62" s="9" t="inlineStr">
        <is>
          <t>CARBON 1 · Consume 1</t>
        </is>
      </c>
      <c r="J62" s="9" t="inlineStr">
        <is>
          <r>
            <rPr>
              <rFont val="Calibri"/>
              <sz val="10"/>
            </rPr>
            <t xml:space="preserve">Converts and formats documents into HTML/PDF/Word to filing or web standards, and publishes content · incl. RBI website. At B2: deep domain expertise, or one team.
</t>
          </r>
          <r>
            <rPr>
              <rFont val="Calibri"/>
              <b val="1"/>
              <sz val="10"/>
            </rPr>
            <t>Common themes in sub-family holders, all levels' answers:</t>
          </r>
          <r>
            <rPr>
              <rFont val="Calibri"/>
              <sz val="10"/>
            </rPr>
            <t xml:space="preserve"> purpose · core · formatting · quality · rbi · website</t>
          </r>
        </is>
      </c>
      <c r="K62" s="9" t="inlineStr">
        <is>
          <r>
            <rPr>
              <rFont val="Calibri"/>
              <sz val="10"/>
            </rPr>
            <t xml:space="preserve">Converts and formats documents into HTML/PDF/Word to filing or web standards, and publishes content · incl. RBI website; Hardest problems in the domain; One team or a client portfolio
</t>
          </r>
          <r>
            <rPr>
              <rFont val="Calibri"/>
              <b val="1"/>
              <sz val="10"/>
            </rPr>
            <t>Common themes in sub-family holders, all levels' answers:</t>
          </r>
          <r>
            <rPr>
              <rFont val="Calibri"/>
              <sz val="10"/>
            </rPr>
            <t xml:space="preserve"> quality · document · formatting · html · accuracy · conversion</t>
          </r>
        </is>
      </c>
      <c r="L62" s="9" t="inlineStr">
        <is>
          <r>
            <rPr>
              <rFont val="Calibri"/>
              <sz val="10"/>
            </rPr>
            <t xml:space="preserve">One team or a client portfolio
</t>
          </r>
          <r>
            <rPr>
              <rFont val="Calibri"/>
              <b val="1"/>
              <sz val="10"/>
            </rPr>
            <t>Common themes in sub-family holders, all levels' answers:</t>
          </r>
          <r>
            <rPr>
              <rFont val="Calibri"/>
              <sz val="10"/>
            </rPr>
            <t xml:space="preserve"> html · pdf · word · deliver · formatted · documents</t>
          </r>
        </is>
      </c>
      <c r="M62" s="9" t="inlineStr">
        <is>
          <r>
            <rPr>
              <rFont val="Calibri"/>
              <sz val="10"/>
            </rPr>
            <t xml:space="preserve">One team or a client portfolio
</t>
          </r>
          <r>
            <rPr>
              <rFont val="Calibri"/>
              <b val="1"/>
              <sz val="10"/>
            </rPr>
            <t>Common themes in sub-family holders, all levels' answers:</t>
          </r>
          <r>
            <rPr>
              <rFont val="Calibri"/>
              <sz val="10"/>
            </rPr>
            <t xml:space="preserve"> am · accountable · accuracy · quality · every · formatting</t>
          </r>
        </is>
      </c>
      <c r="N62" s="9" t="inlineStr">
        <is>
          <r>
            <rPr>
              <rFont val="Calibri"/>
              <sz val="10"/>
            </rPr>
            <t xml:space="preserve">Allocates people and sets team priorities
</t>
          </r>
          <r>
            <rPr>
              <rFont val="Calibri"/>
              <b val="1"/>
              <sz val="10"/>
            </rPr>
            <t>Common themes in sub-family holders, all levels' answers:</t>
          </r>
          <r>
            <rPr>
              <rFont val="Calibri"/>
              <sz val="10"/>
            </rPr>
            <t xml:space="preserve"> formatting · independently · html · validate · allocate · cipc</t>
          </r>
        </is>
      </c>
      <c r="O62" s="9" t="inlineStr">
        <is>
          <t>—</t>
        </is>
      </c>
      <c r="P62" s="9" t="inlineStr">
        <is>
          <t>OCR/Image procesing · attention to detail · quality checking · Excel · timely delivery · HTML · Word · ABYYY Fine Reader</t>
        </is>
      </c>
      <c r="Q62" s="9" t="inlineStr">
        <is>
          <t>Excel · Office 365 word · Carbon applications · Abby FineReader · Web Expression HTML editor · DM · HTML Editor · US DM - Carbon</t>
        </is>
      </c>
      <c r="R62" s="9" t="inlineStr">
        <is>
          <t>Deep domain expertise, or one team</t>
        </is>
      </c>
      <c r="S62" s="9" t="inlineStr">
        <is>
          <t>Hardest problems in the domain</t>
        </is>
      </c>
      <c r="T62" s="9" t="inlineStr">
        <is>
          <t>Allocates people and sets team priorities</t>
        </is>
      </c>
      <c r="U62" s="9" t="inlineStr">
        <is>
          <t>One team or a client portfolio</t>
        </is>
      </c>
      <c r="V62" s="9" t="inlineStr">
        <is>
          <r>
            <rPr>
              <rFont val="Calibri"/>
              <b val="1"/>
              <sz val="10"/>
            </rPr>
            <t>IC:</t>
          </r>
          <r>
            <rPr>
              <rFont val="Calibri"/>
              <sz val="10"/>
            </rPr>
            <t xml:space="preserve"> guides others in the domain · People: manages a team of 6+</t>
          </r>
        </is>
      </c>
      <c r="W62" s="9" t="inlineStr">
        <is>
          <t>6–9 yrs</t>
        </is>
      </c>
      <c r="X62" s="9" t="inlineStr">
        <is>
          <t>Graduate or postgraduate; professional qualification preferred</t>
        </is>
      </c>
      <c r="Y62" s="9" t="inlineStr">
        <is>
          <t>MOS Excel · optional; Lean / Six Sigma · optional</t>
        </is>
      </c>
      <c r="Z62" s="9" t="inlineStr">
        <is>
          <r>
            <rPr>
              <rFont val="Calibri"/>
              <b val="1"/>
              <sz val="10"/>
            </rPr>
            <t>IC:</t>
          </r>
          <r>
            <rPr>
              <rFont val="Calibri"/>
              <sz val="10"/>
            </rPr>
            <t xml:space="preserve"> none · People: 6–8 knowledge work, 8–12 standardised delivery</t>
          </r>
        </is>
      </c>
      <c r="AA62" s="9" t="inlineStr">
        <is>
          <t>Core 3 · Future-ready 3 · Functional 4 · Leadership 3</t>
        </is>
      </c>
      <c r="AB62" s="9" t="inlineStr">
        <is>
          <t>Advanced Excel &amp; Productivity Tools · Process Improvement &amp; Quality Mindset</t>
        </is>
      </c>
      <c r="AC62" s="9" t="inlineStr">
        <is>
          <t>Regulatory &amp; BFSI Domain · XBRL, iXBRL &amp; Taxonomy · AI, GenAI &amp; Prompt Engineering · Time, Priority &amp; Self-Management</t>
        </is>
      </c>
      <c r="AD62" s="8" t="inlineStr">
        <is>
          <t>P4 / M3</t>
        </is>
      </c>
      <c r="AE62" s="8" t="inlineStr">
        <is>
          <t>4–5</t>
        </is>
      </c>
      <c r="AF62" s="9" t="inlineStr">
        <is>
          <r>
            <rPr>
              <rFont val="Calibri"/>
              <b val="1"/>
              <sz val="10"/>
            </rPr>
            <t>Accenture Operations:</t>
          </r>
          <r>
            <rPr>
              <rFont val="Calibri"/>
              <sz val="10"/>
            </rPr>
            <t xml:space="preserve"> L8 Associate Manager · IRIS Vs Competitor Benchmark — operations roles: Operations Manager</t>
          </r>
        </is>
      </c>
      <c r="AG62" s="9" t="inlineStr">
        <is>
          <t>COPC CX Standard · leadership &amp; planning, people, processes, performance; ISO 9001; Lean / Six Sigma</t>
        </is>
      </c>
      <c r="AH62" s="9" t="inlineStr">
        <is>
          <t>B3 · Lead Specialist</t>
        </is>
      </c>
      <c r="AI62" s="9" t="inlineStr">
        <is>
          <t>Product &amp; tool knowledge · Communication &amp; presentation · Certification / formal course · Strategy &amp; business acumen</t>
        </is>
      </c>
      <c r="AJ62" s="9" t="inlineStr">
        <is>
          <t>—</t>
        </is>
      </c>
      <c r="AK62" s="9" t="inlineStr">
        <is>
          <t>Mentoring / guidance from seniors · Formal / classroom training · On-the-job / hands-on</t>
        </is>
      </c>
      <c r="AL62" s="9" t="inlineStr">
        <is>
          <t>issues · requirements · server · client · document</t>
        </is>
      </c>
      <c r="AM62" s="9" t="inlineStr">
        <is>
          <t>improve · reduce · efficiency · better · automation</t>
        </is>
      </c>
      <c r="AN62" s="9" t="inlineStr">
        <is>
          <t>19 of 30 say the role is changing because of AI / automation</t>
        </is>
      </c>
      <c r="AO62" s="9" t="inlineStr">
        <is>
          <t>Produce trustworthy structured content and data. Includes: Document production, financial-data sourcing, validation and stewardship. Excludes: Corporate reporting; BI insight; software data-pipeline engineering.</t>
        </is>
      </c>
      <c r="AP62" s="9" t="inlineStr">
        <is>
          <t>LD08-1 · Data Operations Manager</t>
        </is>
      </c>
      <c r="AQ62" s="9" t="inlineStr">
        <is>
          <t>Own staffing decisions, performance support, service quality and delegated team resources</t>
        </is>
      </c>
      <c r="AR62" s="9" t="inlineStr">
        <is>
          <t>Do not manufacture three reporting layers. Choose roles the organisation needs. A specialist may remain on an equally valued expert path.</t>
        </is>
      </c>
      <c r="AS62" s="9" t="inlineStr">
        <is>
          <t>—</t>
        </is>
      </c>
      <c r="AT62" s="9" t="inlineStr">
        <is>
          <t>—</t>
        </is>
      </c>
      <c r="AU62" s="19" t="inlineStr">
        <is>
          <t>Framework + sub-family themes · 3+ answered</t>
        </is>
      </c>
      <c r="AV62" s="9" t="inlineStr">
        <is>
          <t>2 holders, 2 answered the survey; sub-family 30 answered</t>
        </is>
      </c>
    </row>
    <row r="63">
      <c r="A63" s="94" t="inlineStr">
        <is>
          <t>Design &amp; Creative — 4 roles · 6 people</t>
        </is>
      </c>
    </row>
    <row r="64" ht="93" customHeight="1">
      <c r="A64" s="17" t="inlineStr">
        <is>
          <t>RC-051</t>
        </is>
      </c>
      <c r="B64" s="9" t="inlineStr">
        <is>
          <t>Design &amp; Creative</t>
        </is>
      </c>
      <c r="C64" s="9" t="inlineStr">
        <is>
          <t>Brand, Graphic &amp; Video Design</t>
        </is>
      </c>
      <c r="D64" s="18" t="inlineStr">
        <is>
          <t>A2</t>
        </is>
      </c>
      <c r="E64" s="19" t="inlineStr">
        <is>
          <t>Associate</t>
        </is>
      </c>
      <c r="F64" s="9" t="inlineStr">
        <is>
          <t>IC</t>
        </is>
      </c>
      <c r="G64" s="9" t="inlineStr">
        <is>
          <t>Designer</t>
        </is>
      </c>
      <c r="H64" s="8" t="n">
        <v>1</v>
      </c>
      <c r="I64" s="9" t="inlineStr">
        <is>
          <t>Datatech 1</t>
        </is>
      </c>
      <c r="J64" s="9" t="inlineStr">
        <is>
          <r>
            <rPr>
              <rFont val="Calibri"/>
              <sz val="10"/>
            </rPr>
            <t xml:space="preserve">Creates brand assets, creatives, decks, motion graphics and video. At A2: standard work delivered independently.
</t>
          </r>
          <r>
            <rPr>
              <rFont val="Calibri"/>
              <b val="1"/>
              <sz val="10"/>
            </rPr>
            <t>Common themes in sub-family holders, all levels' answers:</t>
          </r>
          <r>
            <rPr>
              <rFont val="Calibri"/>
              <sz val="10"/>
            </rPr>
            <t xml:space="preserve"> media · social · collaterals · designing · shobhan · reports</t>
          </r>
        </is>
      </c>
      <c r="K64" s="9" t="inlineStr">
        <is>
          <r>
            <rPr>
              <rFont val="Calibri"/>
              <sz val="10"/>
            </rPr>
            <t xml:space="preserve">Creates brand assets, creatives, decks, motion graphics and video; Standard work of the discipline; Own deliverables · accuracy, TAT
</t>
          </r>
          <r>
            <rPr>
              <rFont val="Calibri"/>
              <b val="1"/>
              <sz val="10"/>
            </rPr>
            <t>Common themes in sub-family holders, all levels' answers:</t>
          </r>
          <r>
            <rPr>
              <rFont val="Calibri"/>
              <sz val="10"/>
            </rPr>
            <t xml:space="preserve"> sales · event · collaterals</t>
          </r>
        </is>
      </c>
      <c r="L64" s="9" t="inlineStr">
        <is>
          <r>
            <rPr>
              <rFont val="Calibri"/>
              <sz val="10"/>
            </rPr>
            <t xml:space="preserve">Own deliverables · accuracy, TAT
</t>
          </r>
          <r>
            <rPr>
              <rFont val="Calibri"/>
              <b val="1"/>
              <sz val="10"/>
            </rPr>
            <t>Common themes in sub-family holders, all levels' answers:</t>
          </r>
          <r>
            <rPr>
              <rFont val="Calibri"/>
              <sz val="10"/>
            </rPr>
            <t xml:space="preserve"> decks · assets · video · event · presentation · social</t>
          </r>
        </is>
      </c>
      <c r="M64" s="9" t="inlineStr">
        <is>
          <r>
            <rPr>
              <rFont val="Calibri"/>
              <sz val="10"/>
            </rPr>
            <t xml:space="preserve">Own deliverables · accuracy, TAT
</t>
          </r>
          <r>
            <rPr>
              <rFont val="Calibri"/>
              <b val="1"/>
              <sz val="10"/>
            </rPr>
            <t>Common themes in sub-family holders, all levels' answers:</t>
          </r>
          <r>
            <rPr>
              <rFont val="Calibri"/>
              <sz val="10"/>
            </rPr>
            <t xml:space="preserve"> visual · design · presentation · solution</t>
          </r>
        </is>
      </c>
      <c r="N64" s="9" t="inlineStr">
        <is>
          <r>
            <rPr>
              <rFont val="Calibri"/>
              <sz val="10"/>
            </rPr>
            <t xml:space="preserve">Chooses own approach within standards
</t>
          </r>
          <r>
            <rPr>
              <rFont val="Calibri"/>
              <b val="1"/>
              <sz val="10"/>
            </rPr>
            <t>Common themes in sub-family holders, all levels' answers:</t>
          </r>
          <r>
            <rPr>
              <rFont val="Calibri"/>
              <sz val="10"/>
            </rPr>
            <t xml:space="preserve"> design</t>
          </r>
        </is>
      </c>
      <c r="O64" s="9" t="inlineStr">
        <is>
          <t>—</t>
        </is>
      </c>
      <c r="P64" s="9" t="inlineStr">
        <is>
          <t>Graphic design</t>
        </is>
      </c>
      <c r="Q64" s="9" t="inlineStr">
        <is>
          <t>Canva</t>
        </is>
      </c>
      <c r="R64" s="9" t="inlineStr">
        <is>
          <t>Standard work delivered independently</t>
        </is>
      </c>
      <c r="S64" s="9" t="inlineStr">
        <is>
          <t>Standard work of the discipline</t>
        </is>
      </c>
      <c r="T64" s="9" t="inlineStr">
        <is>
          <t>Chooses own approach within standards</t>
        </is>
      </c>
      <c r="U64" s="9" t="inlineStr">
        <is>
          <t>Own deliverables · accuracy, TAT</t>
        </is>
      </c>
      <c r="V64" s="9" t="inlineStr">
        <is>
          <t>Not scored in Band A</t>
        </is>
      </c>
      <c r="W64" s="9" t="inlineStr">
        <is>
          <t>0–2 yrs</t>
        </is>
      </c>
      <c r="X64" s="9" t="inlineStr">
        <is>
          <t>Graduate · or diploma with experience</t>
        </is>
      </c>
      <c r="Y64" s="9" t="inlineStr">
        <is>
          <t>Internal product certification</t>
        </is>
      </c>
      <c r="Z64" s="9" t="inlineStr">
        <is>
          <t>No direct reports</t>
        </is>
      </c>
      <c r="AA64" s="9" t="inlineStr">
        <is>
          <t>Core 2 · Future-ready 2 · Functional 2 · Leadership —</t>
        </is>
      </c>
      <c r="AB64" s="9" t="inlineStr">
        <is>
          <t>Product, Platform &amp; Domain Knowledge · Communication &amp; Presentation</t>
        </is>
      </c>
      <c r="AC64" s="9" t="inlineStr">
        <is>
          <t>Marketing Tech &amp; Digital Marketing · Process Improvement &amp; Quality Mindset · AI, GenAI &amp; Prompt Engineering · Stakeholder &amp; Client Management</t>
        </is>
      </c>
      <c r="AD64" s="8" t="inlineStr">
        <is>
          <t>P1–P2</t>
        </is>
      </c>
      <c r="AE64" s="8" t="inlineStr">
        <is>
          <t>2 Assist</t>
        </is>
      </c>
      <c r="AF64" s="9" t="inlineStr">
        <is>
          <t>IRIS Vs Competitor Benchmark — UX / design ladder: Junior Designer</t>
        </is>
      </c>
      <c r="AG64" s="9" t="inlineStr">
        <is>
          <t>UX career ladder Junior → Designer → Senior → Lead → Principal; WCAG accessibility</t>
        </is>
      </c>
      <c r="AH64" s="9" t="inlineStr">
        <is>
          <t>A3 · Senior Associate</t>
        </is>
      </c>
      <c r="AI64" s="9" t="inlineStr">
        <is>
          <t>Product &amp; tool knowledge · Marketing &amp; content</t>
        </is>
      </c>
      <c r="AJ64" s="9" t="inlineStr">
        <is>
          <t>—</t>
        </is>
      </c>
      <c r="AK64" s="9" t="inlineStr">
        <is>
          <t>Knowledge transfer · KT · Mentoring / guidance from seniors</t>
        </is>
      </c>
      <c r="AL64" s="9" t="inlineStr">
        <is>
          <t>No common theme</t>
        </is>
      </c>
      <c r="AM64" s="9" t="inlineStr">
        <is>
          <t>No common theme</t>
        </is>
      </c>
      <c r="AN64" s="9" t="inlineStr">
        <is>
          <t>2 of 4 say the role is changing because of AI / automation</t>
        </is>
      </c>
      <c r="AO64" s="9" t="inlineStr">
        <is>
          <t>Shape usable experiences and visual communication. Includes: Brand creative, product design and user research. Excludes: Marketing campaign ownership; frontend implementation.</t>
        </is>
      </c>
      <c r="AP64" s="9" t="inlineStr">
        <is>
          <t>DES01-1 · Junior Graphic Designer</t>
        </is>
      </c>
      <c r="AQ64" s="9" t="inlineStr">
        <is>
          <r>
            <rPr>
              <rFont val="Calibri"/>
              <b val="1"/>
              <sz val="10"/>
            </rPr>
            <t>Complete defined parts under review:</t>
          </r>
          <r>
            <rPr>
              <rFont val="Calibri"/>
              <sz val="10"/>
            </rPr>
            <t xml:space="preserve"> produce usable brand assets with correct production specifications.</t>
          </r>
        </is>
      </c>
      <c r="AR64" s="9" t="inlineStr">
        <is>
          <t>Repeatable correct delivery, safe escalation and required entry eligibility.</t>
        </is>
      </c>
      <c r="AS64" s="9" t="inlineStr">
        <is>
          <t>A brand or creative portfolio with audience fit, design rationale and production quality</t>
        </is>
      </c>
      <c r="AT64" s="9" t="inlineStr">
        <is>
          <r>
            <rPr>
              <rFont val="Calibri"/>
              <b val="1"/>
              <sz val="10"/>
            </rPr>
            <t>Workiva:</t>
          </r>
          <r>
            <rPr>
              <rFont val="Calibri"/>
              <sz val="10"/>
            </rPr>
            <t xml:space="preserve"> Brand Graphic Design Intern, 2027 cohort · Entry only. Gap: Brand internship directly observed; product-design principal levels cannot be borrowed</t>
          </r>
        </is>
      </c>
      <c r="AU64" s="19" t="inlineStr">
        <is>
          <t>Framework + sub-family themes · 3+ answered</t>
        </is>
      </c>
      <c r="AV64" s="9" t="inlineStr">
        <is>
          <t>1 holder, 1 answered the survey; sub-family 4 answered</t>
        </is>
      </c>
    </row>
    <row r="65" ht="106" customHeight="1">
      <c r="A65" s="17" t="inlineStr">
        <is>
          <t>RC-052</t>
        </is>
      </c>
      <c r="B65" s="9" t="inlineStr">
        <is>
          <t>Design &amp; Creative</t>
        </is>
      </c>
      <c r="C65" s="9" t="inlineStr">
        <is>
          <t>Brand, Graphic &amp; Video Design</t>
        </is>
      </c>
      <c r="D65" s="18" t="inlineStr">
        <is>
          <t>A3</t>
        </is>
      </c>
      <c r="E65" s="19" t="inlineStr">
        <is>
          <t>Senior Associate</t>
        </is>
      </c>
      <c r="F65" s="9" t="inlineStr">
        <is>
          <t>IC</t>
        </is>
      </c>
      <c r="G65" s="9" t="inlineStr">
        <is>
          <t>Senior Designer</t>
        </is>
      </c>
      <c r="H65" s="8" t="n">
        <v>2</v>
      </c>
      <c r="I65" s="9" t="inlineStr">
        <is>
          <t>CARBON 1 · Corporate 1</t>
        </is>
      </c>
      <c r="J65" s="9" t="inlineStr">
        <is>
          <r>
            <rPr>
              <rFont val="Calibri"/>
              <sz val="10"/>
            </rPr>
            <t xml:space="preserve">Creates brand assets, creatives, decks, motion graphics and video. At A3: varied work; reviews juniors; go-to for a process.
</t>
          </r>
          <r>
            <rPr>
              <rFont val="Calibri"/>
              <b val="1"/>
              <sz val="10"/>
            </rPr>
            <t>Common themes in sub-family holders, all levels' answers:</t>
          </r>
          <r>
            <rPr>
              <rFont val="Calibri"/>
              <sz val="10"/>
            </rPr>
            <t xml:space="preserve"> media · social · collaterals · designing · shobhan · reports</t>
          </r>
        </is>
      </c>
      <c r="K65" s="9" t="inlineStr">
        <is>
          <r>
            <rPr>
              <rFont val="Calibri"/>
              <sz val="10"/>
            </rPr>
            <t xml:space="preserve">Creates brand assets, creatives, decks, motion graphics and video; Varied and non-standard work; handles exceptions; A module / process, or work with client or regulatory consequences
</t>
          </r>
          <r>
            <rPr>
              <rFont val="Calibri"/>
              <b val="1"/>
              <sz val="10"/>
            </rPr>
            <t>Common themes in sub-family holders, all levels' answers:</t>
          </r>
          <r>
            <rPr>
              <rFont val="Calibri"/>
              <sz val="10"/>
            </rPr>
            <t xml:space="preserve"> sales · event · collaterals</t>
          </r>
        </is>
      </c>
      <c r="L65" s="9" t="inlineStr">
        <is>
          <r>
            <rPr>
              <rFont val="Calibri"/>
              <sz val="10"/>
            </rPr>
            <t xml:space="preserve">A module / process, or work with client or regulatory consequences
</t>
          </r>
          <r>
            <rPr>
              <rFont val="Calibri"/>
              <b val="1"/>
              <sz val="10"/>
            </rPr>
            <t>Common themes in sub-family holders, all levels' answers:</t>
          </r>
          <r>
            <rPr>
              <rFont val="Calibri"/>
              <sz val="10"/>
            </rPr>
            <t xml:space="preserve"> decks · assets · video · event · presentation · social</t>
          </r>
        </is>
      </c>
      <c r="M65" s="9" t="inlineStr">
        <is>
          <r>
            <rPr>
              <rFont val="Calibri"/>
              <sz val="10"/>
            </rPr>
            <t xml:space="preserve">A module / process, or work with client or regulatory consequences
</t>
          </r>
          <r>
            <rPr>
              <rFont val="Calibri"/>
              <b val="1"/>
              <sz val="10"/>
            </rPr>
            <t>Common themes in sub-family holders, all levels' answers:</t>
          </r>
          <r>
            <rPr>
              <rFont val="Calibri"/>
              <sz val="10"/>
            </rPr>
            <t xml:space="preserve"> visual · design · presentation · solution</t>
          </r>
        </is>
      </c>
      <c r="N65" s="9" t="inlineStr">
        <is>
          <r>
            <rPr>
              <rFont val="Calibri"/>
              <sz val="10"/>
            </rPr>
            <t xml:space="preserve">Technical / QC / client calls on own work
</t>
          </r>
          <r>
            <rPr>
              <rFont val="Calibri"/>
              <b val="1"/>
              <sz val="10"/>
            </rPr>
            <t>Common themes in sub-family holders, all levels' answers:</t>
          </r>
          <r>
            <rPr>
              <rFont val="Calibri"/>
              <sz val="10"/>
            </rPr>
            <t xml:space="preserve"> design</t>
          </r>
        </is>
      </c>
      <c r="O65" s="9" t="inlineStr">
        <is>
          <t>—</t>
        </is>
      </c>
      <c r="P65" s="9" t="inlineStr">
        <is>
          <t>Graphic design</t>
        </is>
      </c>
      <c r="Q65" s="9" t="inlineStr">
        <is>
          <t>Canva</t>
        </is>
      </c>
      <c r="R65" s="9" t="inlineStr">
        <is>
          <t>Varied work; reviews juniors; go-to for a process</t>
        </is>
      </c>
      <c r="S65" s="9" t="inlineStr">
        <is>
          <t>Varied and non-standard work; handles exceptions</t>
        </is>
      </c>
      <c r="T65" s="9" t="inlineStr">
        <is>
          <t>Technical / QC / client calls on own work</t>
        </is>
      </c>
      <c r="U65" s="9" t="inlineStr">
        <is>
          <t>A module / process, or work with client or regulatory consequences</t>
        </is>
      </c>
      <c r="V65" s="9" t="inlineStr">
        <is>
          <t>Not scored in Band A</t>
        </is>
      </c>
      <c r="W65" s="9" t="inlineStr">
        <is>
          <t>2–4 yrs</t>
        </is>
      </c>
      <c r="X65" s="9" t="inlineStr">
        <is>
          <t>Graduate; relevant certification preferred</t>
        </is>
      </c>
      <c r="Y65" s="9" t="inlineStr">
        <is>
          <t>Internal product certification</t>
        </is>
      </c>
      <c r="Z65" s="9" t="inlineStr">
        <is>
          <t>None · guides 1–3 juniors informally</t>
        </is>
      </c>
      <c r="AA65" s="9" t="inlineStr">
        <is>
          <t>Core 2 · Future-ready 2 · Functional 3 · Leadership —</t>
        </is>
      </c>
      <c r="AB65" s="9" t="inlineStr">
        <is>
          <t>Product, Platform &amp; Domain Knowledge · Communication &amp; Presentation</t>
        </is>
      </c>
      <c r="AC65" s="9" t="inlineStr">
        <is>
          <t>Marketing Tech &amp; Digital Marketing · Process Improvement &amp; Quality Mindset · AI, GenAI &amp; Prompt Engineering · Stakeholder &amp; Client Management</t>
        </is>
      </c>
      <c r="AD65" s="8" t="inlineStr">
        <is>
          <t>P2</t>
        </is>
      </c>
      <c r="AE65" s="8" t="inlineStr">
        <is>
          <t>3 Apply</t>
        </is>
      </c>
      <c r="AF65" s="9" t="inlineStr">
        <is>
          <t>IRIS Vs Competitor Benchmark — UX / design ladder: Designer</t>
        </is>
      </c>
      <c r="AG65" s="9" t="inlineStr">
        <is>
          <t>UX career ladder Junior → Designer → Senior → Lead → Principal; WCAG accessibility</t>
        </is>
      </c>
      <c r="AH65" s="9" t="inlineStr">
        <is>
          <t>B1 · Specialist</t>
        </is>
      </c>
      <c r="AI65" s="9" t="inlineStr">
        <is>
          <t>Leadership &amp; people management · Project / programme management · Strategy &amp; business acumen</t>
        </is>
      </c>
      <c r="AJ65" s="9" t="inlineStr">
        <is>
          <t>Creative Workshops in the orld of AI , brand &amp; creative best practices. AI tools for design</t>
        </is>
      </c>
      <c r="AK65" s="9" t="inlineStr">
        <is>
          <t>Knowledge transfer · KT · Mentoring / guidance from seniors</t>
        </is>
      </c>
      <c r="AL65" s="9" t="inlineStr">
        <is>
          <t>No common theme</t>
        </is>
      </c>
      <c r="AM65" s="9" t="inlineStr">
        <is>
          <t>No common theme</t>
        </is>
      </c>
      <c r="AN65" s="9" t="inlineStr">
        <is>
          <t>2 of 4 say the role is changing because of AI / automation</t>
        </is>
      </c>
      <c r="AO65" s="9" t="inlineStr">
        <is>
          <t>Shape usable experiences and visual communication. Includes: Brand creative, product design and user research. Excludes: Marketing campaign ownership; frontend implementation.</t>
        </is>
      </c>
      <c r="AP65" s="9" t="inlineStr">
        <is>
          <t>DES01-2 · Graphic / Brand Designer</t>
        </is>
      </c>
      <c r="AQ65" s="9" t="inlineStr">
        <is>
          <t>Produce usable brand assets with correct production specifications.</t>
        </is>
      </c>
      <c r="AR65" s="9" t="inlineStr">
        <is>
          <t>Demonstrate routine delivery plus judgement in bounded exceptions.</t>
        </is>
      </c>
      <c r="AS65" s="9" t="inlineStr">
        <is>
          <t>A brand or creative portfolio with audience fit, design rationale and production quality</t>
        </is>
      </c>
      <c r="AT65" s="9" t="inlineStr">
        <is>
          <r>
            <rPr>
              <rFont val="Calibri"/>
              <b val="1"/>
              <sz val="10"/>
            </rPr>
            <t>Workiva:</t>
          </r>
          <r>
            <rPr>
              <rFont val="Calibri"/>
              <sz val="10"/>
            </rPr>
            <t xml:space="preserve"> Brand Graphic Design Intern, 2027 cohort · Entry only. Gap: Brand internship directly observed; product-design principal levels cannot be borrowed</t>
          </r>
        </is>
      </c>
      <c r="AU65" s="19" t="inlineStr">
        <is>
          <t>Framework + sub-family themes · 3+ answered</t>
        </is>
      </c>
      <c r="AV65" s="9" t="inlineStr">
        <is>
          <t>2 holders, 2 answered the survey; sub-family 4 answered</t>
        </is>
      </c>
    </row>
    <row r="66" ht="93" customHeight="1">
      <c r="A66" s="17" t="inlineStr">
        <is>
          <t>RC-053</t>
        </is>
      </c>
      <c r="B66" s="9" t="inlineStr">
        <is>
          <t>Design &amp; Creative</t>
        </is>
      </c>
      <c r="C66" s="9" t="inlineStr">
        <is>
          <t>Brand, Graphic &amp; Video Design</t>
        </is>
      </c>
      <c r="D66" s="21" t="inlineStr">
        <is>
          <t>B1</t>
        </is>
      </c>
      <c r="E66" s="22" t="inlineStr">
        <is>
          <t>Specialist</t>
        </is>
      </c>
      <c r="F66" s="9" t="inlineStr">
        <is>
          <t>IC</t>
        </is>
      </c>
      <c r="G66" s="9" t="inlineStr">
        <is>
          <t>Design Specialist – POD Lead</t>
        </is>
      </c>
      <c r="H66" s="8" t="n">
        <v>1</v>
      </c>
      <c r="I66" s="9" t="inlineStr">
        <is>
          <t>CARBON 1</t>
        </is>
      </c>
      <c r="J66" s="9" t="inlineStr">
        <is>
          <r>
            <rPr>
              <rFont val="Calibri"/>
              <sz val="10"/>
            </rPr>
            <t xml:space="preserve">Creates brand assets, creatives, decks, motion graphics and video. At B1: a domain / module, or a small team.
</t>
          </r>
          <r>
            <rPr>
              <rFont val="Calibri"/>
              <b val="1"/>
              <sz val="10"/>
            </rPr>
            <t>Common themes in sub-family holders, all levels' answers:</t>
          </r>
          <r>
            <rPr>
              <rFont val="Calibri"/>
              <sz val="10"/>
            </rPr>
            <t xml:space="preserve"> media · social · collaterals · designing · shobhan · reports</t>
          </r>
        </is>
      </c>
      <c r="K66" s="9" t="inlineStr">
        <is>
          <r>
            <rPr>
              <rFont val="Calibri"/>
              <sz val="10"/>
            </rPr>
            <t xml:space="preserve">Creates brand assets, creatives, decks, motion graphics and video; Domain specialist work; A domain or a small team
</t>
          </r>
          <r>
            <rPr>
              <rFont val="Calibri"/>
              <b val="1"/>
              <sz val="10"/>
            </rPr>
            <t>Common themes in sub-family holders, all levels' answers:</t>
          </r>
          <r>
            <rPr>
              <rFont val="Calibri"/>
              <sz val="10"/>
            </rPr>
            <t xml:space="preserve"> sales · event · collaterals</t>
          </r>
        </is>
      </c>
      <c r="L66" s="9" t="inlineStr">
        <is>
          <r>
            <rPr>
              <rFont val="Calibri"/>
              <sz val="10"/>
            </rPr>
            <t xml:space="preserve">A domain or a small team
</t>
          </r>
          <r>
            <rPr>
              <rFont val="Calibri"/>
              <b val="1"/>
              <sz val="10"/>
            </rPr>
            <t>Common themes in sub-family holders, all levels' answers:</t>
          </r>
          <r>
            <rPr>
              <rFont val="Calibri"/>
              <sz val="10"/>
            </rPr>
            <t xml:space="preserve"> decks · assets · video · event · presentation · social</t>
          </r>
        </is>
      </c>
      <c r="M66" s="9" t="inlineStr">
        <is>
          <r>
            <rPr>
              <rFont val="Calibri"/>
              <sz val="10"/>
            </rPr>
            <t xml:space="preserve">A domain or a small team
</t>
          </r>
          <r>
            <rPr>
              <rFont val="Calibri"/>
              <b val="1"/>
              <sz val="10"/>
            </rPr>
            <t>Common themes in sub-family holders, all levels' answers:</t>
          </r>
          <r>
            <rPr>
              <rFont val="Calibri"/>
              <sz val="10"/>
            </rPr>
            <t xml:space="preserve"> visual · design · presentation · solution</t>
          </r>
        </is>
      </c>
      <c r="N66" s="9" t="inlineStr">
        <is>
          <r>
            <rPr>
              <rFont val="Calibri"/>
              <sz val="10"/>
            </rPr>
            <t xml:space="preserve">Technical / QC / client calls for the domain
</t>
          </r>
          <r>
            <rPr>
              <rFont val="Calibri"/>
              <b val="1"/>
              <sz val="10"/>
            </rPr>
            <t>Common themes in sub-family holders, all levels' answers:</t>
          </r>
          <r>
            <rPr>
              <rFont val="Calibri"/>
              <sz val="10"/>
            </rPr>
            <t xml:space="preserve"> design</t>
          </r>
        </is>
      </c>
      <c r="O66" s="9" t="inlineStr">
        <is>
          <t>—</t>
        </is>
      </c>
      <c r="P66" s="9" t="inlineStr">
        <is>
          <t>Graphic design</t>
        </is>
      </c>
      <c r="Q66" s="9" t="inlineStr">
        <is>
          <t>Canva</t>
        </is>
      </c>
      <c r="R66" s="9" t="inlineStr">
        <is>
          <t>A domain / module, or a small team</t>
        </is>
      </c>
      <c r="S66" s="9" t="inlineStr">
        <is>
          <t>Domain specialist work</t>
        </is>
      </c>
      <c r="T66" s="9" t="inlineStr">
        <is>
          <t>Technical / QC / client calls for the domain</t>
        </is>
      </c>
      <c r="U66" s="9" t="inlineStr">
        <is>
          <t>A domain or a small team</t>
        </is>
      </c>
      <c r="V66" s="9" t="inlineStr">
        <is>
          <r>
            <rPr>
              <rFont val="Calibri"/>
              <b val="1"/>
              <sz val="10"/>
            </rPr>
            <t>IC:</t>
          </r>
          <r>
            <rPr>
              <rFont val="Calibri"/>
              <sz val="10"/>
            </rPr>
            <t xml:space="preserve"> mentors and reviews · People: hands-on team lead of 3–5</t>
          </r>
        </is>
      </c>
      <c r="W66" s="9" t="inlineStr">
        <is>
          <t>4–7 yrs</t>
        </is>
      </c>
      <c r="X66" s="9" t="inlineStr">
        <is>
          <t>Graduate + relevant qualification or certification preferred</t>
        </is>
      </c>
      <c r="Y66" s="9" t="inlineStr">
        <is>
          <t>Internal product certification</t>
        </is>
      </c>
      <c r="Z66" s="9" t="inlineStr">
        <is>
          <r>
            <rPr>
              <rFont val="Calibri"/>
              <b val="1"/>
              <sz val="10"/>
            </rPr>
            <t>IC:</t>
          </r>
          <r>
            <rPr>
              <rFont val="Calibri"/>
              <sz val="10"/>
            </rPr>
            <t xml:space="preserve"> none · Team Lead: 3–5</t>
          </r>
        </is>
      </c>
      <c r="AA66" s="9" t="inlineStr">
        <is>
          <t>Core 3 · Future-ready 3 · Functional 3 · Leadership 1</t>
        </is>
      </c>
      <c r="AB66" s="9" t="inlineStr">
        <is>
          <t>Product, Platform &amp; Domain Knowledge · Communication &amp; Presentation</t>
        </is>
      </c>
      <c r="AC66" s="9" t="inlineStr">
        <is>
          <t>Marketing Tech &amp; Digital Marketing · Process Improvement &amp; Quality Mindset · AI, GenAI &amp; Prompt Engineering · Stakeholder &amp; Client Management</t>
        </is>
      </c>
      <c r="AD66" s="8" t="inlineStr">
        <is>
          <t>P3 / M2</t>
        </is>
      </c>
      <c r="AE66" s="8" t="inlineStr">
        <is>
          <t>4 Enable</t>
        </is>
      </c>
      <c r="AF66" s="9" t="inlineStr">
        <is>
          <t>IRIS Vs Competitor Benchmark — UX / design ladder: UX Designer</t>
        </is>
      </c>
      <c r="AG66" s="9" t="inlineStr">
        <is>
          <t>UX career ladder Junior → Designer → Senior → Lead → Principal; WCAG accessibility</t>
        </is>
      </c>
      <c r="AH66" s="9" t="inlineStr">
        <is>
          <t>B2 · Senior Specialist</t>
        </is>
      </c>
      <c r="AI66" s="9" t="inlineStr">
        <is>
          <t>AI / automation · Testing &amp; quality · Product &amp; tool knowledge · Marketing &amp; content</t>
        </is>
      </c>
      <c r="AJ66" s="9" t="inlineStr">
        <is>
          <t>High time he learns the product/industry/brand positioning</t>
        </is>
      </c>
      <c r="AK66" s="9" t="inlineStr">
        <is>
          <t>Knowledge transfer · KT · Mentoring / guidance from seniors</t>
        </is>
      </c>
      <c r="AL66" s="9" t="inlineStr">
        <is>
          <t>No common theme</t>
        </is>
      </c>
      <c r="AM66" s="9" t="inlineStr">
        <is>
          <t>No common theme</t>
        </is>
      </c>
      <c r="AN66" s="9" t="inlineStr">
        <is>
          <t>2 of 4 say the role is changing because of AI / automation</t>
        </is>
      </c>
      <c r="AO66" s="9" t="inlineStr">
        <is>
          <t>Shape usable experiences and visual communication. Includes: Brand creative, product design and user research. Excludes: Marketing campaign ownership; frontend implementation.</t>
        </is>
      </c>
      <c r="AP66" s="9" t="inlineStr">
        <is>
          <t>DES01-3 · Senior Brand Designer</t>
        </is>
      </c>
      <c r="AQ66" s="9" t="inlineStr">
        <is>
          <t>Own a visual campaign/system and direct coherent creative execution.</t>
        </is>
      </c>
      <c r="AR66" s="9" t="inlineStr">
        <is>
          <t>Evidence of complex work, decisions and outcomes beyond routine delivery.</t>
        </is>
      </c>
      <c r="AS66" s="9" t="inlineStr">
        <is>
          <t>A brand or creative portfolio with audience fit, design rationale and production quality</t>
        </is>
      </c>
      <c r="AT66" s="9" t="inlineStr">
        <is>
          <r>
            <rPr>
              <rFont val="Calibri"/>
              <b val="1"/>
              <sz val="10"/>
            </rPr>
            <t>Workiva:</t>
          </r>
          <r>
            <rPr>
              <rFont val="Calibri"/>
              <sz val="10"/>
            </rPr>
            <t xml:space="preserve"> Brand Graphic Design Intern, 2027 cohort · Entry only. Gap: Brand internship directly observed; product-design principal levels cannot be borrowed</t>
          </r>
        </is>
      </c>
      <c r="AU66" s="19" t="inlineStr">
        <is>
          <t>Framework + sub-family themes · 3+ answered</t>
        </is>
      </c>
      <c r="AV66" s="9" t="inlineStr">
        <is>
          <t>1 holder, 1 answered the survey; sub-family 4 answered</t>
        </is>
      </c>
    </row>
    <row r="67" ht="67" customHeight="1">
      <c r="A67" s="17" t="inlineStr">
        <is>
          <t>RC-054</t>
        </is>
      </c>
      <c r="B67" s="9" t="inlineStr">
        <is>
          <t>Design &amp; Creative</t>
        </is>
      </c>
      <c r="C67" s="9" t="inlineStr">
        <is>
          <t>UX / UI Design</t>
        </is>
      </c>
      <c r="D67" s="18" t="inlineStr">
        <is>
          <t>A3</t>
        </is>
      </c>
      <c r="E67" s="19" t="inlineStr">
        <is>
          <t>Senior Associate</t>
        </is>
      </c>
      <c r="F67" s="9" t="inlineStr">
        <is>
          <t>IC</t>
        </is>
      </c>
      <c r="G67" s="9" t="inlineStr">
        <is>
          <t>Senior Product Designer</t>
        </is>
      </c>
      <c r="H67" s="8" t="n">
        <v>2</v>
      </c>
      <c r="I67" s="9" t="inlineStr">
        <is>
          <t>CARBON 1 · Datatech 1</t>
        </is>
      </c>
      <c r="J67" s="9" t="inlineStr">
        <is>
          <t>Designs product screens, flows and prototypes. At A3: varied work; reviews juniors; go-to for a process.</t>
        </is>
      </c>
      <c r="K67" s="9" t="inlineStr">
        <is>
          <t>Designs product screens, flows and prototypes; Varied and non-standard work; handles exceptions; A module / process, or work with client or regulatory consequences</t>
        </is>
      </c>
      <c r="L67" s="9" t="inlineStr">
        <is>
          <t>A module / process, or work with client or regulatory consequences</t>
        </is>
      </c>
      <c r="M67" s="9" t="inlineStr">
        <is>
          <t>A module / process, or work with client or regulatory consequences</t>
        </is>
      </c>
      <c r="N67" s="9" t="inlineStr">
        <is>
          <t>Technical / QC / client calls on own work</t>
        </is>
      </c>
      <c r="O67" s="9" t="inlineStr">
        <is>
          <t>—</t>
        </is>
      </c>
      <c r="P67" s="9" t="inlineStr">
        <is>
          <t>—</t>
        </is>
      </c>
      <c r="Q67" s="9" t="inlineStr">
        <is>
          <t>—</t>
        </is>
      </c>
      <c r="R67" s="9" t="inlineStr">
        <is>
          <t>Varied work; reviews juniors; go-to for a process</t>
        </is>
      </c>
      <c r="S67" s="9" t="inlineStr">
        <is>
          <t>Varied and non-standard work; handles exceptions</t>
        </is>
      </c>
      <c r="T67" s="9" t="inlineStr">
        <is>
          <t>Technical / QC / client calls on own work</t>
        </is>
      </c>
      <c r="U67" s="9" t="inlineStr">
        <is>
          <t>A module / process, or work with client or regulatory consequences</t>
        </is>
      </c>
      <c r="V67" s="9" t="inlineStr">
        <is>
          <t>Not scored in Band A</t>
        </is>
      </c>
      <c r="W67" s="9" t="inlineStr">
        <is>
          <t>2–4 yrs</t>
        </is>
      </c>
      <c r="X67" s="9" t="inlineStr">
        <is>
          <t>Graduate; relevant certification preferred</t>
        </is>
      </c>
      <c r="Y67" s="9" t="inlineStr">
        <is>
          <t>Internal product certification</t>
        </is>
      </c>
      <c r="Z67" s="9" t="inlineStr">
        <is>
          <t>None · guides 1–3 juniors informally</t>
        </is>
      </c>
      <c r="AA67" s="9" t="inlineStr">
        <is>
          <t>Core 2 · Future-ready 2 · Functional 3 · Leadership —</t>
        </is>
      </c>
      <c r="AB67" s="9" t="inlineStr">
        <is>
          <t>Product, Platform &amp; Domain Knowledge · Communication &amp; Presentation</t>
        </is>
      </c>
      <c r="AC67" s="9" t="inlineStr">
        <is>
          <t>Marketing Tech &amp; Digital Marketing · Process Improvement &amp; Quality Mindset · AI, GenAI &amp; Prompt Engineering · Stakeholder &amp; Client Management</t>
        </is>
      </c>
      <c r="AD67" s="8" t="inlineStr">
        <is>
          <t>P2</t>
        </is>
      </c>
      <c r="AE67" s="8" t="inlineStr">
        <is>
          <t>3 Apply</t>
        </is>
      </c>
      <c r="AF67" s="9" t="inlineStr">
        <is>
          <t>IRIS Vs Competitor Benchmark — UX / design ladder: Designer</t>
        </is>
      </c>
      <c r="AG67" s="9" t="inlineStr">
        <is>
          <t>UX career ladder Junior → Designer → Senior → Lead → Principal; WCAG accessibility</t>
        </is>
      </c>
      <c r="AH67" s="9" t="inlineStr">
        <is>
          <t>B1 · Specialist</t>
        </is>
      </c>
      <c r="AI67" s="9" t="inlineStr">
        <is>
          <t>Product &amp; tool knowledge</t>
        </is>
      </c>
      <c r="AJ67" s="9" t="inlineStr">
        <is>
          <t>-None at this time</t>
        </is>
      </c>
      <c r="AK67" s="9" t="inlineStr">
        <is>
          <t>—</t>
        </is>
      </c>
      <c r="AL67" s="9" t="inlineStr">
        <is>
          <t>—</t>
        </is>
      </c>
      <c r="AM67" s="9" t="inlineStr">
        <is>
          <t>—</t>
        </is>
      </c>
      <c r="AN67" s="9" t="inlineStr">
        <is>
          <t>—</t>
        </is>
      </c>
      <c r="AO67" s="9" t="inlineStr">
        <is>
          <t>Shape usable experiences and visual communication. Includes: Brand creative, product design and user research. Excludes: Marketing campaign ownership; frontend implementation.</t>
        </is>
      </c>
      <c r="AP67" s="9" t="inlineStr">
        <is>
          <t>DES02-2 · Product Designer</t>
        </is>
      </c>
      <c r="AQ67" s="9" t="inlineStr">
        <is>
          <t>Design and test a usable product workflow.</t>
        </is>
      </c>
      <c r="AR67" s="9" t="inlineStr">
        <is>
          <t>Demonstrate routine delivery plus judgement in bounded exceptions.</t>
        </is>
      </c>
      <c r="AS67" s="9" t="inlineStr">
        <is>
          <t>A validated customer workflow with research evidence, usability measures and implementation review</t>
        </is>
      </c>
      <c r="AT67" s="9" t="inlineStr">
        <is>
          <r>
            <rPr>
              <rFont val="Calibri"/>
              <b val="1"/>
              <sz val="10"/>
            </rPr>
            <t>Workiva:</t>
          </r>
          <r>
            <rPr>
              <rFont val="Calibri"/>
              <sz val="10"/>
            </rPr>
            <t xml:space="preserve"> Principal Product Designer · Selected expert role. Gap: Strong peer example of multi-product expert scope</t>
          </r>
        </is>
      </c>
      <c r="AU67" s="57" t="inlineStr">
        <is>
          <t>Framework only · fewer than 3 answered</t>
        </is>
      </c>
      <c r="AV67" s="9" t="inlineStr">
        <is>
          <t>2 holders, 2 answered the survey; sub-family 2 answered</t>
        </is>
      </c>
    </row>
    <row r="68">
      <c r="A68" s="94" t="inlineStr">
        <is>
          <t>Engineering &amp; Architecture — 3 roles · 10 people</t>
        </is>
      </c>
    </row>
    <row r="69" ht="106" customHeight="1">
      <c r="A69" s="17" t="inlineStr">
        <is>
          <t>RC-055</t>
        </is>
      </c>
      <c r="B69" s="9" t="inlineStr">
        <is>
          <t>Engineering &amp; Architecture</t>
        </is>
      </c>
      <c r="C69" s="9" t="inlineStr">
        <is>
          <t>Solution &amp; Technical Architecture</t>
        </is>
      </c>
      <c r="D69" s="21" t="inlineStr">
        <is>
          <t>B3</t>
        </is>
      </c>
      <c r="E69" s="22" t="inlineStr">
        <is>
          <t>Lead Specialist</t>
        </is>
      </c>
      <c r="F69" s="9" t="inlineStr">
        <is>
          <t>IC</t>
        </is>
      </c>
      <c r="G69" s="9" t="inlineStr">
        <is>
          <t>Technical Architect · Associate Technical Architect – POD Lead · Associate Technical Architect</t>
        </is>
      </c>
      <c r="H69" s="8" t="n">
        <v>3</v>
      </c>
      <c r="I69" s="9" t="inlineStr">
        <is>
          <t>iFile 3</t>
        </is>
      </c>
      <c r="J69" s="9" t="inlineStr">
        <is>
          <r>
            <rPr>
              <rFont val="Calibri"/>
              <sz val="10"/>
            </rPr>
            <t xml:space="preserve">Designs system / solution architecture, integrations and technical standards; guides build teams. At B3: a practice, or several teams through team leads.
</t>
          </r>
          <r>
            <rPr>
              <rFont val="Calibri"/>
              <b val="1"/>
              <sz val="10"/>
            </rPr>
            <t>Common themes in role-holders' answers:</t>
          </r>
          <r>
            <rPr>
              <rFont val="Calibri"/>
              <sz val="10"/>
            </rPr>
            <t xml:space="preserve"> technical · project</t>
          </r>
        </is>
      </c>
      <c r="K69" s="9" t="inlineStr">
        <is>
          <r>
            <rPr>
              <rFont val="Calibri"/>
              <sz val="10"/>
            </rPr>
            <t xml:space="preserve">Designs system / solution architecture, integrations and technical standards; guides build teams; Sets standards for a practice; cross-team problems; Several teams or a practice
</t>
          </r>
          <r>
            <rPr>
              <rFont val="Calibri"/>
              <b val="1"/>
              <sz val="10"/>
            </rPr>
            <t>Common themes in role-holders' answers:</t>
          </r>
          <r>
            <rPr>
              <rFont val="Calibri"/>
              <sz val="10"/>
            </rPr>
            <t xml:space="preserve"> technical</t>
          </r>
        </is>
      </c>
      <c r="L69" s="9" t="inlineStr">
        <is>
          <r>
            <rPr>
              <rFont val="Calibri"/>
              <sz val="10"/>
            </rPr>
            <t xml:space="preserve">Several teams or a practice
</t>
          </r>
          <r>
            <rPr>
              <rFont val="Calibri"/>
              <b val="1"/>
              <sz val="10"/>
            </rPr>
            <t>Common themes in role-holders' answers:</t>
          </r>
          <r>
            <rPr>
              <rFont val="Calibri"/>
              <sz val="10"/>
            </rPr>
            <t xml:space="preserve"> architecture · design</t>
          </r>
        </is>
      </c>
      <c r="M69" s="9" t="inlineStr">
        <is>
          <t>Several teams or a practice</t>
        </is>
      </c>
      <c r="N69" s="9" t="inlineStr">
        <is>
          <r>
            <rPr>
              <rFont val="Calibri"/>
              <sz val="10"/>
            </rPr>
            <t xml:space="preserve">Commercial / strategic calls for the unit
</t>
          </r>
          <r>
            <rPr>
              <rFont val="Calibri"/>
              <b val="1"/>
              <sz val="10"/>
            </rPr>
            <t>Common themes in role-holders' answers:</t>
          </r>
          <r>
            <rPr>
              <rFont val="Calibri"/>
              <sz val="10"/>
            </rPr>
            <t xml:space="preserve"> technical · approach</t>
          </r>
        </is>
      </c>
      <c r="O69" s="9" t="inlineStr">
        <is>
          <r>
            <rPr>
              <rFont val="Calibri"/>
              <b val="1"/>
              <sz val="10"/>
            </rPr>
            <t>Common themes in manager-set KRAs:</t>
          </r>
          <r>
            <rPr>
              <rFont val="Calibri"/>
              <sz val="10"/>
            </rPr>
            <t xml:space="preserve"> code · leakage qa/uat · defect · technical · quality · agreed</t>
          </r>
        </is>
      </c>
      <c r="P69" s="9" t="inlineStr">
        <is>
          <t>Java · NET MVC</t>
        </is>
      </c>
      <c r="Q69" s="9" t="inlineStr">
        <is>
          <t>—</t>
        </is>
      </c>
      <c r="R69" s="9" t="inlineStr">
        <is>
          <t>A practice, or several teams through team leads</t>
        </is>
      </c>
      <c r="S69" s="9" t="inlineStr">
        <is>
          <t>Sets standards for a practice; cross-team problems</t>
        </is>
      </c>
      <c r="T69" s="9" t="inlineStr">
        <is>
          <t>Commercial / strategic calls for the unit</t>
        </is>
      </c>
      <c r="U69" s="9" t="inlineStr">
        <is>
          <t>Several teams or a practice</t>
        </is>
      </c>
      <c r="V69" s="9" t="inlineStr">
        <is>
          <r>
            <rPr>
              <rFont val="Calibri"/>
              <b val="1"/>
              <sz val="10"/>
            </rPr>
            <t>IC:</t>
          </r>
          <r>
            <rPr>
              <rFont val="Calibri"/>
              <sz val="10"/>
            </rPr>
            <t xml:space="preserve"> leads a practice · People: team leads / managers report in</t>
          </r>
        </is>
      </c>
      <c r="W69" s="9" t="inlineStr">
        <is>
          <t>8–12 yrs</t>
        </is>
      </c>
      <c r="X69" s="9" t="inlineStr">
        <is>
          <t>Postgraduate or professional qualification preferred</t>
        </is>
      </c>
      <c r="Y69" s="9" t="inlineStr">
        <is>
          <t>AWS / Azure architect · optional; Cloud / language certifications · optional</t>
        </is>
      </c>
      <c r="Z69" s="9" t="inlineStr">
        <is>
          <r>
            <rPr>
              <rFont val="Calibri"/>
              <b val="1"/>
              <sz val="10"/>
            </rPr>
            <t>IC:</t>
          </r>
          <r>
            <rPr>
              <rFont val="Calibri"/>
              <sz val="10"/>
            </rPr>
            <t xml:space="preserve"> none · People: 5–8 incl. team leads</t>
          </r>
        </is>
      </c>
      <c r="AA69" s="9" t="inlineStr">
        <is>
          <t>Core 4 · Future-ready 3 · Functional 4 · Leadership 3</t>
        </is>
      </c>
      <c r="AB69" s="9" t="inlineStr">
        <is>
          <t>System Design &amp; Architecture · Programming &amp; Tech-Stack Depth</t>
        </is>
      </c>
      <c r="AC69" s="9" t="inlineStr">
        <is>
          <t>Cloud, DevOps &amp; CI/CD · Cybersecurity &amp; Infrastructure · Stakeholder &amp; Client Management · Strategic Thinking &amp; Business Acumen</t>
        </is>
      </c>
      <c r="AD69" s="8" t="inlineStr">
        <is>
          <t>P5 / M4</t>
        </is>
      </c>
      <c r="AE69" s="8" t="inlineStr">
        <is>
          <t>5 Ensure, advise</t>
        </is>
      </c>
      <c r="AF69" s="9" t="inlineStr">
        <is>
          <r>
            <rPr>
              <rFont val="Calibri"/>
              <b val="1"/>
              <sz val="10"/>
            </rPr>
            <t>Workiva:</t>
          </r>
          <r>
            <rPr>
              <rFont val="Calibri"/>
              <sz val="10"/>
            </rPr>
            <t xml:space="preserve"> Staff SE · Broadridge India: Senior Lead SE · Nasdaq / AxiomSL: Lead SE · Salesforce: LMTS</t>
          </r>
        </is>
      </c>
      <c r="AG69" s="9" t="inlineStr">
        <is>
          <t>SFIA 9 · solution architecture; TOGAF; AWS / Azure architect certifications</t>
        </is>
      </c>
      <c r="AH69" s="9" t="inlineStr">
        <is>
          <t>C1 · Principal · or B+ · Player-Coach transition step if leading people hands-on</t>
        </is>
      </c>
      <c r="AI69" s="9" t="inlineStr">
        <is>
          <t>Leadership &amp; people management · Technical depth &amp; architecture · Strategy &amp; business acumen · Product &amp; tool knowledge · Broader exposure &amp; ownership</t>
        </is>
      </c>
      <c r="AJ69" s="9" t="inlineStr">
        <is>
          <t>Advanced System Architecture, Cloud Technologies · Azure, AI &amp; Automation, Performance Optimization, Secure Coding | Technical Leadership, Solution Architecture, Stakeholder Management, Team Mentoring</t>
        </is>
      </c>
      <c r="AK69" s="9" t="inlineStr">
        <is>
          <t>On-the-job / hands-on · Knowledge transfer · KT · Mentoring / guidance from seniors</t>
        </is>
      </c>
      <c r="AL69" s="9" t="inlineStr">
        <is>
          <t>No common theme</t>
        </is>
      </c>
      <c r="AM69" s="9" t="inlineStr">
        <is>
          <t>No common theme</t>
        </is>
      </c>
      <c r="AN69" s="9" t="inlineStr">
        <is>
          <t>2 of 3 say the role is changing because of AI / automation</t>
        </is>
      </c>
      <c r="AO69" s="9" t="inlineStr">
        <is>
          <t>Define system architecture across components. Includes: Solution design, non-functional trade-offs and architecture standards. Excludes: Presales persuasion alone; routine software delivery.</t>
        </is>
      </c>
      <c r="AP69" s="9" t="inlineStr">
        <is>
          <t>ARC01-4 · Principal Solution Architect</t>
        </is>
      </c>
      <c r="AQ69" s="9" t="inlineStr">
        <is>
          <t>Set cross-product architecture principles and govern justified exceptions.</t>
        </is>
      </c>
      <c r="AR69" s="9" t="inlineStr">
        <is>
          <t>Adoption beyond own work; recurring authority and measurable wider outcomes.</t>
        </is>
      </c>
      <c r="AS69" s="9" t="inlineStr">
        <is>
          <t>A design decision record with alternatives, cost and security trade-offs plus implementation validation</t>
        </is>
      </c>
      <c r="AT69" s="9" t="inlineStr">
        <is>
          <r>
            <rPr>
              <rFont val="Calibri"/>
              <b val="1"/>
              <sz val="10"/>
            </rPr>
            <t>CoreFiling:</t>
          </r>
          <r>
            <rPr>
              <rFont val="Calibri"/>
              <sz val="10"/>
            </rPr>
            <t xml:space="preserve"> Careers and technical context · Context only. Gap: Peer context supports technical/domain expertise but no complete architecture ladder</t>
          </r>
        </is>
      </c>
      <c r="AU69" s="22" t="inlineStr">
        <is>
          <t>Framework + role-holders' themes · 3+ answered</t>
        </is>
      </c>
      <c r="AV69" s="9" t="inlineStr">
        <is>
          <t>3 holders, 3 answered the survey; sub-family 9 answered</t>
        </is>
      </c>
    </row>
    <row r="70" ht="145" customHeight="1">
      <c r="A70" s="17" t="inlineStr">
        <is>
          <t>RC-056</t>
        </is>
      </c>
      <c r="B70" s="9" t="inlineStr">
        <is>
          <t>Engineering &amp; Architecture</t>
        </is>
      </c>
      <c r="C70" s="9" t="inlineStr">
        <is>
          <t>Solution &amp; Technical Architecture</t>
        </is>
      </c>
      <c r="D70" s="24" t="inlineStr">
        <is>
          <t>B+</t>
        </is>
      </c>
      <c r="E70" s="25" t="inlineStr">
        <is>
          <t>Practice Lead · Player-Coach</t>
        </is>
      </c>
      <c r="F70" s="9" t="inlineStr">
        <is>
          <t>IC</t>
        </is>
      </c>
      <c r="G70" s="9" t="inlineStr">
        <is>
          <t>Practice Lead – Solution &amp; Technical Architecture · Player-Coach</t>
        </is>
      </c>
      <c r="H70" s="8" t="n">
        <v>5</v>
      </c>
      <c r="I70" s="9" t="inlineStr">
        <is>
          <t>iFile 4 · iDEAL 1</t>
        </is>
      </c>
      <c r="J70" s="9" t="inlineStr">
        <is>
          <r>
            <rPr>
              <rFont val="Calibri"/>
              <sz val="10"/>
            </rPr>
            <t xml:space="preserve">Designs system / solution architecture, integrations and technical standards; guides build teams. At B+: a practice or product area: does the hardest hands-on work itself and leads 3–6 people · player-coach.
</t>
          </r>
          <r>
            <rPr>
              <rFont val="Calibri"/>
              <b val="1"/>
              <sz val="10"/>
            </rPr>
            <t>Common themes in role-holders' answers:</t>
          </r>
          <r>
            <rPr>
              <rFont val="Calibri"/>
              <sz val="10"/>
            </rPr>
            <t xml:space="preserve"> technical · client · design · understanding · solution · application</t>
          </r>
        </is>
      </c>
      <c r="K70" s="9" t="inlineStr">
        <is>
          <r>
            <rPr>
              <rFont val="Calibri"/>
              <sz val="10"/>
            </rPr>
            <t xml:space="preserve">Designs system / solution architecture, integrations and technical standards; guides build teams; Principal-level problems in own domain; sets technical or quality standards and still builds; Practice outcomes plus own deliverables; quality and delivery of the team
</t>
          </r>
          <r>
            <rPr>
              <rFont val="Calibri"/>
              <b val="1"/>
              <sz val="10"/>
            </rPr>
            <t>Common themes in role-holders' answers:</t>
          </r>
          <r>
            <rPr>
              <rFont val="Calibri"/>
              <sz val="10"/>
            </rPr>
            <t xml:space="preserve"> client · documentation · technical · solution · requirement · meeting</t>
          </r>
        </is>
      </c>
      <c r="L70" s="9" t="inlineStr">
        <is>
          <r>
            <rPr>
              <rFont val="Calibri"/>
              <sz val="10"/>
            </rPr>
            <t xml:space="preserve">Practice outcomes plus own deliverables; quality and delivery of the team
</t>
          </r>
          <r>
            <rPr>
              <rFont val="Calibri"/>
              <b val="1"/>
              <sz val="10"/>
            </rPr>
            <t>Common themes in role-holders' answers:</t>
          </r>
          <r>
            <rPr>
              <rFont val="Calibri"/>
              <sz val="10"/>
            </rPr>
            <t xml:space="preserve"> solution · architecture · design</t>
          </r>
        </is>
      </c>
      <c r="M70" s="9" t="inlineStr">
        <is>
          <r>
            <rPr>
              <rFont val="Calibri"/>
              <sz val="10"/>
            </rPr>
            <t xml:space="preserve">Practice outcomes plus own deliverables; quality and delivery of the team
</t>
          </r>
          <r>
            <rPr>
              <rFont val="Calibri"/>
              <b val="1"/>
              <sz val="10"/>
            </rPr>
            <t>Common themes in role-holders' answers:</t>
          </r>
          <r>
            <rPr>
              <rFont val="Calibri"/>
              <sz val="10"/>
            </rPr>
            <t xml:space="preserve"> client · if · solution · architecture · design · technical</t>
          </r>
        </is>
      </c>
      <c r="N70" s="9" t="inlineStr">
        <is>
          <r>
            <rPr>
              <rFont val="Calibri"/>
              <sz val="10"/>
            </rPr>
            <t xml:space="preserve">Decides approach and priorities for the practice; escalates only cross-function trade-offs
</t>
          </r>
          <r>
            <rPr>
              <rFont val="Calibri"/>
              <b val="1"/>
              <sz val="10"/>
            </rPr>
            <t>Common themes in role-holders' answers:</t>
          </r>
          <r>
            <rPr>
              <rFont val="Calibri"/>
              <sz val="10"/>
            </rPr>
            <t xml:space="preserve"> approach</t>
          </r>
        </is>
      </c>
      <c r="O70" s="9" t="inlineStr">
        <is>
          <r>
            <rPr>
              <rFont val="Calibri"/>
              <b val="1"/>
              <sz val="10"/>
            </rPr>
            <t>Common themes in manager-set KRAs:</t>
          </r>
          <r>
            <rPr>
              <rFont val="Calibri"/>
              <sz val="10"/>
            </rPr>
            <t xml:space="preserve"> support · technical · project · completion · develop · year</t>
          </r>
        </is>
      </c>
      <c r="P70" s="9" t="inlineStr">
        <is>
          <t>Java · Spring Boot · NET MVC</t>
        </is>
      </c>
      <c r="Q70" s="9" t="inlineStr">
        <is>
          <t>—</t>
        </is>
      </c>
      <c r="R70" s="9" t="inlineStr">
        <is>
          <r>
            <rPr>
              <rFont val="Calibri"/>
              <b val="1"/>
              <sz val="10"/>
            </rPr>
            <t>A practice or product area:</t>
          </r>
          <r>
            <rPr>
              <rFont val="Calibri"/>
              <sz val="10"/>
            </rPr>
            <t xml:space="preserve"> does the hardest hands-on work itself and leads 3–6 people · player-coach</t>
          </r>
        </is>
      </c>
      <c r="S70" s="9" t="inlineStr">
        <is>
          <t>Principal-level problems in own domain; sets technical or quality standards and still builds</t>
        </is>
      </c>
      <c r="T70" s="9" t="inlineStr">
        <is>
          <t>Decides approach and priorities for the practice; escalates only cross-function trade-offs</t>
        </is>
      </c>
      <c r="U70" s="9" t="inlineStr">
        <is>
          <t>Practice outcomes plus own deliverables; quality and delivery of the team</t>
        </is>
      </c>
      <c r="V70" s="9" t="inlineStr">
        <is>
          <t>Leads 3–6 people · or a pod while remaining a hands-on expert; coaches, allocates, reviews</t>
        </is>
      </c>
      <c r="W70" s="9" t="inlineStr">
        <is>
          <t>9–14 yrs</t>
        </is>
      </c>
      <c r="X70" s="9" t="inlineStr">
        <is>
          <t>Postgraduate or professional qualification preferred</t>
        </is>
      </c>
      <c r="Y70" s="9" t="inlineStr">
        <is>
          <t>AWS / Azure architect · optional; Cloud / language certifications · optional</t>
        </is>
      </c>
      <c r="Z70" s="9" t="inlineStr">
        <is>
          <t>3–6 direct reports with ≥ 40% of time on own delivery · McKinsey player/coach 3–5; Google Tech Lead Manager</t>
        </is>
      </c>
      <c r="AA70" s="9" t="inlineStr">
        <is>
          <t>Core 4 · Future-ready 4 · Functional 4 · Leadership 4</t>
        </is>
      </c>
      <c r="AB70" s="9" t="inlineStr">
        <is>
          <t>System Design &amp; Architecture · Programming &amp; Tech-Stack Depth</t>
        </is>
      </c>
      <c r="AC70" s="9" t="inlineStr">
        <is>
          <t>Cloud, DevOps &amp; CI/CD · Cybersecurity &amp; Infrastructure · Stakeholder &amp; Client Management · Strategic Thinking &amp; Business Acumen</t>
        </is>
      </c>
      <c r="AD70" s="8" t="inlineStr">
        <is>
          <t>P5–P6 / M4–M5</t>
        </is>
      </c>
      <c r="AE70" s="8" t="inlineStr">
        <is>
          <t>5 Ensure, advise</t>
        </is>
      </c>
      <c r="AF70" s="9" t="inlineStr">
        <is>
          <r>
            <rPr>
              <rFont val="Calibri"/>
              <b val="1"/>
              <sz val="10"/>
            </rPr>
            <t>Google:</t>
          </r>
          <r>
            <rPr>
              <rFont val="Calibri"/>
              <sz val="10"/>
            </rPr>
            <t xml:space="preserve"> Tech Lead Manager · TLM · McKinsey player/coach · 3–5 reports · SaaS: player-coach team lead carrying own work</t>
          </r>
        </is>
      </c>
      <c r="AG70" s="9" t="inlineStr">
        <is>
          <t>SFIA 9 · solution architecture; TOGAF; AWS / Azure architect certifications</t>
        </is>
      </c>
      <c r="AH70" s="9" t="inlineStr">
        <is>
          <t>C1 · Principal</t>
        </is>
      </c>
      <c r="AI70" s="9" t="inlineStr">
        <is>
          <t>Technical depth &amp; architecture · Certification / formal course · Leadership &amp; people management · Broader exposure &amp; ownership · AI / automation</t>
        </is>
      </c>
      <c r="AJ70" s="9" t="inlineStr">
        <is>
          <t>skills · communications soft · togaf</t>
        </is>
      </c>
      <c r="AK70" s="9" t="inlineStr">
        <is>
          <t>On-the-job / hands-on · Formal / classroom training · Online courses / self-learning</t>
        </is>
      </c>
      <c r="AL70" s="9" t="inlineStr">
        <is>
          <t>No common theme</t>
        </is>
      </c>
      <c r="AM70" s="9" t="inlineStr">
        <is>
          <t>add · gets</t>
        </is>
      </c>
      <c r="AN70" s="9" t="inlineStr">
        <is>
          <t>3 of 5 say the role is changing because of AI / automation</t>
        </is>
      </c>
      <c r="AO70" s="9" t="inlineStr">
        <is>
          <t>Define system architecture across components. Includes: Solution design, non-functional trade-offs and architecture standards. Excludes: Presales persuasion alone; routine software delivery.</t>
        </is>
      </c>
      <c r="AP70" s="9" t="inlineStr">
        <is>
          <t>ARC01-4 · Principal Solution Architect</t>
        </is>
      </c>
      <c r="AQ70" s="9" t="inlineStr">
        <is>
          <t>Set cross-product architecture principles and govern justified exceptions.</t>
        </is>
      </c>
      <c r="AR70" s="9" t="inlineStr">
        <is>
          <t>Adoption beyond own work; recurring authority and measurable wider outcomes.</t>
        </is>
      </c>
      <c r="AS70" s="9" t="inlineStr">
        <is>
          <t>A design decision record with alternatives, cost and security trade-offs plus implementation validation</t>
        </is>
      </c>
      <c r="AT70" s="9" t="inlineStr">
        <is>
          <r>
            <rPr>
              <rFont val="Calibri"/>
              <b val="1"/>
              <sz val="10"/>
            </rPr>
            <t>CoreFiling:</t>
          </r>
          <r>
            <rPr>
              <rFont val="Calibri"/>
              <sz val="10"/>
            </rPr>
            <t xml:space="preserve"> Careers and technical context · Context only. Gap: Peer context supports technical/domain expertise but no complete architecture ladder</t>
          </r>
        </is>
      </c>
      <c r="AU70" s="22" t="inlineStr">
        <is>
          <t>Framework + role-holders' themes · 3+ answered</t>
        </is>
      </c>
      <c r="AV70" s="9" t="inlineStr">
        <is>
          <t>5 holders, 5 answered the survey; sub-family 9 answered</t>
        </is>
      </c>
    </row>
    <row r="71" ht="119" customHeight="1">
      <c r="A71" s="17" t="inlineStr">
        <is>
          <t>RC-057</t>
        </is>
      </c>
      <c r="B71" s="9" t="inlineStr">
        <is>
          <t>Engineering &amp; Architecture</t>
        </is>
      </c>
      <c r="C71" s="9" t="inlineStr">
        <is>
          <t>Solution &amp; Technical Architecture</t>
        </is>
      </c>
      <c r="D71" s="27" t="inlineStr">
        <is>
          <t>C1</t>
        </is>
      </c>
      <c r="E71" s="28" t="inlineStr">
        <is>
          <t>Principal</t>
        </is>
      </c>
      <c r="F71" s="9" t="inlineStr">
        <is>
          <t>IC</t>
        </is>
      </c>
      <c r="G71" s="9" t="inlineStr">
        <is>
          <t>Technical Architect · Solution Architect</t>
        </is>
      </c>
      <c r="H71" s="8" t="n">
        <v>2</v>
      </c>
      <c r="I71" s="9" t="inlineStr">
        <is>
          <t>iFile 1 · Datatech 1</t>
        </is>
      </c>
      <c r="J71" s="9" t="inlineStr">
        <is>
          <r>
            <rPr>
              <rFont val="Calibri"/>
              <sz val="10"/>
            </rPr>
            <t xml:space="preserve">Designs system / solution architecture, integrations and technical standards; guides build teams. At C1: a sub-function, or principal authority across products.
</t>
          </r>
          <r>
            <rPr>
              <rFont val="Calibri"/>
              <b val="1"/>
              <sz val="10"/>
            </rPr>
            <t>Common themes in sub-family holders, all levels' answers:</t>
          </r>
          <r>
            <rPr>
              <rFont val="Calibri"/>
              <sz val="10"/>
            </rPr>
            <t xml:space="preserve"> technical · client · project · design · development · business</t>
          </r>
        </is>
      </c>
      <c r="K71" s="9" t="inlineStr">
        <is>
          <r>
            <rPr>
              <rFont val="Calibri"/>
              <sz val="10"/>
            </rPr>
            <t xml:space="preserve">Designs system / solution architecture, integrations and technical standards; guides build teams; Ambiguous, cross-product problems; Sub-function results or domain quality across products
</t>
          </r>
          <r>
            <rPr>
              <rFont val="Calibri"/>
              <b val="1"/>
              <sz val="10"/>
            </rPr>
            <t>Common themes in sub-family holders, all levels' answers:</t>
          </r>
          <r>
            <rPr>
              <rFont val="Calibri"/>
              <sz val="10"/>
            </rPr>
            <t xml:space="preserve"> client · technical · documentation · solution · architecture · management</t>
          </r>
        </is>
      </c>
      <c r="L71" s="9" t="inlineStr">
        <is>
          <r>
            <rPr>
              <rFont val="Calibri"/>
              <sz val="10"/>
            </rPr>
            <t xml:space="preserve">Sub-function results or domain quality across products
</t>
          </r>
          <r>
            <rPr>
              <rFont val="Calibri"/>
              <b val="1"/>
              <sz val="10"/>
            </rPr>
            <t>Common themes in sub-family holders, all levels' answers:</t>
          </r>
          <r>
            <rPr>
              <rFont val="Calibri"/>
              <sz val="10"/>
            </rPr>
            <t xml:space="preserve"> architecture · design · documentation · solution · technical · project</t>
          </r>
        </is>
      </c>
      <c r="M71" s="9" t="inlineStr">
        <is>
          <r>
            <rPr>
              <rFont val="Calibri"/>
              <sz val="10"/>
            </rPr>
            <t xml:space="preserve">Sub-function results or domain quality across products
</t>
          </r>
          <r>
            <rPr>
              <rFont val="Calibri"/>
              <b val="1"/>
              <sz val="10"/>
            </rPr>
            <t>Common themes in sub-family holders, all levels' answers:</t>
          </r>
          <r>
            <rPr>
              <rFont val="Calibri"/>
              <sz val="10"/>
            </rPr>
            <t xml:space="preserve"> technical · client · solution · architecture · design · am</t>
          </r>
        </is>
      </c>
      <c r="N71" s="9" t="inlineStr">
        <is>
          <r>
            <rPr>
              <rFont val="Calibri"/>
              <sz val="10"/>
            </rPr>
            <t xml:space="preserve">Sets direction for a sub-function or domain
</t>
          </r>
          <r>
            <rPr>
              <rFont val="Calibri"/>
              <b val="1"/>
              <sz val="10"/>
            </rPr>
            <t>Common themes in sub-family holders, all levels' answers:</t>
          </r>
          <r>
            <rPr>
              <rFont val="Calibri"/>
              <sz val="10"/>
            </rPr>
            <t xml:space="preserve"> technical · approach · design · standards</t>
          </r>
        </is>
      </c>
      <c r="O71" s="9" t="inlineStr">
        <is>
          <t>—</t>
        </is>
      </c>
      <c r="P71" s="9" t="inlineStr">
        <is>
          <t>Java · NET MVC · Spring Boot</t>
        </is>
      </c>
      <c r="Q71" s="9" t="inlineStr">
        <is>
          <t>Visual Studio</t>
        </is>
      </c>
      <c r="R71" s="9" t="inlineStr">
        <is>
          <t>A sub-function, or principal authority across products</t>
        </is>
      </c>
      <c r="S71" s="9" t="inlineStr">
        <is>
          <t>Ambiguous, cross-product problems</t>
        </is>
      </c>
      <c r="T71" s="9" t="inlineStr">
        <is>
          <t>Sets direction for a sub-function or domain</t>
        </is>
      </c>
      <c r="U71" s="9" t="inlineStr">
        <is>
          <t>Sub-function results or domain quality across products</t>
        </is>
      </c>
      <c r="V71" s="9" t="inlineStr">
        <is>
          <t>Leads managers or a community of practice</t>
        </is>
      </c>
      <c r="W71" s="9" t="inlineStr">
        <is>
          <t>10–14 yrs</t>
        </is>
      </c>
      <c r="X71" s="9" t="inlineStr">
        <is>
          <t>Postgraduate / professional qualification preferred</t>
        </is>
      </c>
      <c r="Y71" s="9" t="inlineStr">
        <is>
          <t>AWS / Azure architect · optional; Cloud / language certifications · optional</t>
        </is>
      </c>
      <c r="Z71" s="9" t="inlineStr">
        <is>
          <t>5–8, mostly managers</t>
        </is>
      </c>
      <c r="AA71" s="9" t="inlineStr">
        <is>
          <t>Core 4 · Future-ready 4 · Functional 4 · Leadership 4</t>
        </is>
      </c>
      <c r="AB71" s="9" t="inlineStr">
        <is>
          <t>System Design &amp; Architecture · Programming &amp; Tech-Stack Depth</t>
        </is>
      </c>
      <c r="AC71" s="9" t="inlineStr">
        <is>
          <t>Cloud, DevOps &amp; CI/CD · Cybersecurity &amp; Infrastructure · Stakeholder &amp; Client Management · Strategic Thinking &amp; Business Acumen</t>
        </is>
      </c>
      <c r="AD71" s="8" t="inlineStr">
        <is>
          <t>P6 / M5</t>
        </is>
      </c>
      <c r="AE71" s="8" t="inlineStr">
        <is>
          <t>5–6</t>
        </is>
      </c>
      <c r="AF71" s="9" t="inlineStr">
        <is>
          <r>
            <rPr>
              <rFont val="Calibri"/>
              <b val="1"/>
              <sz val="10"/>
            </rPr>
            <t>Nasdaq / AxiomSL:</t>
          </r>
          <r>
            <rPr>
              <rFont val="Calibri"/>
              <sz val="10"/>
            </rPr>
            <t xml:space="preserve"> Principal SE · Salesforce: PMTS · Atlassian: P60 Principal · 10+ yrs · Freshworks: Senior Staff SE</t>
          </r>
        </is>
      </c>
      <c r="AG71" s="9" t="inlineStr">
        <is>
          <t>SFIA 9 · solution architecture; TOGAF; AWS / Azure architect certifications</t>
        </is>
      </c>
      <c r="AH71" s="9" t="inlineStr">
        <is>
          <t>C2 · Senior Principal / Architect</t>
        </is>
      </c>
      <c r="AI71" s="9" t="inlineStr">
        <is>
          <t>Leadership &amp; people management · Technical depth &amp; architecture · Strategy &amp; business acumen</t>
        </is>
      </c>
      <c r="AJ71" s="9" t="inlineStr">
        <is>
          <t>AI and data science related training may help at this juncture for Sharan to build products to enable SupTech stakeholders</t>
        </is>
      </c>
      <c r="AK71" s="9" t="inlineStr">
        <is>
          <t>On-the-job / hands-on · Formal / classroom training · Knowledge transfer · KT · Online courses / self-learning · Mentoring / guidance from seniors</t>
        </is>
      </c>
      <c r="AL71" s="9" t="inlineStr">
        <is>
          <t>changing · priorities</t>
        </is>
      </c>
      <c r="AM71" s="9" t="inlineStr">
        <is>
          <t>add · clearer requirements · faster · gets · deliverables</t>
        </is>
      </c>
      <c r="AN71" s="9" t="inlineStr">
        <is>
          <t>6 of 9 say the role is changing because of AI / automation</t>
        </is>
      </c>
      <c r="AO71" s="9" t="inlineStr">
        <is>
          <t>Define system architecture across components. Includes: Solution design, non-functional trade-offs and architecture standards. Excludes: Presales persuasion alone; routine software delivery.</t>
        </is>
      </c>
      <c r="AP71" s="9" t="inlineStr">
        <is>
          <t>ARC01-4 · Principal Solution Architect</t>
        </is>
      </c>
      <c r="AQ71" s="9" t="inlineStr">
        <is>
          <t>Set cross-product architecture principles and govern justified exceptions.</t>
        </is>
      </c>
      <c r="AR71" s="9" t="inlineStr">
        <is>
          <t>Adoption beyond own work; recurring authority and measurable wider outcomes.</t>
        </is>
      </c>
      <c r="AS71" s="9" t="inlineStr">
        <is>
          <t>A design decision record with alternatives, cost and security trade-offs plus implementation validation</t>
        </is>
      </c>
      <c r="AT71" s="9" t="inlineStr">
        <is>
          <r>
            <rPr>
              <rFont val="Calibri"/>
              <b val="1"/>
              <sz val="10"/>
            </rPr>
            <t>CoreFiling:</t>
          </r>
          <r>
            <rPr>
              <rFont val="Calibri"/>
              <sz val="10"/>
            </rPr>
            <t xml:space="preserve"> Careers and technical context · Context only. Gap: Peer context supports technical/domain expertise but no complete architecture ladder</t>
          </r>
        </is>
      </c>
      <c r="AU71" s="19" t="inlineStr">
        <is>
          <t>Framework + sub-family themes · 3+ answered</t>
        </is>
      </c>
      <c r="AV71" s="9" t="inlineStr">
        <is>
          <t>2 holders, 1 answered the survey; sub-family 9 answered</t>
        </is>
      </c>
    </row>
    <row r="72">
      <c r="A72" s="94" t="inlineStr">
        <is>
          <t>Engineering &amp; Development — 32 roles · 179 people</t>
        </is>
      </c>
    </row>
    <row r="73" ht="106" customHeight="1">
      <c r="A73" s="17" t="inlineStr">
        <is>
          <t>RC-058</t>
        </is>
      </c>
      <c r="B73" s="9" t="inlineStr">
        <is>
          <t>Engineering &amp; Development</t>
        </is>
      </c>
      <c r="C73" s="9" t="inlineStr">
        <is>
          <t>AI / ML &amp; GenAI Engineering</t>
        </is>
      </c>
      <c r="D73" s="18" t="inlineStr">
        <is>
          <t>A1</t>
        </is>
      </c>
      <c r="E73" s="19" t="inlineStr">
        <is>
          <t>Intern / Trainee</t>
        </is>
      </c>
      <c r="F73" s="9" t="inlineStr">
        <is>
          <t>IC</t>
        </is>
      </c>
      <c r="G73" s="9" t="inlineStr">
        <is>
          <t>Trainee AI/ML Engineer</t>
        </is>
      </c>
      <c r="H73" s="8" t="n">
        <v>1</v>
      </c>
      <c r="I73" s="9" t="inlineStr">
        <is>
          <t>iFile 1</t>
        </is>
      </c>
      <c r="J73" s="9" t="inlineStr">
        <is>
          <r>
            <rPr>
              <rFont val="Calibri"/>
              <sz val="10"/>
            </rPr>
            <t xml:space="preserve">Builds AI/ML and LLM features — auto-tagging, classification, agentic workflows, anomaly detection. At A1: learning the role; all work reviewed.
</t>
          </r>
          <r>
            <rPr>
              <rFont val="Calibri"/>
              <b val="1"/>
              <sz val="10"/>
            </rPr>
            <t>Common themes in sub-family holders, all levels' answers:</t>
          </r>
          <r>
            <rPr>
              <rFont val="Calibri"/>
              <sz val="10"/>
            </rPr>
            <t xml:space="preserve"> business · ai · solutions · building · solve · enhance</t>
          </r>
        </is>
      </c>
      <c r="K73" s="9" t="inlineStr">
        <is>
          <r>
            <rPr>
              <rFont val="Calibri"/>
              <sz val="10"/>
            </rPr>
            <t xml:space="preserve">Builds AI/ML and LLM features — auto-tagging, classification, agentic workflows, anomaly detection; Learning; follows worked examples; Learning tasks
</t>
          </r>
          <r>
            <rPr>
              <rFont val="Calibri"/>
              <b val="1"/>
              <sz val="10"/>
            </rPr>
            <t>Common themes in sub-family holders, all levels' answers:</t>
          </r>
          <r>
            <rPr>
              <rFont val="Calibri"/>
              <sz val="10"/>
            </rPr>
            <t xml:space="preserve"> ai · technical · development · evaluation · research · system</t>
          </r>
        </is>
      </c>
      <c r="L73" s="9" t="inlineStr">
        <is>
          <r>
            <rPr>
              <rFont val="Calibri"/>
              <sz val="10"/>
            </rPr>
            <t xml:space="preserve">Learning tasks
</t>
          </r>
          <r>
            <rPr>
              <rFont val="Calibri"/>
              <b val="1"/>
              <sz val="10"/>
            </rPr>
            <t>Common themes in sub-family holders, all levels' answers:</t>
          </r>
          <r>
            <rPr>
              <rFont val="Calibri"/>
              <sz val="10"/>
            </rPr>
            <t xml:space="preserve"> ai · solutions · anomaly · features · automated</t>
          </r>
        </is>
      </c>
      <c r="M73" s="9" t="inlineStr">
        <is>
          <r>
            <rPr>
              <rFont val="Calibri"/>
              <sz val="10"/>
            </rPr>
            <t xml:space="preserve">Learning tasks
</t>
          </r>
          <r>
            <rPr>
              <rFont val="Calibri"/>
              <b val="1"/>
              <sz val="10"/>
            </rPr>
            <t>Common themes in sub-family holders, all levels' answers:</t>
          </r>
          <r>
            <rPr>
              <rFont val="Calibri"/>
              <sz val="10"/>
            </rPr>
            <t xml:space="preserve"> quality · ai · accountable · accuracy · reliability · solutions</t>
          </r>
        </is>
      </c>
      <c r="N73" s="9" t="inlineStr">
        <is>
          <r>
            <rPr>
              <rFont val="Calibri"/>
              <sz val="10"/>
            </rPr>
            <t xml:space="preserve">Needs approval / close guidance
</t>
          </r>
          <r>
            <rPr>
              <rFont val="Calibri"/>
              <b val="1"/>
              <sz val="10"/>
            </rPr>
            <t>Common themes in sub-family holders, all levels' answers:</t>
          </r>
          <r>
            <rPr>
              <rFont val="Calibri"/>
              <sz val="10"/>
            </rPr>
            <t xml:space="preserve"> approach · research · ai · technical · quality</t>
          </r>
        </is>
      </c>
      <c r="O73" s="9" t="inlineStr">
        <is>
          <t>—</t>
        </is>
      </c>
      <c r="P73" s="9" t="inlineStr">
        <is>
          <t>AI/ML · Python</t>
        </is>
      </c>
      <c r="Q73" s="9" t="inlineStr">
        <is>
          <t>Azure · FastAPI · Vs Code</t>
        </is>
      </c>
      <c r="R73" s="9" t="inlineStr">
        <is>
          <t>Learning the role; all work reviewed</t>
        </is>
      </c>
      <c r="S73" s="9" t="inlineStr">
        <is>
          <t>Learning; follows worked examples</t>
        </is>
      </c>
      <c r="T73" s="9" t="inlineStr">
        <is>
          <t>Needs approval / close guidance</t>
        </is>
      </c>
      <c r="U73" s="9" t="inlineStr">
        <is>
          <t>Learning tasks</t>
        </is>
      </c>
      <c r="V73" s="9" t="inlineStr">
        <is>
          <t>Not scored in Band A</t>
        </is>
      </c>
      <c r="W73" s="9" t="inlineStr">
        <is>
          <t>0 yrs · fresher / intern</t>
        </is>
      </c>
      <c r="X73" s="9" t="inlineStr">
        <is>
          <t>Pursuing or completed graduation / diploma</t>
        </is>
      </c>
      <c r="Y73" s="9" t="inlineStr">
        <is>
          <t>Cloud / language certifications · optional; AWS / Azure architect · optional</t>
        </is>
      </c>
      <c r="Z73" s="9" t="inlineStr">
        <is>
          <t>No direct reports</t>
        </is>
      </c>
      <c r="AA73" s="9" t="inlineStr">
        <is>
          <t>Core 1 · Future-ready 1 · Functional 1 · Leadership —</t>
        </is>
      </c>
      <c r="AB73" s="9" t="inlineStr">
        <is>
          <t>Programming &amp; Tech-Stack Depth · System Design &amp; Architecture</t>
        </is>
      </c>
      <c r="AC73" s="9" t="inlineStr">
        <is>
          <t>Database, SQL &amp; Data Engineering · Cloud, DevOps &amp; CI/CD · AI, GenAI &amp; Prompt Engineering · Product, Platform &amp; Domain Knowledge</t>
        </is>
      </c>
      <c r="AD73" s="8" t="inlineStr">
        <is>
          <t>Entry / P1 · intern</t>
        </is>
      </c>
      <c r="AE73" s="8" t="inlineStr">
        <is>
          <t>1 Follow</t>
        </is>
      </c>
      <c r="AF73" s="9" t="inlineStr">
        <is>
          <t>—</t>
        </is>
      </c>
      <c r="AG73" s="9" t="inlineStr">
        <is>
          <t>SFIA 9 · software development, programming; OWASP secure coding; cloud vendor certifications</t>
        </is>
      </c>
      <c r="AH73" s="9" t="inlineStr">
        <is>
          <t>A2 · Associate</t>
        </is>
      </c>
      <c r="AI73" s="9" t="inlineStr">
        <is>
          <t>AI / automation · Technical depth &amp; architecture · Product &amp; tool knowledge · Broader exposure &amp; ownership</t>
        </is>
      </c>
      <c r="AJ73" s="9" t="inlineStr">
        <is>
          <t>—</t>
        </is>
      </c>
      <c r="AK73" s="9" t="inlineStr">
        <is>
          <t>On-the-job / hands-on · Mentoring / guidance from seniors · Formal / classroom training · Online courses / self-learning · Certification</t>
        </is>
      </c>
      <c r="AL73" s="9" t="inlineStr">
        <is>
          <t>unclear · requirements</t>
        </is>
      </c>
      <c r="AM73" s="9" t="inlineStr">
        <is>
          <t>better · clearer · ai · development · tools</t>
        </is>
      </c>
      <c r="AN73" s="9" t="inlineStr">
        <is>
          <t>10 of 11 say the role is changing because of AI / automation</t>
        </is>
      </c>
      <c r="AO73" s="9" t="inlineStr">
        <is>
          <t>Build and operate software capabilities. Includes: Application code, data/ML engineering and product reliability. Excludes: Product investment decisions; internal IT service desk.</t>
        </is>
      </c>
      <c r="AP73" s="9" t="inlineStr">
        <is>
          <t>ENG04-0 · ML Engineering Intern</t>
        </is>
      </c>
      <c r="AQ73" s="9" t="inlineStr">
        <is>
          <r>
            <rPr>
              <rFont val="Calibri"/>
              <b val="1"/>
              <sz val="10"/>
            </rPr>
            <t>Assist with a supervised work sample:</t>
          </r>
          <r>
            <rPr>
              <rFont val="Calibri"/>
              <sz val="10"/>
            </rPr>
            <t xml:space="preserve"> build reproducible model pipelines and evaluation sets.</t>
          </r>
        </is>
      </c>
      <c r="AR73" s="9" t="inlineStr">
        <is>
          <t>Reviewed learning assignment; no independent material sign-off.</t>
        </is>
      </c>
      <c r="AS73" s="9" t="inlineStr">
        <is>
          <t>A baseline comparison, evaluation set, error analysis and monitored deployment with human escalation</t>
        </is>
      </c>
      <c r="AT73" s="9" t="inlineStr">
        <is>
          <r>
            <rPr>
              <rFont val="Calibri"/>
              <b val="1"/>
              <sz val="10"/>
            </rPr>
            <t>Regnology:</t>
          </r>
          <r>
            <rPr>
              <rFont val="Calibri"/>
              <sz val="10"/>
            </rPr>
            <t xml:space="preserve"> Senior Software Engineer, Pune · Related work. Gap: Peer software evidence does not establish specialised frontend or ML levels</t>
          </r>
        </is>
      </c>
      <c r="AU73" s="19" t="inlineStr">
        <is>
          <t>Framework + sub-family themes · 3+ answered</t>
        </is>
      </c>
      <c r="AV73" s="9" t="inlineStr">
        <is>
          <t>1 holder, 1 answered the survey; sub-family 11 answered</t>
        </is>
      </c>
    </row>
    <row r="74" ht="93" customHeight="1">
      <c r="A74" s="17" t="inlineStr">
        <is>
          <t>RC-059</t>
        </is>
      </c>
      <c r="B74" s="9" t="inlineStr">
        <is>
          <t>Engineering &amp; Development</t>
        </is>
      </c>
      <c r="C74" s="9" t="inlineStr">
        <is>
          <t>AI / ML &amp; GenAI Engineering</t>
        </is>
      </c>
      <c r="D74" s="18" t="inlineStr">
        <is>
          <t>A2</t>
        </is>
      </c>
      <c r="E74" s="19" t="inlineStr">
        <is>
          <t>Associate</t>
        </is>
      </c>
      <c r="F74" s="9" t="inlineStr">
        <is>
          <t>IC</t>
        </is>
      </c>
      <c r="G74" s="9" t="inlineStr">
        <is>
          <t>AI/ML Engineer</t>
        </is>
      </c>
      <c r="H74" s="8" t="n">
        <v>3</v>
      </c>
      <c r="I74" s="9" t="inlineStr">
        <is>
          <t>CARBON 2 · iFile 1</t>
        </is>
      </c>
      <c r="J74" s="9" t="inlineStr">
        <is>
          <r>
            <rPr>
              <rFont val="Calibri"/>
              <sz val="10"/>
            </rPr>
            <t xml:space="preserve">Builds AI/ML and LLM features — auto-tagging, classification, agentic workflows, anomaly detection. At A2: standard work delivered independently.
</t>
          </r>
          <r>
            <rPr>
              <rFont val="Calibri"/>
              <b val="1"/>
              <sz val="10"/>
            </rPr>
            <t>Common themes in role-holders' answers:</t>
          </r>
          <r>
            <rPr>
              <rFont val="Calibri"/>
              <sz val="10"/>
            </rPr>
            <t xml:space="preserve"> building · solve · business · solutions</t>
          </r>
        </is>
      </c>
      <c r="K74" s="9" t="inlineStr">
        <is>
          <r>
            <rPr>
              <rFont val="Calibri"/>
              <sz val="10"/>
            </rPr>
            <t xml:space="preserve">Builds AI/ML and LLM features — auto-tagging, classification, agentic workflows, anomaly detection; Standard work of the discipline; Own deliverables · accuracy, TAT
</t>
          </r>
          <r>
            <rPr>
              <rFont val="Calibri"/>
              <b val="1"/>
              <sz val="10"/>
            </rPr>
            <t>Common themes in role-holders' answers:</t>
          </r>
          <r>
            <rPr>
              <rFont val="Calibri"/>
              <sz val="10"/>
            </rPr>
            <t xml:space="preserve"> ai · solution · testing · technical</t>
          </r>
        </is>
      </c>
      <c r="L74" s="9" t="inlineStr">
        <is>
          <r>
            <rPr>
              <rFont val="Calibri"/>
              <sz val="10"/>
            </rPr>
            <t xml:space="preserve">Own deliverables · accuracy, TAT
</t>
          </r>
          <r>
            <rPr>
              <rFont val="Calibri"/>
              <b val="1"/>
              <sz val="10"/>
            </rPr>
            <t>Common themes in role-holders' answers:</t>
          </r>
          <r>
            <rPr>
              <rFont val="Calibri"/>
              <sz val="10"/>
            </rPr>
            <t xml:space="preserve"> ai · solutions</t>
          </r>
        </is>
      </c>
      <c r="M74" s="9" t="inlineStr">
        <is>
          <r>
            <rPr>
              <rFont val="Calibri"/>
              <sz val="10"/>
            </rPr>
            <t xml:space="preserve">Own deliverables · accuracy, TAT
</t>
          </r>
          <r>
            <rPr>
              <rFont val="Calibri"/>
              <b val="1"/>
              <sz val="10"/>
            </rPr>
            <t>Common themes in role-holders' answers:</t>
          </r>
          <r>
            <rPr>
              <rFont val="Calibri"/>
              <sz val="10"/>
            </rPr>
            <t xml:space="preserve"> testing · develop · quality · solutions · ai · accountable</t>
          </r>
        </is>
      </c>
      <c r="N74" s="9" t="inlineStr">
        <is>
          <t>Chooses own approach within standards</t>
        </is>
      </c>
      <c r="O74" s="9" t="inlineStr">
        <is>
          <t>—</t>
        </is>
      </c>
      <c r="P74" s="9" t="inlineStr">
        <is>
          <t>AI/ML</t>
        </is>
      </c>
      <c r="Q74" s="9" t="inlineStr">
        <is>
          <t>FastAPI</t>
        </is>
      </c>
      <c r="R74" s="9" t="inlineStr">
        <is>
          <t>Standard work delivered independently</t>
        </is>
      </c>
      <c r="S74" s="9" t="inlineStr">
        <is>
          <t>Standard work of the discipline</t>
        </is>
      </c>
      <c r="T74" s="9" t="inlineStr">
        <is>
          <t>Chooses own approach within standards</t>
        </is>
      </c>
      <c r="U74" s="9" t="inlineStr">
        <is>
          <t>Own deliverables · accuracy, TAT</t>
        </is>
      </c>
      <c r="V74" s="9" t="inlineStr">
        <is>
          <t>Not scored in Band A</t>
        </is>
      </c>
      <c r="W74" s="9" t="inlineStr">
        <is>
          <t>0–2 yrs</t>
        </is>
      </c>
      <c r="X74" s="9" t="inlineStr">
        <is>
          <t>Graduate · or diploma with experience</t>
        </is>
      </c>
      <c r="Y74" s="9" t="inlineStr">
        <is>
          <t>Cloud / language certifications · optional; AWS / Azure architect · optional</t>
        </is>
      </c>
      <c r="Z74" s="9" t="inlineStr">
        <is>
          <t>No direct reports</t>
        </is>
      </c>
      <c r="AA74" s="9" t="inlineStr">
        <is>
          <t>Core 2 · Future-ready 2 · Functional 2 · Leadership —</t>
        </is>
      </c>
      <c r="AB74" s="9" t="inlineStr">
        <is>
          <t>Programming &amp; Tech-Stack Depth · System Design &amp; Architecture</t>
        </is>
      </c>
      <c r="AC74" s="9" t="inlineStr">
        <is>
          <t>Database, SQL &amp; Data Engineering · Cloud, DevOps &amp; CI/CD · AI, GenAI &amp; Prompt Engineering · Product, Platform &amp; Domain Knowledge</t>
        </is>
      </c>
      <c r="AD74" s="8" t="inlineStr">
        <is>
          <t>P1–P2</t>
        </is>
      </c>
      <c r="AE74" s="8" t="inlineStr">
        <is>
          <t>2 Assist</t>
        </is>
      </c>
      <c r="AF74" s="9" t="inlineStr">
        <is>
          <r>
            <rPr>
              <rFont val="Calibri"/>
              <b val="1"/>
              <sz val="10"/>
            </rPr>
            <t>Workiva:</t>
          </r>
          <r>
            <rPr>
              <rFont val="Calibri"/>
              <sz val="10"/>
            </rPr>
            <t xml:space="preserve"> Associate SE · Broadridge India: SE · Nasdaq / AxiomSL: SE · Salesforce: AMTS</t>
          </r>
        </is>
      </c>
      <c r="AG74" s="9" t="inlineStr">
        <is>
          <t>SFIA 9 · software development, programming; OWASP secure coding; cloud vendor certifications</t>
        </is>
      </c>
      <c r="AH74" s="9" t="inlineStr">
        <is>
          <t>A3 · Senior Associate</t>
        </is>
      </c>
      <c r="AI74" s="9" t="inlineStr">
        <is>
          <t>AI / automation · Project / programme management · Technical depth &amp; architecture · Broader exposure &amp; ownership · Product &amp; tool knowledge</t>
        </is>
      </c>
      <c r="AJ74" s="9" t="inlineStr">
        <is>
          <t>—</t>
        </is>
      </c>
      <c r="AK74" s="9" t="inlineStr">
        <is>
          <t>Mentoring / guidance from seniors · On-the-job / hands-on · Formal / classroom training · Online courses / self-learning</t>
        </is>
      </c>
      <c r="AL74" s="9" t="inlineStr">
        <is>
          <t>No common theme</t>
        </is>
      </c>
      <c r="AM74" s="9" t="inlineStr">
        <is>
          <t>clearer · priorities · ai</t>
        </is>
      </c>
      <c r="AN74" s="9" t="inlineStr">
        <is>
          <t>3 of 3 say the role is changing because of AI / automation</t>
        </is>
      </c>
      <c r="AO74" s="9" t="inlineStr">
        <is>
          <t>Build and operate software capabilities. Includes: Application code, data/ML engineering and product reliability. Excludes: Product investment decisions; internal IT service desk.</t>
        </is>
      </c>
      <c r="AP74" s="9" t="inlineStr">
        <is>
          <t>ENG04-1 · Associate ML Engineer</t>
        </is>
      </c>
      <c r="AQ74" s="9" t="inlineStr">
        <is>
          <r>
            <rPr>
              <rFont val="Calibri"/>
              <b val="1"/>
              <sz val="10"/>
            </rPr>
            <t>Complete defined parts under review:</t>
          </r>
          <r>
            <rPr>
              <rFont val="Calibri"/>
              <sz val="10"/>
            </rPr>
            <t xml:space="preserve"> build reproducible model pipelines and evaluation sets.</t>
          </r>
        </is>
      </c>
      <c r="AR74" s="9" t="inlineStr">
        <is>
          <t>Repeatable correct delivery, safe escalation and required entry eligibility.</t>
        </is>
      </c>
      <c r="AS74" s="9" t="inlineStr">
        <is>
          <t>A baseline comparison, evaluation set, error analysis and monitored deployment with human escalation</t>
        </is>
      </c>
      <c r="AT74" s="9" t="inlineStr">
        <is>
          <r>
            <rPr>
              <rFont val="Calibri"/>
              <b val="1"/>
              <sz val="10"/>
            </rPr>
            <t>Regnology:</t>
          </r>
          <r>
            <rPr>
              <rFont val="Calibri"/>
              <sz val="10"/>
            </rPr>
            <t xml:space="preserve"> Senior Software Engineer, Pune · Related work. Gap: Peer software evidence does not establish specialised frontend or ML levels</t>
          </r>
        </is>
      </c>
      <c r="AU74" s="22" t="inlineStr">
        <is>
          <t>Framework + role-holders' themes · 3+ answered</t>
        </is>
      </c>
      <c r="AV74" s="9" t="inlineStr">
        <is>
          <t>3 holders, 3 answered the survey; sub-family 11 answered</t>
        </is>
      </c>
    </row>
    <row r="75" ht="106" customHeight="1">
      <c r="A75" s="17" t="inlineStr">
        <is>
          <t>RC-060</t>
        </is>
      </c>
      <c r="B75" s="9" t="inlineStr">
        <is>
          <t>Engineering &amp; Development</t>
        </is>
      </c>
      <c r="C75" s="9" t="inlineStr">
        <is>
          <t>AI / ML &amp; GenAI Engineering</t>
        </is>
      </c>
      <c r="D75" s="18" t="inlineStr">
        <is>
          <t>A3</t>
        </is>
      </c>
      <c r="E75" s="19" t="inlineStr">
        <is>
          <t>Senior Associate</t>
        </is>
      </c>
      <c r="F75" s="9" t="inlineStr">
        <is>
          <t>IC</t>
        </is>
      </c>
      <c r="G75" s="9" t="inlineStr">
        <is>
          <t>Senior AI/ML Engineer</t>
        </is>
      </c>
      <c r="H75" s="8" t="n">
        <v>6</v>
      </c>
      <c r="I75" s="9" t="inlineStr">
        <is>
          <t>CARBON 4 · iFile 2</t>
        </is>
      </c>
      <c r="J75" s="9" t="inlineStr">
        <is>
          <r>
            <rPr>
              <rFont val="Calibri"/>
              <sz val="10"/>
            </rPr>
            <t xml:space="preserve">Builds AI/ML and LLM features — auto-tagging, classification, agentic workflows, anomaly detection. At A3: varied work; reviews juniors; go-to for a process.
</t>
          </r>
          <r>
            <rPr>
              <rFont val="Calibri"/>
              <b val="1"/>
              <sz val="10"/>
            </rPr>
            <t>Common themes in role-holders' answers:</t>
          </r>
          <r>
            <rPr>
              <rFont val="Calibri"/>
              <sz val="10"/>
            </rPr>
            <t xml:space="preserve"> ai · product · solutions · business</t>
          </r>
        </is>
      </c>
      <c r="K75" s="9" t="inlineStr">
        <is>
          <r>
            <rPr>
              <rFont val="Calibri"/>
              <sz val="10"/>
            </rPr>
            <t xml:space="preserve">Builds AI/ML and LLM features — auto-tagging, classification, agentic workflows, anomaly detection; Varied and non-standard work; handles exceptions; A module / process, or work with client or regulatory consequences
</t>
          </r>
          <r>
            <rPr>
              <rFont val="Calibri"/>
              <b val="1"/>
              <sz val="10"/>
            </rPr>
            <t>Common themes in role-holders' answers:</t>
          </r>
          <r>
            <rPr>
              <rFont val="Calibri"/>
              <sz val="10"/>
            </rPr>
            <t xml:space="preserve"> technical</t>
          </r>
        </is>
      </c>
      <c r="L75" s="9" t="inlineStr">
        <is>
          <r>
            <rPr>
              <rFont val="Calibri"/>
              <sz val="10"/>
            </rPr>
            <t xml:space="preserve">A module / process, or work with client or regulatory consequences
</t>
          </r>
          <r>
            <rPr>
              <rFont val="Calibri"/>
              <b val="1"/>
              <sz val="10"/>
            </rPr>
            <t>Common themes in role-holders' answers:</t>
          </r>
          <r>
            <rPr>
              <rFont val="Calibri"/>
              <sz val="10"/>
            </rPr>
            <t xml:space="preserve"> ai · features</t>
          </r>
        </is>
      </c>
      <c r="M75" s="9" t="inlineStr">
        <is>
          <r>
            <rPr>
              <rFont val="Calibri"/>
              <sz val="10"/>
            </rPr>
            <t xml:space="preserve">A module / process, or work with client or regulatory consequences
</t>
          </r>
          <r>
            <rPr>
              <rFont val="Calibri"/>
              <b val="1"/>
              <sz val="10"/>
            </rPr>
            <t>Common themes in role-holders' answers:</t>
          </r>
          <r>
            <rPr>
              <rFont val="Calibri"/>
              <sz val="10"/>
            </rPr>
            <t xml:space="preserve"> quality · features · ai · code</t>
          </r>
        </is>
      </c>
      <c r="N75" s="9" t="inlineStr">
        <is>
          <r>
            <rPr>
              <rFont val="Calibri"/>
              <sz val="10"/>
            </rPr>
            <t xml:space="preserve">Technical / QC / client calls on own work
</t>
          </r>
          <r>
            <rPr>
              <rFont val="Calibri"/>
              <b val="1"/>
              <sz val="10"/>
            </rPr>
            <t>Common themes in role-holders' answers:</t>
          </r>
          <r>
            <rPr>
              <rFont val="Calibri"/>
              <sz val="10"/>
            </rPr>
            <t xml:space="preserve"> approach</t>
          </r>
        </is>
      </c>
      <c r="O75" s="9" t="inlineStr">
        <is>
          <t>—</t>
        </is>
      </c>
      <c r="P75" s="9" t="inlineStr">
        <is>
          <t>AI/ML · Python</t>
        </is>
      </c>
      <c r="Q75" s="9" t="inlineStr">
        <is>
          <t>—</t>
        </is>
      </c>
      <c r="R75" s="9" t="inlineStr">
        <is>
          <t>Varied work; reviews juniors; go-to for a process</t>
        </is>
      </c>
      <c r="S75" s="9" t="inlineStr">
        <is>
          <t>Varied and non-standard work; handles exceptions</t>
        </is>
      </c>
      <c r="T75" s="9" t="inlineStr">
        <is>
          <t>Technical / QC / client calls on own work</t>
        </is>
      </c>
      <c r="U75" s="9" t="inlineStr">
        <is>
          <t>A module / process, or work with client or regulatory consequences</t>
        </is>
      </c>
      <c r="V75" s="9" t="inlineStr">
        <is>
          <t>Not scored in Band A</t>
        </is>
      </c>
      <c r="W75" s="9" t="inlineStr">
        <is>
          <t>2–4 yrs</t>
        </is>
      </c>
      <c r="X75" s="9" t="inlineStr">
        <is>
          <t>Graduate; relevant certification preferred</t>
        </is>
      </c>
      <c r="Y75" s="9" t="inlineStr">
        <is>
          <t>Cloud / language certifications · optional; AWS / Azure architect · optional</t>
        </is>
      </c>
      <c r="Z75" s="9" t="inlineStr">
        <is>
          <t>None · guides 1–3 juniors informally</t>
        </is>
      </c>
      <c r="AA75" s="9" t="inlineStr">
        <is>
          <t>Core 2 · Future-ready 2 · Functional 3 · Leadership —</t>
        </is>
      </c>
      <c r="AB75" s="9" t="inlineStr">
        <is>
          <t>Programming &amp; Tech-Stack Depth · System Design &amp; Architecture</t>
        </is>
      </c>
      <c r="AC75" s="9" t="inlineStr">
        <is>
          <t>Database, SQL &amp; Data Engineering · Cloud, DevOps &amp; CI/CD · AI, GenAI &amp; Prompt Engineering · Product, Platform &amp; Domain Knowledge</t>
        </is>
      </c>
      <c r="AD75" s="8" t="inlineStr">
        <is>
          <t>P2</t>
        </is>
      </c>
      <c r="AE75" s="8" t="inlineStr">
        <is>
          <t>3 Apply</t>
        </is>
      </c>
      <c r="AF75" s="9" t="inlineStr">
        <is>
          <r>
            <rPr>
              <rFont val="Calibri"/>
              <b val="1"/>
              <sz val="10"/>
            </rPr>
            <t>Workiva:</t>
          </r>
          <r>
            <rPr>
              <rFont val="Calibri"/>
              <sz val="10"/>
            </rPr>
            <t xml:space="preserve"> SE · Broadridge India: SE · Nasdaq / AxiomSL: SE · Salesforce: MTS</t>
          </r>
        </is>
      </c>
      <c r="AG75" s="9" t="inlineStr">
        <is>
          <t>SFIA 9 · software development, programming; OWASP secure coding; cloud vendor certifications</t>
        </is>
      </c>
      <c r="AH75" s="9" t="inlineStr">
        <is>
          <t>B1 · Specialist</t>
        </is>
      </c>
      <c r="AI75" s="9" t="inlineStr">
        <is>
          <t>AI / automation · Technical depth &amp; architecture · Leadership &amp; people management · Product &amp; tool knowledge · Broader exposure &amp; ownership</t>
        </is>
      </c>
      <c r="AJ75" s="9" t="inlineStr">
        <is>
          <t>Advanced Python; secure coding &amp; code-quality practices; unit/automated testing; system design fundamentals</t>
        </is>
      </c>
      <c r="AK75" s="9" t="inlineStr">
        <is>
          <t>On-the-job / hands-on · Mentoring / guidance from seniors · Formal / classroom training · Online courses / self-learning · Certification</t>
        </is>
      </c>
      <c r="AL75" s="9" t="inlineStr">
        <is>
          <t>No common theme</t>
        </is>
      </c>
      <c r="AM75" s="9" t="inlineStr">
        <is>
          <t>better · tools</t>
        </is>
      </c>
      <c r="AN75" s="9" t="inlineStr">
        <is>
          <t>4 of 5 say the role is changing because of AI / automation</t>
        </is>
      </c>
      <c r="AO75" s="9" t="inlineStr">
        <is>
          <t>Build and operate software capabilities. Includes: Application code, data/ML engineering and product reliability. Excludes: Product investment decisions; internal IT service desk.</t>
        </is>
      </c>
      <c r="AP75" s="9" t="inlineStr">
        <is>
          <t>ENG04-2 · Machine Learning Engineer</t>
        </is>
      </c>
      <c r="AQ75" s="9" t="inlineStr">
        <is>
          <t>Build reproducible model pipelines and evaluation sets.</t>
        </is>
      </c>
      <c r="AR75" s="9" t="inlineStr">
        <is>
          <t>Demonstrate routine delivery plus judgement in bounded exceptions.</t>
        </is>
      </c>
      <c r="AS75" s="9" t="inlineStr">
        <is>
          <t>A baseline comparison, evaluation set, error analysis and monitored deployment with human escalation</t>
        </is>
      </c>
      <c r="AT75" s="9" t="inlineStr">
        <is>
          <r>
            <rPr>
              <rFont val="Calibri"/>
              <b val="1"/>
              <sz val="10"/>
            </rPr>
            <t>Regnology:</t>
          </r>
          <r>
            <rPr>
              <rFont val="Calibri"/>
              <sz val="10"/>
            </rPr>
            <t xml:space="preserve"> Senior Software Engineer, Pune · Related work. Gap: Peer software evidence does not establish specialised frontend or ML levels</t>
          </r>
        </is>
      </c>
      <c r="AU75" s="22" t="inlineStr">
        <is>
          <t>Framework + role-holders' themes · 3+ answered</t>
        </is>
      </c>
      <c r="AV75" s="9" t="inlineStr">
        <is>
          <t>6 holders, 5 answered the survey; sub-family 11 answered</t>
        </is>
      </c>
    </row>
    <row r="76" ht="106" customHeight="1">
      <c r="A76" s="17" t="inlineStr">
        <is>
          <t>RC-061</t>
        </is>
      </c>
      <c r="B76" s="9" t="inlineStr">
        <is>
          <t>Engineering &amp; Development</t>
        </is>
      </c>
      <c r="C76" s="9" t="inlineStr">
        <is>
          <t>AI / ML &amp; GenAI Engineering</t>
        </is>
      </c>
      <c r="D76" s="21" t="inlineStr">
        <is>
          <t>B1</t>
        </is>
      </c>
      <c r="E76" s="22" t="inlineStr">
        <is>
          <t>Specialist</t>
        </is>
      </c>
      <c r="F76" s="9" t="inlineStr">
        <is>
          <t>IC</t>
        </is>
      </c>
      <c r="G76" s="9" t="inlineStr">
        <is>
          <t>AI/ML Specialist – POD Lead</t>
        </is>
      </c>
      <c r="H76" s="8" t="n">
        <v>2</v>
      </c>
      <c r="I76" s="9" t="inlineStr">
        <is>
          <t>CARBON 1 · iFile 1</t>
        </is>
      </c>
      <c r="J76" s="9" t="inlineStr">
        <is>
          <r>
            <rPr>
              <rFont val="Calibri"/>
              <sz val="10"/>
            </rPr>
            <t xml:space="preserve">Builds AI/ML and LLM features — auto-tagging, classification, agentic workflows, anomaly detection. At B1: a domain / module, or a small team.
</t>
          </r>
          <r>
            <rPr>
              <rFont val="Calibri"/>
              <b val="1"/>
              <sz val="10"/>
            </rPr>
            <t>Common themes in sub-family holders, all levels' answers:</t>
          </r>
          <r>
            <rPr>
              <rFont val="Calibri"/>
              <sz val="10"/>
            </rPr>
            <t xml:space="preserve"> business · ai · solutions · building · solve · enhance</t>
          </r>
        </is>
      </c>
      <c r="K76" s="9" t="inlineStr">
        <is>
          <r>
            <rPr>
              <rFont val="Calibri"/>
              <sz val="10"/>
            </rPr>
            <t xml:space="preserve">Builds AI/ML and LLM features — auto-tagging, classification, agentic workflows, anomaly detection; Domain specialist work; A domain or a small team
</t>
          </r>
          <r>
            <rPr>
              <rFont val="Calibri"/>
              <b val="1"/>
              <sz val="10"/>
            </rPr>
            <t>Common themes in sub-family holders, all levels' answers:</t>
          </r>
          <r>
            <rPr>
              <rFont val="Calibri"/>
              <sz val="10"/>
            </rPr>
            <t xml:space="preserve"> ai · technical · development · evaluation · research · system</t>
          </r>
        </is>
      </c>
      <c r="L76" s="9" t="inlineStr">
        <is>
          <r>
            <rPr>
              <rFont val="Calibri"/>
              <sz val="10"/>
            </rPr>
            <t xml:space="preserve">A domain or a small team
</t>
          </r>
          <r>
            <rPr>
              <rFont val="Calibri"/>
              <b val="1"/>
              <sz val="10"/>
            </rPr>
            <t>Common themes in sub-family holders, all levels' answers:</t>
          </r>
          <r>
            <rPr>
              <rFont val="Calibri"/>
              <sz val="10"/>
            </rPr>
            <t xml:space="preserve"> ai · solutions · anomaly · features · automated</t>
          </r>
        </is>
      </c>
      <c r="M76" s="9" t="inlineStr">
        <is>
          <r>
            <rPr>
              <rFont val="Calibri"/>
              <sz val="10"/>
            </rPr>
            <t xml:space="preserve">A domain or a small team
</t>
          </r>
          <r>
            <rPr>
              <rFont val="Calibri"/>
              <b val="1"/>
              <sz val="10"/>
            </rPr>
            <t>Common themes in sub-family holders, all levels' answers:</t>
          </r>
          <r>
            <rPr>
              <rFont val="Calibri"/>
              <sz val="10"/>
            </rPr>
            <t xml:space="preserve"> quality · ai · accountable · accuracy · reliability · solutions</t>
          </r>
        </is>
      </c>
      <c r="N76" s="9" t="inlineStr">
        <is>
          <r>
            <rPr>
              <rFont val="Calibri"/>
              <sz val="10"/>
            </rPr>
            <t xml:space="preserve">Technical / QC / client calls for the domain
</t>
          </r>
          <r>
            <rPr>
              <rFont val="Calibri"/>
              <b val="1"/>
              <sz val="10"/>
            </rPr>
            <t>Common themes in sub-family holders, all levels' answers:</t>
          </r>
          <r>
            <rPr>
              <rFont val="Calibri"/>
              <sz val="10"/>
            </rPr>
            <t xml:space="preserve"> approach · research · ai · technical · quality</t>
          </r>
        </is>
      </c>
      <c r="O76" s="9" t="inlineStr">
        <is>
          <t>—</t>
        </is>
      </c>
      <c r="P76" s="9" t="inlineStr">
        <is>
          <t>AI/ML · Python</t>
        </is>
      </c>
      <c r="Q76" s="9" t="inlineStr">
        <is>
          <t>Azure · FastAPI · Vs Code</t>
        </is>
      </c>
      <c r="R76" s="9" t="inlineStr">
        <is>
          <t>A domain / module, or a small team</t>
        </is>
      </c>
      <c r="S76" s="9" t="inlineStr">
        <is>
          <t>Domain specialist work</t>
        </is>
      </c>
      <c r="T76" s="9" t="inlineStr">
        <is>
          <t>Technical / QC / client calls for the domain</t>
        </is>
      </c>
      <c r="U76" s="9" t="inlineStr">
        <is>
          <t>A domain or a small team</t>
        </is>
      </c>
      <c r="V76" s="9" t="inlineStr">
        <is>
          <r>
            <rPr>
              <rFont val="Calibri"/>
              <b val="1"/>
              <sz val="10"/>
            </rPr>
            <t>IC:</t>
          </r>
          <r>
            <rPr>
              <rFont val="Calibri"/>
              <sz val="10"/>
            </rPr>
            <t xml:space="preserve"> mentors and reviews · People: hands-on team lead of 3–5</t>
          </r>
        </is>
      </c>
      <c r="W76" s="9" t="inlineStr">
        <is>
          <t>4–7 yrs</t>
        </is>
      </c>
      <c r="X76" s="9" t="inlineStr">
        <is>
          <t>Graduate + relevant qualification or certification preferred</t>
        </is>
      </c>
      <c r="Y76" s="9" t="inlineStr">
        <is>
          <t>Cloud / language certifications · optional; AWS / Azure architect · optional</t>
        </is>
      </c>
      <c r="Z76" s="9" t="inlineStr">
        <is>
          <r>
            <rPr>
              <rFont val="Calibri"/>
              <b val="1"/>
              <sz val="10"/>
            </rPr>
            <t>IC:</t>
          </r>
          <r>
            <rPr>
              <rFont val="Calibri"/>
              <sz val="10"/>
            </rPr>
            <t xml:space="preserve"> none · Team Lead: 3–5</t>
          </r>
        </is>
      </c>
      <c r="AA76" s="9" t="inlineStr">
        <is>
          <t>Core 3 · Future-ready 3 · Functional 3 · Leadership 1</t>
        </is>
      </c>
      <c r="AB76" s="9" t="inlineStr">
        <is>
          <t>Programming &amp; Tech-Stack Depth · System Design &amp; Architecture</t>
        </is>
      </c>
      <c r="AC76" s="9" t="inlineStr">
        <is>
          <t>Database, SQL &amp; Data Engineering · Cloud, DevOps &amp; CI/CD · AI, GenAI &amp; Prompt Engineering · Product, Platform &amp; Domain Knowledge</t>
        </is>
      </c>
      <c r="AD76" s="8" t="inlineStr">
        <is>
          <t>P3 / M2</t>
        </is>
      </c>
      <c r="AE76" s="8" t="inlineStr">
        <is>
          <t>4 Enable</t>
        </is>
      </c>
      <c r="AF76" s="9" t="inlineStr">
        <is>
          <r>
            <rPr>
              <rFont val="Calibri"/>
              <b val="1"/>
              <sz val="10"/>
            </rPr>
            <t>Workiva:</t>
          </r>
          <r>
            <rPr>
              <rFont val="Calibri"/>
              <sz val="10"/>
            </rPr>
            <t xml:space="preserve"> SE / Senior SE · Broadridge India: Senior SE · Nasdaq / AxiomSL: Senior SE · Salesforce: MTS</t>
          </r>
        </is>
      </c>
      <c r="AG76" s="9" t="inlineStr">
        <is>
          <t>SFIA 9 · software development, programming; OWASP secure coding; cloud vendor certifications</t>
        </is>
      </c>
      <c r="AH76" s="9" t="inlineStr">
        <is>
          <t>B2 · Senior Specialist</t>
        </is>
      </c>
      <c r="AI76" s="9" t="inlineStr">
        <is>
          <t>Leadership &amp; people management · Domain, regulatory &amp; XBRL · Product &amp; tool knowledge · Broader exposure &amp; ownership · Technical depth &amp; architecture</t>
        </is>
      </c>
      <c r="AJ76" s="9" t="inlineStr">
        <is>
          <t>—</t>
        </is>
      </c>
      <c r="AK76" s="9" t="inlineStr">
        <is>
          <t>On-the-job / hands-on · Mentoring / guidance from seniors · Formal / classroom training · Online courses / self-learning · Certification</t>
        </is>
      </c>
      <c r="AL76" s="9" t="inlineStr">
        <is>
          <t>unclear · requirements</t>
        </is>
      </c>
      <c r="AM76" s="9" t="inlineStr">
        <is>
          <t>better · clearer · ai · development · tools</t>
        </is>
      </c>
      <c r="AN76" s="9" t="inlineStr">
        <is>
          <t>10 of 11 say the role is changing because of AI / automation</t>
        </is>
      </c>
      <c r="AO76" s="9" t="inlineStr">
        <is>
          <t>Build and operate software capabilities. Includes: Application code, data/ML engineering and product reliability. Excludes: Product investment decisions; internal IT service desk.</t>
        </is>
      </c>
      <c r="AP76" s="9" t="inlineStr">
        <is>
          <t>ENG04-3 · Senior ML Engineer</t>
        </is>
      </c>
      <c r="AQ76" s="9" t="inlineStr">
        <is>
          <t>Own deployment, monitoring, failure analysis and model-quality trade-offs.</t>
        </is>
      </c>
      <c r="AR76" s="9" t="inlineStr">
        <is>
          <t>Evidence of complex work, decisions and outcomes beyond routine delivery.</t>
        </is>
      </c>
      <c r="AS76" s="9" t="inlineStr">
        <is>
          <t>A baseline comparison, evaluation set, error analysis and monitored deployment with human escalation</t>
        </is>
      </c>
      <c r="AT76" s="9" t="inlineStr">
        <is>
          <r>
            <rPr>
              <rFont val="Calibri"/>
              <b val="1"/>
              <sz val="10"/>
            </rPr>
            <t>Regnology:</t>
          </r>
          <r>
            <rPr>
              <rFont val="Calibri"/>
              <sz val="10"/>
            </rPr>
            <t xml:space="preserve"> Senior Software Engineer, Pune · Related work. Gap: Peer software evidence does not establish specialised frontend or ML levels</t>
          </r>
        </is>
      </c>
      <c r="AU76" s="19" t="inlineStr">
        <is>
          <t>Framework + sub-family themes · 3+ answered</t>
        </is>
      </c>
      <c r="AV76" s="9" t="inlineStr">
        <is>
          <t>2 holders, 2 answered the survey; sub-family 11 answered</t>
        </is>
      </c>
    </row>
    <row r="77" ht="145" customHeight="1">
      <c r="A77" s="17" t="inlineStr">
        <is>
          <t>RC-062</t>
        </is>
      </c>
      <c r="B77" s="9" t="inlineStr">
        <is>
          <t>Engineering &amp; Development</t>
        </is>
      </c>
      <c r="C77" s="9" t="inlineStr">
        <is>
          <t>Application Maintenance &amp; Production Support</t>
        </is>
      </c>
      <c r="D77" s="18" t="inlineStr">
        <is>
          <t>A3</t>
        </is>
      </c>
      <c r="E77" s="19" t="inlineStr">
        <is>
          <t>Senior Associate</t>
        </is>
      </c>
      <c r="F77" s="9" t="inlineStr">
        <is>
          <t>IC</t>
        </is>
      </c>
      <c r="G77" s="9" t="inlineStr">
        <is>
          <t>Senior Software Engineer · Technical Specialist</t>
        </is>
      </c>
      <c r="H77" s="8" t="n">
        <v>4</v>
      </c>
      <c r="I77" s="9" t="inlineStr">
        <is>
          <t>CARBON 2 · Consume 2</t>
        </is>
      </c>
      <c r="J77" s="9" t="inlineStr">
        <is>
          <r>
            <rPr>
              <rFont val="Calibri"/>
              <sz val="10"/>
            </rPr>
            <t xml:space="preserve">Keeps live applications/portals running — production fixes, patches, small enhancements, CRs. At A3: varied work; reviews juniors; go-to for a process.
</t>
          </r>
          <r>
            <rPr>
              <rFont val="Calibri"/>
              <b val="1"/>
              <sz val="10"/>
            </rPr>
            <t>Common themes in role-holders' answers:</t>
          </r>
          <r>
            <rPr>
              <rFont val="Calibri"/>
              <sz val="10"/>
            </rPr>
            <t xml:space="preserve"> reliable · requirements · maintain · core · business · solutions</t>
          </r>
        </is>
      </c>
      <c r="K77" s="9" t="inlineStr">
        <is>
          <r>
            <rPr>
              <rFont val="Calibri"/>
              <sz val="10"/>
            </rPr>
            <t xml:space="preserve">Keeps live applications/portals running — production fixes, patches, small enhancements, CRs; Varied and non-standard work; handles exceptions; A module / process, or work with client or regulatory consequences
</t>
          </r>
          <r>
            <rPr>
              <rFont val="Calibri"/>
              <b val="1"/>
              <sz val="10"/>
            </rPr>
            <t>Common themes in role-holders' answers:</t>
          </r>
          <r>
            <rPr>
              <rFont val="Calibri"/>
              <sz val="10"/>
            </rPr>
            <t xml:space="preserve"> development · support · maintenance · bug fixing · feature · performance</t>
          </r>
        </is>
      </c>
      <c r="L77" s="9" t="inlineStr">
        <is>
          <t>A module / process, or work with client or regulatory consequences</t>
        </is>
      </c>
      <c r="M77" s="9" t="inlineStr">
        <is>
          <r>
            <rPr>
              <rFont val="Calibri"/>
              <sz val="10"/>
            </rPr>
            <t xml:space="preserve">A module / process, or work with client or regulatory consequences
</t>
          </r>
          <r>
            <rPr>
              <rFont val="Calibri"/>
              <b val="1"/>
              <sz val="10"/>
            </rPr>
            <t>Common themes in role-holders' answers:</t>
          </r>
          <r>
            <rPr>
              <rFont val="Calibri"/>
              <sz val="10"/>
            </rPr>
            <t xml:space="preserve"> accountable · personally · testing · features · am · performance</t>
          </r>
        </is>
      </c>
      <c r="N77" s="9" t="inlineStr">
        <is>
          <r>
            <rPr>
              <rFont val="Calibri"/>
              <sz val="10"/>
            </rPr>
            <t xml:space="preserve">Technical / QC / client calls on own work
</t>
          </r>
          <r>
            <rPr>
              <rFont val="Calibri"/>
              <b val="1"/>
              <sz val="10"/>
            </rPr>
            <t>Common themes in role-holders' answers:</t>
          </r>
          <r>
            <rPr>
              <rFont val="Calibri"/>
              <sz val="10"/>
            </rPr>
            <t xml:space="preserve"> code · fixes · implementation · technical</t>
          </r>
        </is>
      </c>
      <c r="O77" s="9" t="inlineStr">
        <is>
          <r>
            <rPr>
              <rFont val="Calibri"/>
              <b val="1"/>
              <sz val="10"/>
            </rPr>
            <t>Common themes in manager-set KRAs:</t>
          </r>
          <r>
            <rPr>
              <rFont val="Calibri"/>
              <sz val="10"/>
            </rPr>
            <t xml:space="preserve"> considering critical · stories considering · leakage qa/uat · production support · live production · responsibilities</t>
          </r>
        </is>
      </c>
      <c r="P77" s="9" t="inlineStr">
        <is>
          <t>NET MVC</t>
        </is>
      </c>
      <c r="Q77" s="9" t="inlineStr">
        <is>
          <t>Postman · IIS</t>
        </is>
      </c>
      <c r="R77" s="9" t="inlineStr">
        <is>
          <t>Varied work; reviews juniors; go-to for a process</t>
        </is>
      </c>
      <c r="S77" s="9" t="inlineStr">
        <is>
          <t>Varied and non-standard work; handles exceptions</t>
        </is>
      </c>
      <c r="T77" s="9" t="inlineStr">
        <is>
          <t>Technical / QC / client calls on own work</t>
        </is>
      </c>
      <c r="U77" s="9" t="inlineStr">
        <is>
          <t>A module / process, or work with client or regulatory consequences</t>
        </is>
      </c>
      <c r="V77" s="9" t="inlineStr">
        <is>
          <t>Not scored in Band A</t>
        </is>
      </c>
      <c r="W77" s="9" t="inlineStr">
        <is>
          <t>2–4 yrs</t>
        </is>
      </c>
      <c r="X77" s="9" t="inlineStr">
        <is>
          <t>Graduate; relevant certification preferred</t>
        </is>
      </c>
      <c r="Y77" s="9" t="inlineStr">
        <is>
          <t>Cloud / language certifications · optional; AWS / Azure architect · optional</t>
        </is>
      </c>
      <c r="Z77" s="9" t="inlineStr">
        <is>
          <t>None · guides 1–3 juniors informally</t>
        </is>
      </c>
      <c r="AA77" s="9" t="inlineStr">
        <is>
          <t>Core 2 · Future-ready 2 · Functional 3 · Leadership —</t>
        </is>
      </c>
      <c r="AB77" s="9" t="inlineStr">
        <is>
          <t>Programming &amp; Tech-Stack Depth · System Design &amp; Architecture</t>
        </is>
      </c>
      <c r="AC77" s="9" t="inlineStr">
        <is>
          <t>Database, SQL &amp; Data Engineering · Cloud, DevOps &amp; CI/CD · AI, GenAI &amp; Prompt Engineering · Product, Platform &amp; Domain Knowledge</t>
        </is>
      </c>
      <c r="AD77" s="8" t="inlineStr">
        <is>
          <t>P2</t>
        </is>
      </c>
      <c r="AE77" s="8" t="inlineStr">
        <is>
          <t>3 Apply</t>
        </is>
      </c>
      <c r="AF77" s="9" t="inlineStr">
        <is>
          <r>
            <rPr>
              <rFont val="Calibri"/>
              <b val="1"/>
              <sz val="10"/>
            </rPr>
            <t>Workiva:</t>
          </r>
          <r>
            <rPr>
              <rFont val="Calibri"/>
              <sz val="10"/>
            </rPr>
            <t xml:space="preserve"> SE · Broadridge India: SE · Nasdaq / AxiomSL: SE · Salesforce: MTS</t>
          </r>
        </is>
      </c>
      <c r="AG77" s="9" t="inlineStr">
        <is>
          <t>SFIA 9 · software development, programming; OWASP secure coding; cloud vendor certifications</t>
        </is>
      </c>
      <c r="AH77" s="9" t="inlineStr">
        <is>
          <t>B1 · Specialist</t>
        </is>
      </c>
      <c r="AI77" s="9" t="inlineStr">
        <is>
          <t>Leadership &amp; people management · Technical depth &amp; architecture · Broader exposure &amp; ownership · Project / programme management · AI / automation</t>
        </is>
      </c>
      <c r="AJ77" s="9" t="inlineStr">
        <is>
          <t>Advanced .NET MVC; secure coding &amp; code-quality practices; unit/automated testing; system design fundamentals | Transition to leadership: people management &amp; delegation, mentoring/coaching, project ownership &amp; stakeholder management, prioritisation under ambiguity, presentation &amp; influence skills</t>
        </is>
      </c>
      <c r="AK77" s="9" t="inlineStr">
        <is>
          <t>Mentoring / guidance from seniors · On-the-job / hands-on · Online courses / self-learning · Formal / classroom training</t>
        </is>
      </c>
      <c r="AL77" s="9" t="inlineStr">
        <is>
          <t>changing · requirements · issues</t>
        </is>
      </c>
      <c r="AM77" s="9" t="inlineStr">
        <is>
          <t>clearer · requirements · documentation · better</t>
        </is>
      </c>
      <c r="AN77" s="9" t="inlineStr">
        <is>
          <t>3 of 4 say the role is changing because of AI / automation</t>
        </is>
      </c>
      <c r="AO77" s="9" t="inlineStr">
        <is>
          <t>Build and operate software capabilities. Includes: Application code, data/ML engineering and product reliability. Excludes: Product investment decisions; internal IT service desk.</t>
        </is>
      </c>
      <c r="AP77" s="9" t="inlineStr">
        <is>
          <t>ENG06-2 · Application Maintenance Engineer</t>
        </is>
      </c>
      <c r="AQ77" s="9" t="inlineStr">
        <is>
          <t>Resolve defects with regression evidence and controlled changes.</t>
        </is>
      </c>
      <c r="AR77" s="9" t="inlineStr">
        <is>
          <t>Demonstrate routine delivery plus judgement in bounded exceptions.</t>
        </is>
      </c>
      <c r="AS77" s="9" t="inlineStr">
        <is>
          <t>An incident diagnosis and permanent remediation with rollback and recurrence measures</t>
        </is>
      </c>
      <c r="AT77" s="9" t="inlineStr">
        <is>
          <r>
            <rPr>
              <rFont val="Calibri"/>
              <b val="1"/>
              <sz val="10"/>
            </rPr>
            <t>Regnology:</t>
          </r>
          <r>
            <rPr>
              <rFont val="Calibri"/>
              <sz val="10"/>
            </rPr>
            <t xml:space="preserve"> Senior Software Engineer, Pune
</t>
          </r>
          <r>
            <rPr>
              <rFont val="Calibri"/>
              <b val="1"/>
              <sz val="10"/>
            </rPr>
            <t>Workiva:</t>
          </r>
          <r>
            <rPr>
              <rFont val="Calibri"/>
              <sz val="10"/>
            </rPr>
            <t xml:space="preserve"> Product Support Engineer · Related work. Gap: Maintenance combines software change and support; no direct peer maintenance ladder found</t>
          </r>
        </is>
      </c>
      <c r="AU77" s="22" t="inlineStr">
        <is>
          <t>Framework + role-holders' themes · 3+ answered</t>
        </is>
      </c>
      <c r="AV77" s="9" t="inlineStr">
        <is>
          <t>4 holders, 4 answered the survey; sub-family 6 answered</t>
        </is>
      </c>
    </row>
    <row r="78" ht="145" customHeight="1">
      <c r="A78" s="17" t="inlineStr">
        <is>
          <t>RC-063</t>
        </is>
      </c>
      <c r="B78" s="9" t="inlineStr">
        <is>
          <t>Engineering &amp; Development</t>
        </is>
      </c>
      <c r="C78" s="9" t="inlineStr">
        <is>
          <t>Application Maintenance &amp; Production Support</t>
        </is>
      </c>
      <c r="D78" s="21" t="inlineStr">
        <is>
          <t>B1</t>
        </is>
      </c>
      <c r="E78" s="22" t="inlineStr">
        <is>
          <t>Specialist</t>
        </is>
      </c>
      <c r="F78" s="9" t="inlineStr">
        <is>
          <t>IC</t>
        </is>
      </c>
      <c r="G78" s="9" t="inlineStr">
        <is>
          <t>Technical Specialist</t>
        </is>
      </c>
      <c r="H78" s="8" t="n">
        <v>1</v>
      </c>
      <c r="I78" s="9" t="inlineStr">
        <is>
          <t>Consume 1</t>
        </is>
      </c>
      <c r="J78" s="9" t="inlineStr">
        <is>
          <r>
            <rPr>
              <rFont val="Calibri"/>
              <sz val="10"/>
            </rPr>
            <t xml:space="preserve">Keeps live applications/portals running — production fixes, patches, small enhancements, CRs. At B1: a domain / module, or a small team.
</t>
          </r>
          <r>
            <rPr>
              <rFont val="Calibri"/>
              <b val="1"/>
              <sz val="10"/>
            </rPr>
            <t>Common themes in sub-family holders, all levels' answers:</t>
          </r>
          <r>
            <rPr>
              <rFont val="Calibri"/>
              <sz val="10"/>
            </rPr>
            <t xml:space="preserve"> maintain · reliable · business · requirements · developer · rbi</t>
          </r>
        </is>
      </c>
      <c r="K78" s="9" t="inlineStr">
        <is>
          <r>
            <rPr>
              <rFont val="Calibri"/>
              <sz val="10"/>
            </rPr>
            <t xml:space="preserve">Keeps live applications/portals running — production fixes, patches, small enhancements, CRs; Domain specialist work; A domain or a small team
</t>
          </r>
          <r>
            <rPr>
              <rFont val="Calibri"/>
              <b val="1"/>
              <sz val="10"/>
            </rPr>
            <t>Common themes in sub-family holders, all levels' answers:</t>
          </r>
          <r>
            <rPr>
              <rFont val="Calibri"/>
              <sz val="10"/>
            </rPr>
            <t xml:space="preserve"> development · support · maintenance · code · bug fixing · feature</t>
          </r>
        </is>
      </c>
      <c r="L78" s="9" t="inlineStr">
        <is>
          <r>
            <rPr>
              <rFont val="Calibri"/>
              <sz val="10"/>
            </rPr>
            <t xml:space="preserve">A domain or a small team
</t>
          </r>
          <r>
            <rPr>
              <rFont val="Calibri"/>
              <b val="1"/>
              <sz val="10"/>
            </rPr>
            <t>Common themes in sub-family holders, all levels' answers:</t>
          </r>
          <r>
            <rPr>
              <rFont val="Calibri"/>
              <sz val="10"/>
            </rPr>
            <t xml:space="preserve"> maintenance · rbi</t>
          </r>
        </is>
      </c>
      <c r="M78" s="9" t="inlineStr">
        <is>
          <r>
            <rPr>
              <rFont val="Calibri"/>
              <sz val="10"/>
            </rPr>
            <t xml:space="preserve">A domain or a small team
</t>
          </r>
          <r>
            <rPr>
              <rFont val="Calibri"/>
              <b val="1"/>
              <sz val="10"/>
            </rPr>
            <t>Common themes in sub-family holders, all levels' answers:</t>
          </r>
          <r>
            <rPr>
              <rFont val="Calibri"/>
              <sz val="10"/>
            </rPr>
            <t xml:space="preserve"> accountable · personally · testing · features · am · performance</t>
          </r>
        </is>
      </c>
      <c r="N78" s="9" t="inlineStr">
        <is>
          <r>
            <rPr>
              <rFont val="Calibri"/>
              <sz val="10"/>
            </rPr>
            <t xml:space="preserve">Technical / QC / client calls for the domain
</t>
          </r>
          <r>
            <rPr>
              <rFont val="Calibri"/>
              <b val="1"/>
              <sz val="10"/>
            </rPr>
            <t>Common themes in sub-family holders, all levels' answers:</t>
          </r>
          <r>
            <rPr>
              <rFont val="Calibri"/>
              <sz val="10"/>
            </rPr>
            <t xml:space="preserve"> code · technical · fixes · implementation · issues</t>
          </r>
        </is>
      </c>
      <c r="O78" s="9" t="inlineStr">
        <is>
          <t>—</t>
        </is>
      </c>
      <c r="P78" s="9" t="inlineStr">
        <is>
          <t>NET MVC</t>
        </is>
      </c>
      <c r="Q78" s="9" t="inlineStr">
        <is>
          <t>Postman · IIS</t>
        </is>
      </c>
      <c r="R78" s="9" t="inlineStr">
        <is>
          <t>A domain / module, or a small team</t>
        </is>
      </c>
      <c r="S78" s="9" t="inlineStr">
        <is>
          <t>Domain specialist work</t>
        </is>
      </c>
      <c r="T78" s="9" t="inlineStr">
        <is>
          <t>Technical / QC / client calls for the domain</t>
        </is>
      </c>
      <c r="U78" s="9" t="inlineStr">
        <is>
          <t>A domain or a small team</t>
        </is>
      </c>
      <c r="V78" s="9" t="inlineStr">
        <is>
          <r>
            <rPr>
              <rFont val="Calibri"/>
              <b val="1"/>
              <sz val="10"/>
            </rPr>
            <t>IC:</t>
          </r>
          <r>
            <rPr>
              <rFont val="Calibri"/>
              <sz val="10"/>
            </rPr>
            <t xml:space="preserve"> mentors and reviews · People: hands-on team lead of 3–5</t>
          </r>
        </is>
      </c>
      <c r="W78" s="9" t="inlineStr">
        <is>
          <t>4–7 yrs</t>
        </is>
      </c>
      <c r="X78" s="9" t="inlineStr">
        <is>
          <t>Graduate + relevant qualification or certification preferred</t>
        </is>
      </c>
      <c r="Y78" s="9" t="inlineStr">
        <is>
          <t>Cloud / language certifications · optional; AWS / Azure architect · optional</t>
        </is>
      </c>
      <c r="Z78" s="9" t="inlineStr">
        <is>
          <r>
            <rPr>
              <rFont val="Calibri"/>
              <b val="1"/>
              <sz val="10"/>
            </rPr>
            <t>IC:</t>
          </r>
          <r>
            <rPr>
              <rFont val="Calibri"/>
              <sz val="10"/>
            </rPr>
            <t xml:space="preserve"> none · Team Lead: 3–5</t>
          </r>
        </is>
      </c>
      <c r="AA78" s="9" t="inlineStr">
        <is>
          <t>Core 3 · Future-ready 3 · Functional 3 · Leadership 1</t>
        </is>
      </c>
      <c r="AB78" s="9" t="inlineStr">
        <is>
          <t>Programming &amp; Tech-Stack Depth · System Design &amp; Architecture</t>
        </is>
      </c>
      <c r="AC78" s="9" t="inlineStr">
        <is>
          <t>Database, SQL &amp; Data Engineering · Cloud, DevOps &amp; CI/CD · AI, GenAI &amp; Prompt Engineering · Product, Platform &amp; Domain Knowledge</t>
        </is>
      </c>
      <c r="AD78" s="8" t="inlineStr">
        <is>
          <t>P3 / M2</t>
        </is>
      </c>
      <c r="AE78" s="8" t="inlineStr">
        <is>
          <t>4 Enable</t>
        </is>
      </c>
      <c r="AF78" s="9" t="inlineStr">
        <is>
          <r>
            <rPr>
              <rFont val="Calibri"/>
              <b val="1"/>
              <sz val="10"/>
            </rPr>
            <t>Workiva:</t>
          </r>
          <r>
            <rPr>
              <rFont val="Calibri"/>
              <sz val="10"/>
            </rPr>
            <t xml:space="preserve"> SE / Senior SE · Broadridge India: Senior SE · Nasdaq / AxiomSL: Senior SE · Salesforce: MTS</t>
          </r>
        </is>
      </c>
      <c r="AG78" s="9" t="inlineStr">
        <is>
          <t>SFIA 9 · software development, programming; OWASP secure coding; cloud vendor certifications</t>
        </is>
      </c>
      <c r="AH78" s="9" t="inlineStr">
        <is>
          <t>B2 · Senior Specialist</t>
        </is>
      </c>
      <c r="AI78" s="9" t="inlineStr">
        <is>
          <t>Broader exposure &amp; ownership</t>
        </is>
      </c>
      <c r="AJ78" s="9" t="inlineStr">
        <is>
          <t>Advanced .NET MVC; secure coding &amp; code-quality practices; unit/automated testing; system design fundamentals | Transition to leadership: people management &amp; delegation, mentoring/coaching, project ownership &amp; stakeholder management, prioritisation under ambiguity, presentation &amp; influence skills</t>
        </is>
      </c>
      <c r="AK78" s="9" t="inlineStr">
        <is>
          <t>Mentoring / guidance from seniors · On-the-job / hands-on · Online courses / self-learning · Formal / classroom training</t>
        </is>
      </c>
      <c r="AL78" s="9" t="inlineStr">
        <is>
          <t>changing · requirements · issues · priorities</t>
        </is>
      </c>
      <c r="AM78" s="9" t="inlineStr">
        <is>
          <t>clearer · requirements · documentation · better · development</t>
        </is>
      </c>
      <c r="AN78" s="9" t="inlineStr">
        <is>
          <t>4 of 6 say the role is changing because of AI / automation</t>
        </is>
      </c>
      <c r="AO78" s="9" t="inlineStr">
        <is>
          <t>Build and operate software capabilities. Includes: Application code, data/ML engineering and product reliability. Excludes: Product investment decisions; internal IT service desk.</t>
        </is>
      </c>
      <c r="AP78" s="9" t="inlineStr">
        <is>
          <t>ENG06-3 · Senior Application Maintenance Engineer</t>
        </is>
      </c>
      <c r="AQ78" s="9" t="inlineStr">
        <is>
          <t>Own root-cause removal and safe modernisation of a legacy component.</t>
        </is>
      </c>
      <c r="AR78" s="9" t="inlineStr">
        <is>
          <t>Evidence of complex work, decisions and outcomes beyond routine delivery.</t>
        </is>
      </c>
      <c r="AS78" s="9" t="inlineStr">
        <is>
          <t>An incident diagnosis and permanent remediation with rollback and recurrence measures</t>
        </is>
      </c>
      <c r="AT78" s="9" t="inlineStr">
        <is>
          <r>
            <rPr>
              <rFont val="Calibri"/>
              <b val="1"/>
              <sz val="10"/>
            </rPr>
            <t>Regnology:</t>
          </r>
          <r>
            <rPr>
              <rFont val="Calibri"/>
              <sz val="10"/>
            </rPr>
            <t xml:space="preserve"> Senior Software Engineer, Pune
</t>
          </r>
          <r>
            <rPr>
              <rFont val="Calibri"/>
              <b val="1"/>
              <sz val="10"/>
            </rPr>
            <t>Workiva:</t>
          </r>
          <r>
            <rPr>
              <rFont val="Calibri"/>
              <sz val="10"/>
            </rPr>
            <t xml:space="preserve"> Product Support Engineer · Related work. Gap: Maintenance combines software change and support; no direct peer maintenance ladder found</t>
          </r>
        </is>
      </c>
      <c r="AU78" s="19" t="inlineStr">
        <is>
          <t>Framework + sub-family themes · 3+ answered</t>
        </is>
      </c>
      <c r="AV78" s="9" t="inlineStr">
        <is>
          <t>1 holder, 1 answered the survey; sub-family 6 answered</t>
        </is>
      </c>
    </row>
    <row r="79" ht="145" customHeight="1">
      <c r="A79" s="17" t="inlineStr">
        <is>
          <t>RC-064</t>
        </is>
      </c>
      <c r="B79" s="9" t="inlineStr">
        <is>
          <t>Engineering &amp; Development</t>
        </is>
      </c>
      <c r="C79" s="9" t="inlineStr">
        <is>
          <t>Application Maintenance &amp; Production Support</t>
        </is>
      </c>
      <c r="D79" s="21" t="inlineStr">
        <is>
          <t>B3</t>
        </is>
      </c>
      <c r="E79" s="22" t="inlineStr">
        <is>
          <t>Lead Specialist</t>
        </is>
      </c>
      <c r="F79" s="9" t="inlineStr">
        <is>
          <t>IC</t>
        </is>
      </c>
      <c r="G79" s="9" t="inlineStr">
        <is>
          <t>Lead Software Engineer</t>
        </is>
      </c>
      <c r="H79" s="8" t="n">
        <v>1</v>
      </c>
      <c r="I79" s="9" t="inlineStr">
        <is>
          <t>Consume 1</t>
        </is>
      </c>
      <c r="J79" s="9" t="inlineStr">
        <is>
          <r>
            <rPr>
              <rFont val="Calibri"/>
              <sz val="10"/>
            </rPr>
            <t xml:space="preserve">Keeps live applications/portals running — production fixes, patches, small enhancements, CRs. At B3: a practice, or several teams through team leads.
</t>
          </r>
          <r>
            <rPr>
              <rFont val="Calibri"/>
              <b val="1"/>
              <sz val="10"/>
            </rPr>
            <t>Common themes in sub-family holders, all levels' answers:</t>
          </r>
          <r>
            <rPr>
              <rFont val="Calibri"/>
              <sz val="10"/>
            </rPr>
            <t xml:space="preserve"> maintain · reliable · business · requirements · developer · rbi</t>
          </r>
        </is>
      </c>
      <c r="K79" s="9" t="inlineStr">
        <is>
          <r>
            <rPr>
              <rFont val="Calibri"/>
              <sz val="10"/>
            </rPr>
            <t xml:space="preserve">Keeps live applications/portals running — production fixes, patches, small enhancements, CRs; Sets standards for a practice; cross-team problems; Several teams or a practice
</t>
          </r>
          <r>
            <rPr>
              <rFont val="Calibri"/>
              <b val="1"/>
              <sz val="10"/>
            </rPr>
            <t>Common themes in sub-family holders, all levels' answers:</t>
          </r>
          <r>
            <rPr>
              <rFont val="Calibri"/>
              <sz val="10"/>
            </rPr>
            <t xml:space="preserve"> development · support · maintenance · code · bug fixing · feature</t>
          </r>
        </is>
      </c>
      <c r="L79" s="9" t="inlineStr">
        <is>
          <r>
            <rPr>
              <rFont val="Calibri"/>
              <sz val="10"/>
            </rPr>
            <t xml:space="preserve">Several teams or a practice
</t>
          </r>
          <r>
            <rPr>
              <rFont val="Calibri"/>
              <b val="1"/>
              <sz val="10"/>
            </rPr>
            <t>Common themes in sub-family holders, all levels' answers:</t>
          </r>
          <r>
            <rPr>
              <rFont val="Calibri"/>
              <sz val="10"/>
            </rPr>
            <t xml:space="preserve"> maintenance · rbi</t>
          </r>
        </is>
      </c>
      <c r="M79" s="9" t="inlineStr">
        <is>
          <r>
            <rPr>
              <rFont val="Calibri"/>
              <sz val="10"/>
            </rPr>
            <t xml:space="preserve">Several teams or a practice
</t>
          </r>
          <r>
            <rPr>
              <rFont val="Calibri"/>
              <b val="1"/>
              <sz val="10"/>
            </rPr>
            <t>Common themes in sub-family holders, all levels' answers:</t>
          </r>
          <r>
            <rPr>
              <rFont val="Calibri"/>
              <sz val="10"/>
            </rPr>
            <t xml:space="preserve"> accountable · personally · testing · features · am · performance</t>
          </r>
        </is>
      </c>
      <c r="N79" s="9" t="inlineStr">
        <is>
          <r>
            <rPr>
              <rFont val="Calibri"/>
              <sz val="10"/>
            </rPr>
            <t xml:space="preserve">Commercial / strategic calls for the unit
</t>
          </r>
          <r>
            <rPr>
              <rFont val="Calibri"/>
              <b val="1"/>
              <sz val="10"/>
            </rPr>
            <t>Common themes in sub-family holders, all levels' answers:</t>
          </r>
          <r>
            <rPr>
              <rFont val="Calibri"/>
              <sz val="10"/>
            </rPr>
            <t xml:space="preserve"> code · technical · fixes · implementation · issues</t>
          </r>
        </is>
      </c>
      <c r="O79" s="9" t="inlineStr">
        <is>
          <t>—</t>
        </is>
      </c>
      <c r="P79" s="9" t="inlineStr">
        <is>
          <t>NET MVC</t>
        </is>
      </c>
      <c r="Q79" s="9" t="inlineStr">
        <is>
          <t>Postman · IIS</t>
        </is>
      </c>
      <c r="R79" s="9" t="inlineStr">
        <is>
          <t>A practice, or several teams through team leads</t>
        </is>
      </c>
      <c r="S79" s="9" t="inlineStr">
        <is>
          <t>Sets standards for a practice; cross-team problems</t>
        </is>
      </c>
      <c r="T79" s="9" t="inlineStr">
        <is>
          <t>Commercial / strategic calls for the unit</t>
        </is>
      </c>
      <c r="U79" s="9" t="inlineStr">
        <is>
          <t>Several teams or a practice</t>
        </is>
      </c>
      <c r="V79" s="9" t="inlineStr">
        <is>
          <r>
            <rPr>
              <rFont val="Calibri"/>
              <b val="1"/>
              <sz val="10"/>
            </rPr>
            <t>IC:</t>
          </r>
          <r>
            <rPr>
              <rFont val="Calibri"/>
              <sz val="10"/>
            </rPr>
            <t xml:space="preserve"> leads a practice · People: team leads / managers report in</t>
          </r>
        </is>
      </c>
      <c r="W79" s="9" t="inlineStr">
        <is>
          <t>8–12 yrs</t>
        </is>
      </c>
      <c r="X79" s="9" t="inlineStr">
        <is>
          <t>Postgraduate or professional qualification preferred</t>
        </is>
      </c>
      <c r="Y79" s="9" t="inlineStr">
        <is>
          <t>Cloud / language certifications · optional; AWS / Azure architect · optional</t>
        </is>
      </c>
      <c r="Z79" s="9" t="inlineStr">
        <is>
          <r>
            <rPr>
              <rFont val="Calibri"/>
              <b val="1"/>
              <sz val="10"/>
            </rPr>
            <t>IC:</t>
          </r>
          <r>
            <rPr>
              <rFont val="Calibri"/>
              <sz val="10"/>
            </rPr>
            <t xml:space="preserve"> none · People: 5–8 incl. team leads</t>
          </r>
        </is>
      </c>
      <c r="AA79" s="9" t="inlineStr">
        <is>
          <t>Core 4 · Future-ready 3 · Functional 4 · Leadership 3</t>
        </is>
      </c>
      <c r="AB79" s="9" t="inlineStr">
        <is>
          <t>Programming &amp; Tech-Stack Depth · System Design &amp; Architecture</t>
        </is>
      </c>
      <c r="AC79" s="9" t="inlineStr">
        <is>
          <t>Database, SQL &amp; Data Engineering · Cloud, DevOps &amp; CI/CD · AI, GenAI &amp; Prompt Engineering · Product, Platform &amp; Domain Knowledge</t>
        </is>
      </c>
      <c r="AD79" s="8" t="inlineStr">
        <is>
          <t>P5 / M4</t>
        </is>
      </c>
      <c r="AE79" s="8" t="inlineStr">
        <is>
          <t>5 Ensure, advise</t>
        </is>
      </c>
      <c r="AF79" s="9" t="inlineStr">
        <is>
          <r>
            <rPr>
              <rFont val="Calibri"/>
              <b val="1"/>
              <sz val="10"/>
            </rPr>
            <t>Workiva:</t>
          </r>
          <r>
            <rPr>
              <rFont val="Calibri"/>
              <sz val="10"/>
            </rPr>
            <t xml:space="preserve"> Staff SE · Broadridge India: Senior Lead SE · Nasdaq / AxiomSL: Lead SE · Salesforce: LMTS</t>
          </r>
        </is>
      </c>
      <c r="AG79" s="9" t="inlineStr">
        <is>
          <t>SFIA 9 · software development, programming; OWASP secure coding; cloud vendor certifications</t>
        </is>
      </c>
      <c r="AH79" s="9" t="inlineStr">
        <is>
          <t>C1 · Principal · or B+ · Player-Coach transition step if leading people hands-on</t>
        </is>
      </c>
      <c r="AI79" s="9" t="inlineStr">
        <is>
          <t>Leadership &amp; people management · Client, sales &amp; stakeholders</t>
        </is>
      </c>
      <c r="AJ79" s="9" t="inlineStr">
        <is>
          <t>Advanced .NET MVC; secure coding &amp; code-quality practices; unit/automated testing; system design fundamentals | Transition to leadership: people management &amp; delegation, mentoring/coaching, project ownership &amp; stakeholder management, prioritisation under ambiguity, presentation &amp; influence skills</t>
        </is>
      </c>
      <c r="AK79" s="9" t="inlineStr">
        <is>
          <t>Mentoring / guidance from seniors · On-the-job / hands-on · Online courses / self-learning · Formal / classroom training</t>
        </is>
      </c>
      <c r="AL79" s="9" t="inlineStr">
        <is>
          <t>changing · requirements · issues · priorities</t>
        </is>
      </c>
      <c r="AM79" s="9" t="inlineStr">
        <is>
          <t>clearer · requirements · documentation · better · development</t>
        </is>
      </c>
      <c r="AN79" s="9" t="inlineStr">
        <is>
          <t>4 of 6 say the role is changing because of AI / automation</t>
        </is>
      </c>
      <c r="AO79" s="9" t="inlineStr">
        <is>
          <t>Build and operate software capabilities. Includes: Application code, data/ML engineering and product reliability. Excludes: Product investment decisions; internal IT service desk.</t>
        </is>
      </c>
      <c r="AP79" s="9" t="inlineStr">
        <is>
          <t>ENG06-4 · Application Modernisation Lead</t>
        </is>
      </c>
      <c r="AQ79" s="9" t="inlineStr">
        <is>
          <t>Plan a multi-system modernisation path balancing compatibility and risk.</t>
        </is>
      </c>
      <c r="AR79" s="9" t="inlineStr">
        <is>
          <t>Adoption beyond own work; recurring authority and measurable wider outcomes.</t>
        </is>
      </c>
      <c r="AS79" s="9" t="inlineStr">
        <is>
          <t>An incident diagnosis and permanent remediation with rollback and recurrence measures</t>
        </is>
      </c>
      <c r="AT79" s="9" t="inlineStr">
        <is>
          <r>
            <rPr>
              <rFont val="Calibri"/>
              <b val="1"/>
              <sz val="10"/>
            </rPr>
            <t>Regnology:</t>
          </r>
          <r>
            <rPr>
              <rFont val="Calibri"/>
              <sz val="10"/>
            </rPr>
            <t xml:space="preserve"> Senior Software Engineer, Pune
</t>
          </r>
          <r>
            <rPr>
              <rFont val="Calibri"/>
              <b val="1"/>
              <sz val="10"/>
            </rPr>
            <t>Workiva:</t>
          </r>
          <r>
            <rPr>
              <rFont val="Calibri"/>
              <sz val="10"/>
            </rPr>
            <t xml:space="preserve"> Product Support Engineer · Related work. Gap: Maintenance combines software change and support; no direct peer maintenance ladder found</t>
          </r>
        </is>
      </c>
      <c r="AU79" s="19" t="inlineStr">
        <is>
          <t>Framework + sub-family themes · 3+ answered</t>
        </is>
      </c>
      <c r="AV79" s="9" t="inlineStr">
        <is>
          <t>1 holder, 1 answered the survey; sub-family 6 answered</t>
        </is>
      </c>
    </row>
    <row r="80" ht="145" customHeight="1">
      <c r="A80" s="17" t="inlineStr">
        <is>
          <t>RC-065</t>
        </is>
      </c>
      <c r="B80" s="9" t="inlineStr">
        <is>
          <t>Engineering &amp; Development</t>
        </is>
      </c>
      <c r="C80" s="9" t="inlineStr">
        <is>
          <t>Backend Development</t>
        </is>
      </c>
      <c r="D80" s="18" t="inlineStr">
        <is>
          <t>A1</t>
        </is>
      </c>
      <c r="E80" s="19" t="inlineStr">
        <is>
          <t>Intern / Trainee</t>
        </is>
      </c>
      <c r="F80" s="9" t="inlineStr">
        <is>
          <t>IC</t>
        </is>
      </c>
      <c r="G80" s="9" t="inlineStr">
        <is>
          <t>Trainee Software Engineer · Intern – Software Development</t>
        </is>
      </c>
      <c r="H80" s="8" t="n">
        <v>4</v>
      </c>
      <c r="I80" s="9" t="inlineStr">
        <is>
          <t>iFile 2 · CARBON 1 · iDEAL 1</t>
        </is>
      </c>
      <c r="J80" s="9" t="inlineStr">
        <is>
          <r>
            <rPr>
              <rFont val="Calibri"/>
              <sz val="10"/>
            </rPr>
            <t xml:space="preserve">Builds back-end services, APIs, processing/validation logic and DB code; fixes defects and delivers change requests. At A1: learning the role; all work reviewed.
</t>
          </r>
          <r>
            <rPr>
              <rFont val="Calibri"/>
              <b val="1"/>
              <sz val="10"/>
            </rPr>
            <t>Common themes in role-holders' answers:</t>
          </r>
          <r>
            <rPr>
              <rFont val="Calibri"/>
              <sz val="10"/>
            </rPr>
            <t xml:space="preserve"> learn · core · software engineer · develop · purpose · design</t>
          </r>
        </is>
      </c>
      <c r="K80" s="9" t="inlineStr">
        <is>
          <r>
            <rPr>
              <rFont val="Calibri"/>
              <sz val="10"/>
            </rPr>
            <t xml:space="preserve">Builds back-end services, APIs, processing/validation logic and DB code; fixes defects and delivers change requests; Learning; follows worked examples; Learning tasks
</t>
          </r>
          <r>
            <rPr>
              <rFont val="Calibri"/>
              <b val="1"/>
              <sz val="10"/>
            </rPr>
            <t>Common themes in role-holders' answers:</t>
          </r>
          <r>
            <rPr>
              <rFont val="Calibri"/>
              <sz val="10"/>
            </rPr>
            <t xml:space="preserve"> features · software · development · learning</t>
          </r>
        </is>
      </c>
      <c r="L80" s="9" t="inlineStr">
        <is>
          <r>
            <rPr>
              <rFont val="Calibri"/>
              <sz val="10"/>
            </rPr>
            <t xml:space="preserve">Learning tasks
</t>
          </r>
          <r>
            <rPr>
              <rFont val="Calibri"/>
              <b val="1"/>
              <sz val="10"/>
            </rPr>
            <t>Common themes in role-holders' answers:</t>
          </r>
          <r>
            <rPr>
              <rFont val="Calibri"/>
              <sz val="10"/>
            </rPr>
            <t xml:space="preserve"> software · code · features</t>
          </r>
        </is>
      </c>
      <c r="M80" s="9" t="inlineStr">
        <is>
          <r>
            <rPr>
              <rFont val="Calibri"/>
              <sz val="10"/>
            </rPr>
            <t xml:space="preserve">Learning tasks
</t>
          </r>
          <r>
            <rPr>
              <rFont val="Calibri"/>
              <b val="1"/>
              <sz val="10"/>
            </rPr>
            <t>Common themes in role-holders' answers:</t>
          </r>
          <r>
            <rPr>
              <rFont val="Calibri"/>
              <sz val="10"/>
            </rPr>
            <t xml:space="preserve"> quality · accountable · timely · if · data</t>
          </r>
        </is>
      </c>
      <c r="N80" s="9" t="inlineStr">
        <is>
          <r>
            <rPr>
              <rFont val="Calibri"/>
              <sz val="10"/>
            </rPr>
            <t xml:space="preserve">Needs approval / close guidance
</t>
          </r>
          <r>
            <rPr>
              <rFont val="Calibri"/>
              <b val="1"/>
              <sz val="10"/>
            </rPr>
            <t>Common themes in role-holders' answers:</t>
          </r>
          <r>
            <rPr>
              <rFont val="Calibri"/>
              <sz val="10"/>
            </rPr>
            <t xml:space="preserve"> decisions · technical</t>
          </r>
        </is>
      </c>
      <c r="O80" s="9" t="inlineStr">
        <is>
          <r>
            <rPr>
              <rFont val="Calibri"/>
              <b val="1"/>
              <sz val="10"/>
            </rPr>
            <t>Common themes in manager-set KRAs:</t>
          </r>
          <r>
            <rPr>
              <rFont val="Calibri"/>
              <sz val="10"/>
            </rPr>
            <t xml:space="preserve"> code · technical · agreed · deliver · application · maintain</t>
          </r>
        </is>
      </c>
      <c r="P80" s="9" t="inlineStr">
        <is>
          <t>Java · NET MVC</t>
        </is>
      </c>
      <c r="Q80" s="9" t="inlineStr">
        <is>
          <t>—</t>
        </is>
      </c>
      <c r="R80" s="9" t="inlineStr">
        <is>
          <t>Learning the role; all work reviewed</t>
        </is>
      </c>
      <c r="S80" s="9" t="inlineStr">
        <is>
          <t>Learning; follows worked examples</t>
        </is>
      </c>
      <c r="T80" s="9" t="inlineStr">
        <is>
          <t>Needs approval / close guidance</t>
        </is>
      </c>
      <c r="U80" s="9" t="inlineStr">
        <is>
          <t>Learning tasks</t>
        </is>
      </c>
      <c r="V80" s="9" t="inlineStr">
        <is>
          <t>Not scored in Band A</t>
        </is>
      </c>
      <c r="W80" s="9" t="inlineStr">
        <is>
          <t>0 yrs · fresher / intern</t>
        </is>
      </c>
      <c r="X80" s="9" t="inlineStr">
        <is>
          <t>Pursuing or completed graduation / diploma</t>
        </is>
      </c>
      <c r="Y80" s="9" t="inlineStr">
        <is>
          <t>Cloud / language certifications · optional; AWS / Azure architect · optional</t>
        </is>
      </c>
      <c r="Z80" s="9" t="inlineStr">
        <is>
          <t>No direct reports</t>
        </is>
      </c>
      <c r="AA80" s="9" t="inlineStr">
        <is>
          <t>Core 1 · Future-ready 1 · Functional 1 · Leadership —</t>
        </is>
      </c>
      <c r="AB80" s="9" t="inlineStr">
        <is>
          <t>Programming &amp; Tech-Stack Depth · System Design &amp; Architecture</t>
        </is>
      </c>
      <c r="AC80" s="9" t="inlineStr">
        <is>
          <t>Database, SQL &amp; Data Engineering · Cloud, DevOps &amp; CI/CD · AI, GenAI &amp; Prompt Engineering · Product, Platform &amp; Domain Knowledge</t>
        </is>
      </c>
      <c r="AD80" s="8" t="inlineStr">
        <is>
          <t>Entry / P1 · intern</t>
        </is>
      </c>
      <c r="AE80" s="8" t="inlineStr">
        <is>
          <t>1 Follow</t>
        </is>
      </c>
      <c r="AF80" s="9" t="inlineStr">
        <is>
          <t>—</t>
        </is>
      </c>
      <c r="AG80" s="9" t="inlineStr">
        <is>
          <t>SFIA 9 · software development, programming; OWASP secure coding; cloud vendor certifications</t>
        </is>
      </c>
      <c r="AH80" s="9" t="inlineStr">
        <is>
          <t>A2 · Associate</t>
        </is>
      </c>
      <c r="AI80" s="9" t="inlineStr">
        <is>
          <t>Technical depth &amp; architecture · Leadership &amp; people management · Data, SQL &amp; analytics · Domain, regulatory &amp; XBRL · Broader exposure &amp; ownership</t>
        </is>
      </c>
      <c r="AJ80" s="9" t="inlineStr">
        <is>
          <t>Advanced Java; secure coding &amp; code-quality practices; unit/automated testing; system design fundamentals | Transition to leadership: people management &amp; delegation, mentoring/coaching, project ownership &amp; stakeholder management, prioritisation under ambiguity, presentation &amp; influence skills</t>
        </is>
      </c>
      <c r="AK80" s="9" t="inlineStr">
        <is>
          <t>On-the-job / hands-on · Mentoring / guidance from seniors · Knowledge transfer · KT</t>
        </is>
      </c>
      <c r="AL80" s="9" t="inlineStr">
        <is>
          <t>unclear requirements · issues · understanding</t>
        </is>
      </c>
      <c r="AM80" s="9" t="inlineStr">
        <is>
          <t>clearer · time · structured</t>
        </is>
      </c>
      <c r="AN80" s="9" t="inlineStr">
        <is>
          <t>3 of 4 say the role is changing because of AI / automation</t>
        </is>
      </c>
      <c r="AO80" s="9" t="inlineStr">
        <is>
          <t>Build and operate software capabilities. Includes: Application code, data/ML engineering and product reliability. Excludes: Product investment decisions; internal IT service desk.</t>
        </is>
      </c>
      <c r="AP80" s="9" t="inlineStr">
        <is>
          <t>ENG01-0 · Software Engineering Intern</t>
        </is>
      </c>
      <c r="AQ80" s="9" t="inlineStr">
        <is>
          <r>
            <rPr>
              <rFont val="Calibri"/>
              <b val="1"/>
              <sz val="10"/>
            </rPr>
            <t>Assist with a supervised work sample:</t>
          </r>
          <r>
            <rPr>
              <rFont val="Calibri"/>
              <sz val="10"/>
            </rPr>
            <t xml:space="preserve"> deliver tested apis and services with clear error handling.</t>
          </r>
        </is>
      </c>
      <c r="AR80" s="9" t="inlineStr">
        <is>
          <t>Reviewed learning assignment; no independent material sign-off.</t>
        </is>
      </c>
      <c r="AS80" s="9" t="inlineStr">
        <is>
          <t>A service design and implementation with tests, failure handling and measured production behaviour</t>
        </is>
      </c>
      <c r="AT80" s="9" t="inlineStr">
        <is>
          <r>
            <rPr>
              <rFont val="Calibri"/>
              <b val="1"/>
              <sz val="10"/>
            </rPr>
            <t>Regnology:</t>
          </r>
          <r>
            <rPr>
              <rFont val="Calibri"/>
              <sz val="10"/>
            </rPr>
            <t xml:space="preserve"> Senior Software Engineer, Pune · Selected role. Gap: Java role directly supports software delivery and mentoring; full-stack coverage is partial</t>
          </r>
        </is>
      </c>
      <c r="AU80" s="22" t="inlineStr">
        <is>
          <t>Framework + role-holders' themes · 3+ answered</t>
        </is>
      </c>
      <c r="AV80" s="9" t="inlineStr">
        <is>
          <t>4 holders, 4 answered the survey; sub-family 79 answered</t>
        </is>
      </c>
    </row>
    <row r="81" ht="106" customHeight="1">
      <c r="A81" s="17" t="inlineStr">
        <is>
          <t>RC-066</t>
        </is>
      </c>
      <c r="B81" s="9" t="inlineStr">
        <is>
          <t>Engineering &amp; Development</t>
        </is>
      </c>
      <c r="C81" s="9" t="inlineStr">
        <is>
          <t>Backend Development</t>
        </is>
      </c>
      <c r="D81" s="18" t="inlineStr">
        <is>
          <t>A2</t>
        </is>
      </c>
      <c r="E81" s="19" t="inlineStr">
        <is>
          <t>Associate</t>
        </is>
      </c>
      <c r="F81" s="9" t="inlineStr">
        <is>
          <t>IC</t>
        </is>
      </c>
      <c r="G81" s="9" t="inlineStr">
        <is>
          <t>Software Engineer</t>
        </is>
      </c>
      <c r="H81" s="8" t="n">
        <v>7</v>
      </c>
      <c r="I81" s="9" t="inlineStr">
        <is>
          <t>iFile 3 · iDEAL 2 · CARBON 1 · Datatech 1</t>
        </is>
      </c>
      <c r="J81" s="9" t="inlineStr">
        <is>
          <r>
            <rPr>
              <rFont val="Calibri"/>
              <sz val="10"/>
            </rPr>
            <t xml:space="preserve">Builds back-end services, APIs, processing/validation logic and DB code; fixes defects and delivers change requests. At A2: standard work delivered independently.
</t>
          </r>
          <r>
            <rPr>
              <rFont val="Calibri"/>
              <b val="1"/>
              <sz val="10"/>
            </rPr>
            <t>Common themes in role-holders' answers:</t>
          </r>
          <r>
            <rPr>
              <rFont val="Calibri"/>
              <sz val="10"/>
            </rPr>
            <t xml:space="preserve"> software · time · maintain · take · solutions · efficiency</t>
          </r>
        </is>
      </c>
      <c r="K81" s="9" t="inlineStr">
        <is>
          <r>
            <rPr>
              <rFont val="Calibri"/>
              <sz val="10"/>
            </rPr>
            <t xml:space="preserve">Builds back-end services, APIs, processing/validation logic and DB code; fixes defects and delivers change requests; Standard work of the discipline; Own deliverables · accuracy, TAT
</t>
          </r>
          <r>
            <rPr>
              <rFont val="Calibri"/>
              <b val="1"/>
              <sz val="10"/>
            </rPr>
            <t>Common themes in role-holders' answers:</t>
          </r>
          <r>
            <rPr>
              <rFont val="Calibri"/>
              <sz val="10"/>
            </rPr>
            <t xml:space="preserve"> fixing · quality · bug · development · client · code</t>
          </r>
        </is>
      </c>
      <c r="L81" s="9" t="inlineStr">
        <is>
          <r>
            <rPr>
              <rFont val="Calibri"/>
              <sz val="10"/>
            </rPr>
            <t xml:space="preserve">Own deliverables · accuracy, TAT
</t>
          </r>
          <r>
            <rPr>
              <rFont val="Calibri"/>
              <b val="1"/>
              <sz val="10"/>
            </rPr>
            <t>Common themes in role-holders' answers:</t>
          </r>
          <r>
            <rPr>
              <rFont val="Calibri"/>
              <sz val="10"/>
            </rPr>
            <t xml:space="preserve"> solutions · bug · fixes · features</t>
          </r>
        </is>
      </c>
      <c r="M81" s="9" t="inlineStr">
        <is>
          <r>
            <rPr>
              <rFont val="Calibri"/>
              <sz val="10"/>
            </rPr>
            <t xml:space="preserve">Own deliverables · accuracy, TAT
</t>
          </r>
          <r>
            <rPr>
              <rFont val="Calibri"/>
              <b val="1"/>
              <sz val="10"/>
            </rPr>
            <t>Common themes in role-holders' answers:</t>
          </r>
          <r>
            <rPr>
              <rFont val="Calibri"/>
              <sz val="10"/>
            </rPr>
            <t xml:space="preserve"> quality · personally · reliable · delivering · am · accountable</t>
          </r>
        </is>
      </c>
      <c r="N81" s="9" t="inlineStr">
        <is>
          <r>
            <rPr>
              <rFont val="Calibri"/>
              <sz val="10"/>
            </rPr>
            <t xml:space="preserve">Chooses own approach within standards
</t>
          </r>
          <r>
            <rPr>
              <rFont val="Calibri"/>
              <b val="1"/>
              <sz val="10"/>
            </rPr>
            <t>Common themes in role-holders' answers:</t>
          </r>
          <r>
            <rPr>
              <rFont val="Calibri"/>
              <sz val="10"/>
            </rPr>
            <t xml:space="preserve"> implement · solutions · issues · structure · design</t>
          </r>
        </is>
      </c>
      <c r="O81" s="9" t="inlineStr">
        <is>
          <r>
            <rPr>
              <rFont val="Calibri"/>
              <b val="1"/>
              <sz val="10"/>
            </rPr>
            <t>Common themes in manager-set KRAs:</t>
          </r>
          <r>
            <rPr>
              <rFont val="Calibri"/>
              <sz val="10"/>
            </rPr>
            <t xml:space="preserve"> improve · deliver · modules · committed · coverage · automated</t>
          </r>
        </is>
      </c>
      <c r="P81" s="9" t="inlineStr">
        <is>
          <t>NET MVC · Java</t>
        </is>
      </c>
      <c r="Q81" s="9" t="inlineStr">
        <is>
          <t>Postman · Oracle database</t>
        </is>
      </c>
      <c r="R81" s="9" t="inlineStr">
        <is>
          <t>Standard work delivered independently</t>
        </is>
      </c>
      <c r="S81" s="9" t="inlineStr">
        <is>
          <t>Standard work of the discipline</t>
        </is>
      </c>
      <c r="T81" s="9" t="inlineStr">
        <is>
          <t>Chooses own approach within standards</t>
        </is>
      </c>
      <c r="U81" s="9" t="inlineStr">
        <is>
          <t>Own deliverables · accuracy, TAT</t>
        </is>
      </c>
      <c r="V81" s="9" t="inlineStr">
        <is>
          <t>Not scored in Band A</t>
        </is>
      </c>
      <c r="W81" s="9" t="inlineStr">
        <is>
          <t>0–2 yrs</t>
        </is>
      </c>
      <c r="X81" s="9" t="inlineStr">
        <is>
          <t>Graduate · or diploma with experience</t>
        </is>
      </c>
      <c r="Y81" s="9" t="inlineStr">
        <is>
          <t>Cloud / language certifications · optional; AWS / Azure architect · optional</t>
        </is>
      </c>
      <c r="Z81" s="9" t="inlineStr">
        <is>
          <t>No direct reports</t>
        </is>
      </c>
      <c r="AA81" s="9" t="inlineStr">
        <is>
          <t>Core 2 · Future-ready 2 · Functional 2 · Leadership —</t>
        </is>
      </c>
      <c r="AB81" s="9" t="inlineStr">
        <is>
          <t>Programming &amp; Tech-Stack Depth · System Design &amp; Architecture</t>
        </is>
      </c>
      <c r="AC81" s="9" t="inlineStr">
        <is>
          <t>Database, SQL &amp; Data Engineering · Cloud, DevOps &amp; CI/CD · AI, GenAI &amp; Prompt Engineering · Product, Platform &amp; Domain Knowledge</t>
        </is>
      </c>
      <c r="AD81" s="8" t="inlineStr">
        <is>
          <t>P1–P2</t>
        </is>
      </c>
      <c r="AE81" s="8" t="inlineStr">
        <is>
          <t>2 Assist</t>
        </is>
      </c>
      <c r="AF81" s="9" t="inlineStr">
        <is>
          <r>
            <rPr>
              <rFont val="Calibri"/>
              <b val="1"/>
              <sz val="10"/>
            </rPr>
            <t>Workiva:</t>
          </r>
          <r>
            <rPr>
              <rFont val="Calibri"/>
              <sz val="10"/>
            </rPr>
            <t xml:space="preserve"> Associate SE · Broadridge India: SE · Nasdaq / AxiomSL: SE · Salesforce: AMTS</t>
          </r>
        </is>
      </c>
      <c r="AG81" s="9" t="inlineStr">
        <is>
          <t>SFIA 9 · software development, programming; OWASP secure coding; cloud vendor certifications</t>
        </is>
      </c>
      <c r="AH81" s="9" t="inlineStr">
        <is>
          <t>A3 · Senior Associate</t>
        </is>
      </c>
      <c r="AI81" s="9" t="inlineStr">
        <is>
          <t>Broader exposure &amp; ownership · Technical depth &amp; architecture · AI / automation · Leadership &amp; people management · Product &amp; tool knowledge</t>
        </is>
      </c>
      <c r="AJ81" s="9" t="inlineStr">
        <is>
          <t>ai · design · system · utilization · tools</t>
        </is>
      </c>
      <c r="AK81" s="9" t="inlineStr">
        <is>
          <t>Mentoring / guidance from seniors · Formal / classroom training · On-the-job / hands-on</t>
        </is>
      </c>
      <c r="AL81" s="9" t="inlineStr">
        <is>
          <t>limited · unclear</t>
        </is>
      </c>
      <c r="AM81" s="9" t="inlineStr">
        <is>
          <t>documentation · requirements · better · system · onboarding</t>
        </is>
      </c>
      <c r="AN81" s="9" t="inlineStr">
        <is>
          <t>1 of 6 say the role is changing because of AI / automation</t>
        </is>
      </c>
      <c r="AO81" s="9" t="inlineStr">
        <is>
          <t>Build and operate software capabilities. Includes: Application code, data/ML engineering and product reliability. Excludes: Product investment decisions; internal IT service desk.</t>
        </is>
      </c>
      <c r="AP81" s="9" t="inlineStr">
        <is>
          <t>ENG01-1 · Associate Software Engineer</t>
        </is>
      </c>
      <c r="AQ81" s="9" t="inlineStr">
        <is>
          <r>
            <rPr>
              <rFont val="Calibri"/>
              <b val="1"/>
              <sz val="10"/>
            </rPr>
            <t>Complete defined parts under review:</t>
          </r>
          <r>
            <rPr>
              <rFont val="Calibri"/>
              <sz val="10"/>
            </rPr>
            <t xml:space="preserve"> deliver tested apis and services with clear error handling.</t>
          </r>
        </is>
      </c>
      <c r="AR81" s="9" t="inlineStr">
        <is>
          <t>Repeatable correct delivery, safe escalation and required entry eligibility.</t>
        </is>
      </c>
      <c r="AS81" s="9" t="inlineStr">
        <is>
          <t>A service design and implementation with tests, failure handling and measured production behaviour</t>
        </is>
      </c>
      <c r="AT81" s="9" t="inlineStr">
        <is>
          <r>
            <rPr>
              <rFont val="Calibri"/>
              <b val="1"/>
              <sz val="10"/>
            </rPr>
            <t>Regnology:</t>
          </r>
          <r>
            <rPr>
              <rFont val="Calibri"/>
              <sz val="10"/>
            </rPr>
            <t xml:space="preserve"> Senior Software Engineer, Pune · Selected role. Gap: Java role directly supports software delivery and mentoring; full-stack coverage is partial</t>
          </r>
        </is>
      </c>
      <c r="AU81" s="22" t="inlineStr">
        <is>
          <t>Framework + role-holders' themes · 3+ answered</t>
        </is>
      </c>
      <c r="AV81" s="9" t="inlineStr">
        <is>
          <t>7 holders, 7 answered the survey; sub-family 79 answered</t>
        </is>
      </c>
    </row>
    <row r="82" ht="119" customHeight="1">
      <c r="A82" s="17" t="inlineStr">
        <is>
          <t>RC-067</t>
        </is>
      </c>
      <c r="B82" s="9" t="inlineStr">
        <is>
          <t>Engineering &amp; Development</t>
        </is>
      </c>
      <c r="C82" s="9" t="inlineStr">
        <is>
          <t>Backend Development</t>
        </is>
      </c>
      <c r="D82" s="18" t="inlineStr">
        <is>
          <t>A3</t>
        </is>
      </c>
      <c r="E82" s="19" t="inlineStr">
        <is>
          <t>Senior Associate</t>
        </is>
      </c>
      <c r="F82" s="9" t="inlineStr">
        <is>
          <t>IC</t>
        </is>
      </c>
      <c r="G82" s="9" t="inlineStr">
        <is>
          <t>Senior Software Engineer · Technical Specialist</t>
        </is>
      </c>
      <c r="H82" s="8" t="n">
        <v>49</v>
      </c>
      <c r="I82" s="9" t="inlineStr">
        <is>
          <t>iFile 33 · CARBON 9 · iDEAL 5 · Datatech 2</t>
        </is>
      </c>
      <c r="J82" s="9" t="inlineStr">
        <is>
          <r>
            <rPr>
              <rFont val="Calibri"/>
              <sz val="10"/>
            </rPr>
            <t xml:space="preserve">Builds back-end services, APIs, processing/validation logic and DB code; fixes defects and delivers change requests. At A3: varied work; reviews juniors; go-to for a process.
</t>
          </r>
          <r>
            <rPr>
              <rFont val="Calibri"/>
              <b val="1"/>
              <sz val="10"/>
            </rPr>
            <t>Common themes in role-holders' answers:</t>
          </r>
          <r>
            <rPr>
              <rFont val="Calibri"/>
              <sz val="10"/>
            </rPr>
            <t xml:space="preserve"> software · reliable · solutions · problems · business · develop</t>
          </r>
        </is>
      </c>
      <c r="K82" s="9" t="inlineStr">
        <is>
          <r>
            <rPr>
              <rFont val="Calibri"/>
              <sz val="10"/>
            </rPr>
            <t xml:space="preserve">Builds back-end services, APIs, processing/validation logic and DB code; fixes defects and delivers change requests; Varied and non-standard work; handles exceptions; A module / process, or work with client or regulatory consequences
</t>
          </r>
          <r>
            <rPr>
              <rFont val="Calibri"/>
              <b val="1"/>
              <sz val="10"/>
            </rPr>
            <t>Common themes in role-holders' answers:</t>
          </r>
          <r>
            <rPr>
              <rFont val="Calibri"/>
              <sz val="10"/>
            </rPr>
            <t xml:space="preserve"> development · code · support · technical · quality · issue</t>
          </r>
        </is>
      </c>
      <c r="L82" s="9" t="inlineStr">
        <is>
          <r>
            <rPr>
              <rFont val="Calibri"/>
              <sz val="10"/>
            </rPr>
            <t xml:space="preserve">A module / process, or work with client or regulatory consequences
</t>
          </r>
          <r>
            <rPr>
              <rFont val="Calibri"/>
              <b val="1"/>
              <sz val="10"/>
            </rPr>
            <t>Common themes in role-holders' answers:</t>
          </r>
          <r>
            <rPr>
              <rFont val="Calibri"/>
              <sz val="10"/>
            </rPr>
            <t xml:space="preserve"> features · product · application · software · support · deliver</t>
          </r>
        </is>
      </c>
      <c r="M82" s="9" t="inlineStr">
        <is>
          <r>
            <rPr>
              <rFont val="Calibri"/>
              <sz val="10"/>
            </rPr>
            <t xml:space="preserve">A module / process, or work with client or regulatory consequences
</t>
          </r>
          <r>
            <rPr>
              <rFont val="Calibri"/>
              <b val="1"/>
              <sz val="10"/>
            </rPr>
            <t>Common themes in role-holders' answers:</t>
          </r>
          <r>
            <rPr>
              <rFont val="Calibri"/>
              <sz val="10"/>
            </rPr>
            <t xml:space="preserve"> quality · accountable · delivery · features · am · timely</t>
          </r>
        </is>
      </c>
      <c r="N82" s="9" t="inlineStr">
        <is>
          <r>
            <rPr>
              <rFont val="Calibri"/>
              <sz val="10"/>
            </rPr>
            <t xml:space="preserve">Technical / QC / client calls on own work
</t>
          </r>
          <r>
            <rPr>
              <rFont val="Calibri"/>
              <b val="1"/>
              <sz val="10"/>
            </rPr>
            <t>Common themes in role-holders' answers:</t>
          </r>
          <r>
            <rPr>
              <rFont val="Calibri"/>
              <sz val="10"/>
            </rPr>
            <t xml:space="preserve"> code · technical · implementation · bug · approach · decisions</t>
          </r>
        </is>
      </c>
      <c r="O82" s="9" t="inlineStr">
        <is>
          <r>
            <rPr>
              <rFont val="Calibri"/>
              <b val="1"/>
              <sz val="10"/>
            </rPr>
            <t>Common themes in manager-set KRAs:</t>
          </r>
          <r>
            <rPr>
              <rFont val="Calibri"/>
              <sz val="10"/>
            </rPr>
            <t xml:space="preserve"> year · coverage · code · quality · deliver · assigned</t>
          </r>
        </is>
      </c>
      <c r="P82" s="9" t="inlineStr">
        <is>
          <t>Java · NET MVC · debugging · AI · Technical knowledge · Software development · Devops · Spring Boot</t>
        </is>
      </c>
      <c r="Q82" s="9" t="inlineStr">
        <is>
          <t>VS Code · Visual studio · Claude · Copilot · Git · Excel · Co-pilot · AWS</t>
        </is>
      </c>
      <c r="R82" s="9" t="inlineStr">
        <is>
          <t>Varied work; reviews juniors; go-to for a process</t>
        </is>
      </c>
      <c r="S82" s="9" t="inlineStr">
        <is>
          <t>Varied and non-standard work; handles exceptions</t>
        </is>
      </c>
      <c r="T82" s="9" t="inlineStr">
        <is>
          <t>Technical / QC / client calls on own work</t>
        </is>
      </c>
      <c r="U82" s="9" t="inlineStr">
        <is>
          <t>A module / process, or work with client or regulatory consequences</t>
        </is>
      </c>
      <c r="V82" s="9" t="inlineStr">
        <is>
          <t>Not scored in Band A</t>
        </is>
      </c>
      <c r="W82" s="9" t="inlineStr">
        <is>
          <t>2–4 yrs</t>
        </is>
      </c>
      <c r="X82" s="9" t="inlineStr">
        <is>
          <t>Graduate; relevant certification preferred</t>
        </is>
      </c>
      <c r="Y82" s="9" t="inlineStr">
        <is>
          <t>Cloud / language certifications · optional; AWS / Azure architect · optional</t>
        </is>
      </c>
      <c r="Z82" s="9" t="inlineStr">
        <is>
          <t>None · guides 1–3 juniors informally</t>
        </is>
      </c>
      <c r="AA82" s="9" t="inlineStr">
        <is>
          <t>Core 2 · Future-ready 2 · Functional 3 · Leadership —</t>
        </is>
      </c>
      <c r="AB82" s="9" t="inlineStr">
        <is>
          <t>Programming &amp; Tech-Stack Depth · System Design &amp; Architecture</t>
        </is>
      </c>
      <c r="AC82" s="9" t="inlineStr">
        <is>
          <t>Database, SQL &amp; Data Engineering · Cloud, DevOps &amp; CI/CD · AI, GenAI &amp; Prompt Engineering · Product, Platform &amp; Domain Knowledge</t>
        </is>
      </c>
      <c r="AD82" s="8" t="inlineStr">
        <is>
          <t>P2</t>
        </is>
      </c>
      <c r="AE82" s="8" t="inlineStr">
        <is>
          <t>3 Apply</t>
        </is>
      </c>
      <c r="AF82" s="9" t="inlineStr">
        <is>
          <r>
            <rPr>
              <rFont val="Calibri"/>
              <b val="1"/>
              <sz val="10"/>
            </rPr>
            <t>Workiva:</t>
          </r>
          <r>
            <rPr>
              <rFont val="Calibri"/>
              <sz val="10"/>
            </rPr>
            <t xml:space="preserve"> SE · Broadridge India: SE · Nasdaq / AxiomSL: SE · Salesforce: MTS</t>
          </r>
        </is>
      </c>
      <c r="AG82" s="9" t="inlineStr">
        <is>
          <t>SFIA 9 · software development, programming; OWASP secure coding; cloud vendor certifications</t>
        </is>
      </c>
      <c r="AH82" s="9" t="inlineStr">
        <is>
          <t>B1 · Specialist</t>
        </is>
      </c>
      <c r="AI82" s="9" t="inlineStr">
        <is>
          <t>Technical depth &amp; architecture · Leadership &amp; people management · Broader exposure &amp; ownership · AI / automation · Project / programme management</t>
        </is>
      </c>
      <c r="AJ82" s="9" t="inlineStr">
        <is>
          <t>design · secure · fundamentals · skills · leadership</t>
        </is>
      </c>
      <c r="AK82" s="9" t="inlineStr">
        <is>
          <t>Mentoring / guidance from seniors · On-the-job / hands-on · Formal / classroom training · Online courses / self-learning · Certification · Knowledge transfer · KT</t>
        </is>
      </c>
      <c r="AL82" s="9" t="inlineStr">
        <is>
          <t>unclear · requirements · dependencies · dependency · ai</t>
        </is>
      </c>
      <c r="AM82" s="9" t="inlineStr">
        <is>
          <t>better · requirements · documentation · clearer · faster</t>
        </is>
      </c>
      <c r="AN82" s="9" t="inlineStr">
        <is>
          <t>33 of 46 say the role is changing because of AI / automation</t>
        </is>
      </c>
      <c r="AO82" s="9" t="inlineStr">
        <is>
          <t>Build and operate software capabilities. Includes: Application code, data/ML engineering and product reliability. Excludes: Product investment decisions; internal IT service desk.</t>
        </is>
      </c>
      <c r="AP82" s="9" t="inlineStr">
        <is>
          <t>ENG01-2 · Software Engineer</t>
        </is>
      </c>
      <c r="AQ82" s="9" t="inlineStr">
        <is>
          <t>Deliver tested APIs and services with clear error handling.</t>
        </is>
      </c>
      <c r="AR82" s="9" t="inlineStr">
        <is>
          <t>Demonstrate routine delivery plus judgement in bounded exceptions.</t>
        </is>
      </c>
      <c r="AS82" s="9" t="inlineStr">
        <is>
          <t>A service design and implementation with tests, failure handling and measured production behaviour</t>
        </is>
      </c>
      <c r="AT82" s="9" t="inlineStr">
        <is>
          <r>
            <rPr>
              <rFont val="Calibri"/>
              <b val="1"/>
              <sz val="10"/>
            </rPr>
            <t>Regnology:</t>
          </r>
          <r>
            <rPr>
              <rFont val="Calibri"/>
              <sz val="10"/>
            </rPr>
            <t xml:space="preserve"> Senior Software Engineer, Pune · Selected role. Gap: Java role directly supports software delivery and mentoring; full-stack coverage is partial</t>
          </r>
        </is>
      </c>
      <c r="AU82" s="22" t="inlineStr">
        <is>
          <t>Framework + role-holders' themes · 3+ answered</t>
        </is>
      </c>
      <c r="AV82" s="9" t="inlineStr">
        <is>
          <t>49 holders, 48 answered the survey; sub-family 79 answered</t>
        </is>
      </c>
    </row>
    <row r="83" ht="119" customHeight="1">
      <c r="A83" s="17" t="inlineStr">
        <is>
          <t>RC-068</t>
        </is>
      </c>
      <c r="B83" s="9" t="inlineStr">
        <is>
          <t>Engineering &amp; Development</t>
        </is>
      </c>
      <c r="C83" s="9" t="inlineStr">
        <is>
          <t>Backend Development</t>
        </is>
      </c>
      <c r="D83" s="21" t="inlineStr">
        <is>
          <t>B1</t>
        </is>
      </c>
      <c r="E83" s="22" t="inlineStr">
        <is>
          <t>Specialist</t>
        </is>
      </c>
      <c r="F83" s="9" t="inlineStr">
        <is>
          <t>IC</t>
        </is>
      </c>
      <c r="G83" s="9" t="inlineStr">
        <is>
          <t>Technical Specialist – POD Lead · Technical Specialist · Senior Technical Specialist – POD Lead</t>
        </is>
      </c>
      <c r="H83" s="8" t="n">
        <v>8</v>
      </c>
      <c r="I83" s="9" t="inlineStr">
        <is>
          <t>iFile 6 · CARBON 2</t>
        </is>
      </c>
      <c r="J83" s="9" t="inlineStr">
        <is>
          <r>
            <rPr>
              <rFont val="Calibri"/>
              <sz val="10"/>
            </rPr>
            <t xml:space="preserve">Builds back-end services, APIs, processing/validation logic and DB code; fixes defects and delivers change requests. At B1: a domain / module, or a small team.
</t>
          </r>
          <r>
            <rPr>
              <rFont val="Calibri"/>
              <b val="1"/>
              <sz val="10"/>
            </rPr>
            <t>Common themes in role-holders' answers:</t>
          </r>
          <r>
            <rPr>
              <rFont val="Calibri"/>
              <sz val="10"/>
            </rPr>
            <t xml:space="preserve"> technical · members · guide · lead · time · support</t>
          </r>
        </is>
      </c>
      <c r="K83" s="9" t="inlineStr">
        <is>
          <r>
            <rPr>
              <rFont val="Calibri"/>
              <sz val="10"/>
            </rPr>
            <t xml:space="preserve">Builds back-end services, APIs, processing/validation logic and DB code; fixes defects and delivers change requests; Domain specialist work; A domain or a small team
</t>
          </r>
          <r>
            <rPr>
              <rFont val="Calibri"/>
              <b val="1"/>
              <sz val="10"/>
            </rPr>
            <t>Common themes in role-holders' answers:</t>
          </r>
          <r>
            <rPr>
              <rFont val="Calibri"/>
              <sz val="10"/>
            </rPr>
            <t xml:space="preserve"> development · requirement · testing · support · software · solution</t>
          </r>
        </is>
      </c>
      <c r="L83" s="9" t="inlineStr">
        <is>
          <r>
            <rPr>
              <rFont val="Calibri"/>
              <sz val="10"/>
            </rPr>
            <t xml:space="preserve">A domain or a small team
</t>
          </r>
          <r>
            <rPr>
              <rFont val="Calibri"/>
              <b val="1"/>
              <sz val="10"/>
            </rPr>
            <t>Common themes in role-holders' answers:</t>
          </r>
          <r>
            <rPr>
              <rFont val="Calibri"/>
              <sz val="10"/>
            </rPr>
            <t xml:space="preserve"> features · technical · issue · code · releases</t>
          </r>
        </is>
      </c>
      <c r="M83" s="9" t="inlineStr">
        <is>
          <r>
            <rPr>
              <rFont val="Calibri"/>
              <sz val="10"/>
            </rPr>
            <t xml:space="preserve">A domain or a small team
</t>
          </r>
          <r>
            <rPr>
              <rFont val="Calibri"/>
              <b val="1"/>
              <sz val="10"/>
            </rPr>
            <t>Common themes in role-holders' answers:</t>
          </r>
          <r>
            <rPr>
              <rFont val="Calibri"/>
              <sz val="10"/>
            </rPr>
            <t xml:space="preserve"> code · requirement · delivery · changes · am · delivering</t>
          </r>
        </is>
      </c>
      <c r="N83" s="9" t="inlineStr">
        <is>
          <r>
            <rPr>
              <rFont val="Calibri"/>
              <sz val="10"/>
            </rPr>
            <t xml:space="preserve">Technical / QC / client calls for the domain
</t>
          </r>
          <r>
            <rPr>
              <rFont val="Calibri"/>
              <b val="1"/>
              <sz val="10"/>
            </rPr>
            <t>Common themes in role-holders' answers:</t>
          </r>
          <r>
            <rPr>
              <rFont val="Calibri"/>
              <sz val="10"/>
            </rPr>
            <t xml:space="preserve"> technical · approach · decisions · process · issue · code</t>
          </r>
        </is>
      </c>
      <c r="O83" s="9" t="inlineStr">
        <is>
          <r>
            <rPr>
              <rFont val="Calibri"/>
              <b val="1"/>
              <sz val="10"/>
            </rPr>
            <t>Common themes in manager-set KRAs:</t>
          </r>
          <r>
            <rPr>
              <rFont val="Calibri"/>
              <sz val="10"/>
            </rPr>
            <t xml:space="preserve"> reduce · production · time · quarterly · incidents resolved · stability critical</t>
          </r>
        </is>
      </c>
      <c r="P83" s="9" t="inlineStr">
        <is>
          <t>Problem Solving · NET MVC · Java · Database Management · Production Support</t>
        </is>
      </c>
      <c r="Q83" s="9" t="inlineStr">
        <is>
          <t>Postman · Eclipse · Git · Oracle Database</t>
        </is>
      </c>
      <c r="R83" s="9" t="inlineStr">
        <is>
          <t>A domain / module, or a small team</t>
        </is>
      </c>
      <c r="S83" s="9" t="inlineStr">
        <is>
          <t>Domain specialist work</t>
        </is>
      </c>
      <c r="T83" s="9" t="inlineStr">
        <is>
          <t>Technical / QC / client calls for the domain</t>
        </is>
      </c>
      <c r="U83" s="9" t="inlineStr">
        <is>
          <t>A domain or a small team</t>
        </is>
      </c>
      <c r="V83" s="9" t="inlineStr">
        <is>
          <r>
            <rPr>
              <rFont val="Calibri"/>
              <b val="1"/>
              <sz val="10"/>
            </rPr>
            <t>IC:</t>
          </r>
          <r>
            <rPr>
              <rFont val="Calibri"/>
              <sz val="10"/>
            </rPr>
            <t xml:space="preserve"> mentors and reviews · People: hands-on team lead of 3–5</t>
          </r>
        </is>
      </c>
      <c r="W83" s="9" t="inlineStr">
        <is>
          <t>4–7 yrs</t>
        </is>
      </c>
      <c r="X83" s="9" t="inlineStr">
        <is>
          <t>Graduate + relevant qualification or certification preferred</t>
        </is>
      </c>
      <c r="Y83" s="9" t="inlineStr">
        <is>
          <t>Cloud / language certifications · optional; AWS / Azure architect · optional</t>
        </is>
      </c>
      <c r="Z83" s="9" t="inlineStr">
        <is>
          <r>
            <rPr>
              <rFont val="Calibri"/>
              <b val="1"/>
              <sz val="10"/>
            </rPr>
            <t>IC:</t>
          </r>
          <r>
            <rPr>
              <rFont val="Calibri"/>
              <sz val="10"/>
            </rPr>
            <t xml:space="preserve"> none · Team Lead: 3–5</t>
          </r>
        </is>
      </c>
      <c r="AA83" s="9" t="inlineStr">
        <is>
          <t>Core 3 · Future-ready 3 · Functional 3 · Leadership 1</t>
        </is>
      </c>
      <c r="AB83" s="9" t="inlineStr">
        <is>
          <t>Programming &amp; Tech-Stack Depth · System Design &amp; Architecture</t>
        </is>
      </c>
      <c r="AC83" s="9" t="inlineStr">
        <is>
          <t>Database, SQL &amp; Data Engineering · Cloud, DevOps &amp; CI/CD · AI, GenAI &amp; Prompt Engineering · Product, Platform &amp; Domain Knowledge</t>
        </is>
      </c>
      <c r="AD83" s="8" t="inlineStr">
        <is>
          <t>P3 / M2</t>
        </is>
      </c>
      <c r="AE83" s="8" t="inlineStr">
        <is>
          <t>4 Enable</t>
        </is>
      </c>
      <c r="AF83" s="9" t="inlineStr">
        <is>
          <r>
            <rPr>
              <rFont val="Calibri"/>
              <b val="1"/>
              <sz val="10"/>
            </rPr>
            <t>Workiva:</t>
          </r>
          <r>
            <rPr>
              <rFont val="Calibri"/>
              <sz val="10"/>
            </rPr>
            <t xml:space="preserve"> SE / Senior SE · Broadridge India: Senior SE · Nasdaq / AxiomSL: Senior SE · Salesforce: MTS</t>
          </r>
        </is>
      </c>
      <c r="AG83" s="9" t="inlineStr">
        <is>
          <t>SFIA 9 · software development, programming; OWASP secure coding; cloud vendor certifications</t>
        </is>
      </c>
      <c r="AH83" s="9" t="inlineStr">
        <is>
          <t>B2 · Senior Specialist</t>
        </is>
      </c>
      <c r="AI83" s="9" t="inlineStr">
        <is>
          <t>AI / automation · Technical depth &amp; architecture · Leadership &amp; people management · Client, sales &amp; stakeholders · Project / programme management</t>
        </is>
      </c>
      <c r="AJ83" s="9" t="inlineStr">
        <is>
          <t>design · goal-setting · practices · succession · system</t>
        </is>
      </c>
      <c r="AK83" s="9" t="inlineStr">
        <is>
          <t>Mentoring / guidance from seniors · Formal / classroom training</t>
        </is>
      </c>
      <c r="AL83" s="9" t="inlineStr">
        <is>
          <t>unclear · requirements · dependency · lack · changing</t>
        </is>
      </c>
      <c r="AM83" s="9" t="inlineStr">
        <is>
          <t>support · clear · requirements · person · take</t>
        </is>
      </c>
      <c r="AN83" s="9" t="inlineStr">
        <is>
          <t>2 of 5 say the role is changing because of AI / automation</t>
        </is>
      </c>
      <c r="AO83" s="9" t="inlineStr">
        <is>
          <t>Build and operate software capabilities. Includes: Application code, data/ML engineering and product reliability. Excludes: Product investment decisions; internal IT service desk.</t>
        </is>
      </c>
      <c r="AP83" s="9" t="inlineStr">
        <is>
          <t>ENG01-3 · Senior Software Engineer</t>
        </is>
      </c>
      <c r="AQ83" s="9" t="inlineStr">
        <is>
          <t>Own a service design, security review and production failure analysis.</t>
        </is>
      </c>
      <c r="AR83" s="9" t="inlineStr">
        <is>
          <t>Evidence of complex work, decisions and outcomes beyond routine delivery.</t>
        </is>
      </c>
      <c r="AS83" s="9" t="inlineStr">
        <is>
          <t>A service design and implementation with tests, failure handling and measured production behaviour</t>
        </is>
      </c>
      <c r="AT83" s="9" t="inlineStr">
        <is>
          <r>
            <rPr>
              <rFont val="Calibri"/>
              <b val="1"/>
              <sz val="10"/>
            </rPr>
            <t>Regnology:</t>
          </r>
          <r>
            <rPr>
              <rFont val="Calibri"/>
              <sz val="10"/>
            </rPr>
            <t xml:space="preserve"> Senior Software Engineer, Pune · Selected role. Gap: Java role directly supports software delivery and mentoring; full-stack coverage is partial</t>
          </r>
        </is>
      </c>
      <c r="AU83" s="22" t="inlineStr">
        <is>
          <t>Framework + role-holders' themes · 3+ answered</t>
        </is>
      </c>
      <c r="AV83" s="9" t="inlineStr">
        <is>
          <t>8 holders, 8 answered the survey; sub-family 79 answered</t>
        </is>
      </c>
    </row>
    <row r="84" ht="119" customHeight="1">
      <c r="A84" s="17" t="inlineStr">
        <is>
          <t>RC-069</t>
        </is>
      </c>
      <c r="B84" s="9" t="inlineStr">
        <is>
          <t>Engineering &amp; Development</t>
        </is>
      </c>
      <c r="C84" s="9" t="inlineStr">
        <is>
          <t>Backend Development</t>
        </is>
      </c>
      <c r="D84" s="21" t="inlineStr">
        <is>
          <t>B2</t>
        </is>
      </c>
      <c r="E84" s="22" t="inlineStr">
        <is>
          <t>Senior Specialist</t>
        </is>
      </c>
      <c r="F84" s="9" t="inlineStr">
        <is>
          <t>IC</t>
        </is>
      </c>
      <c r="G84" s="9" t="inlineStr">
        <is>
          <t>Senior Technical Specialist – POD Lead · Lead Software Engineer · Lead Software Engineer – POD Lead · Senior Technical Specialist</t>
        </is>
      </c>
      <c r="H84" s="8" t="n">
        <v>8</v>
      </c>
      <c r="I84" s="9" t="inlineStr">
        <is>
          <t>iFile 5 · CARBON 2 · Datatech 1</t>
        </is>
      </c>
      <c r="J84" s="9" t="inlineStr">
        <is>
          <r>
            <rPr>
              <rFont val="Calibri"/>
              <sz val="10"/>
            </rPr>
            <t xml:space="preserve">Builds back-end services, APIs, processing/validation logic and DB code; fixes defects and delivers change requests. At B2: deep domain expertise, or one team.
</t>
          </r>
          <r>
            <rPr>
              <rFont val="Calibri"/>
              <b val="1"/>
              <sz val="10"/>
            </rPr>
            <t>Common themes in role-holders' answers:</t>
          </r>
          <r>
            <rPr>
              <rFont val="Calibri"/>
              <sz val="10"/>
            </rPr>
            <t xml:space="preserve"> solutions · technical · reliable · scalable · software · business</t>
          </r>
        </is>
      </c>
      <c r="K84" s="9" t="inlineStr">
        <is>
          <r>
            <rPr>
              <rFont val="Calibri"/>
              <sz val="10"/>
            </rPr>
            <t xml:space="preserve">Builds back-end services, APIs, processing/validation logic and DB code; fixes defects and delivers change requests; Hardest problems in the domain; One team or a client portfolio
</t>
          </r>
          <r>
            <rPr>
              <rFont val="Calibri"/>
              <b val="1"/>
              <sz val="10"/>
            </rPr>
            <t>Common themes in role-holders' answers:</t>
          </r>
          <r>
            <rPr>
              <rFont val="Calibri"/>
              <sz val="10"/>
            </rPr>
            <t xml:space="preserve"> delivery · technical · code · solution design · ownership · leadership</t>
          </r>
        </is>
      </c>
      <c r="L84" s="9" t="inlineStr">
        <is>
          <r>
            <rPr>
              <rFont val="Calibri"/>
              <sz val="10"/>
            </rPr>
            <t xml:space="preserve">One team or a client portfolio
</t>
          </r>
          <r>
            <rPr>
              <rFont val="Calibri"/>
              <b val="1"/>
              <sz val="10"/>
            </rPr>
            <t>Common themes in role-holders' answers:</t>
          </r>
          <r>
            <rPr>
              <rFont val="Calibri"/>
              <sz val="10"/>
            </rPr>
            <t xml:space="preserve"> documentation · features · software · produce · deliver</t>
          </r>
        </is>
      </c>
      <c r="M84" s="9" t="inlineStr">
        <is>
          <r>
            <rPr>
              <rFont val="Calibri"/>
              <sz val="10"/>
            </rPr>
            <t xml:space="preserve">One team or a client portfolio
</t>
          </r>
          <r>
            <rPr>
              <rFont val="Calibri"/>
              <b val="1"/>
              <sz val="10"/>
            </rPr>
            <t>Common themes in role-holders' answers:</t>
          </r>
          <r>
            <rPr>
              <rFont val="Calibri"/>
              <sz val="10"/>
            </rPr>
            <t xml:space="preserve"> design · am · accountable · solution · technical · delivery</t>
          </r>
        </is>
      </c>
      <c r="N84" s="9" t="inlineStr">
        <is>
          <r>
            <rPr>
              <rFont val="Calibri"/>
              <sz val="10"/>
            </rPr>
            <t xml:space="preserve">Allocates people and sets team priorities
</t>
          </r>
          <r>
            <rPr>
              <rFont val="Calibri"/>
              <b val="1"/>
              <sz val="10"/>
            </rPr>
            <t>Common themes in role-holders' answers:</t>
          </r>
          <r>
            <rPr>
              <rFont val="Calibri"/>
              <sz val="10"/>
            </rPr>
            <t xml:space="preserve"> technical · approach · design · implementation · ai · code</t>
          </r>
        </is>
      </c>
      <c r="O84" s="9" t="inlineStr">
        <is>
          <r>
            <rPr>
              <rFont val="Calibri"/>
              <b val="1"/>
              <sz val="10"/>
            </rPr>
            <t>Common themes in manager-set KRAs:</t>
          </r>
          <r>
            <rPr>
              <rFont val="Calibri"/>
              <sz val="10"/>
            </rPr>
            <t xml:space="preserve"> modules · coverage · complete · components · committed · sprint</t>
          </r>
        </is>
      </c>
      <c r="P84" s="9" t="inlineStr">
        <is>
          <t>NET MVC · Java</t>
        </is>
      </c>
      <c r="Q84" s="9" t="inlineStr">
        <is>
          <t>—</t>
        </is>
      </c>
      <c r="R84" s="9" t="inlineStr">
        <is>
          <t>Deep domain expertise, or one team</t>
        </is>
      </c>
      <c r="S84" s="9" t="inlineStr">
        <is>
          <t>Hardest problems in the domain</t>
        </is>
      </c>
      <c r="T84" s="9" t="inlineStr">
        <is>
          <t>Allocates people and sets team priorities</t>
        </is>
      </c>
      <c r="U84" s="9" t="inlineStr">
        <is>
          <t>One team or a client portfolio</t>
        </is>
      </c>
      <c r="V84" s="9" t="inlineStr">
        <is>
          <r>
            <rPr>
              <rFont val="Calibri"/>
              <b val="1"/>
              <sz val="10"/>
            </rPr>
            <t>IC:</t>
          </r>
          <r>
            <rPr>
              <rFont val="Calibri"/>
              <sz val="10"/>
            </rPr>
            <t xml:space="preserve"> guides others in the domain · People: manages a team of 6+</t>
          </r>
        </is>
      </c>
      <c r="W84" s="9" t="inlineStr">
        <is>
          <t>6–9 yrs</t>
        </is>
      </c>
      <c r="X84" s="9" t="inlineStr">
        <is>
          <t>Graduate or postgraduate; professional qualification preferred</t>
        </is>
      </c>
      <c r="Y84" s="9" t="inlineStr">
        <is>
          <t>Cloud / language certifications · optional; AWS / Azure architect · optional</t>
        </is>
      </c>
      <c r="Z84" s="9" t="inlineStr">
        <is>
          <r>
            <rPr>
              <rFont val="Calibri"/>
              <b val="1"/>
              <sz val="10"/>
            </rPr>
            <t>IC:</t>
          </r>
          <r>
            <rPr>
              <rFont val="Calibri"/>
              <sz val="10"/>
            </rPr>
            <t xml:space="preserve"> none · People: 6–8 knowledge work, 8–12 standardised delivery</t>
          </r>
        </is>
      </c>
      <c r="AA84" s="9" t="inlineStr">
        <is>
          <t>Core 3 · Future-ready 3 · Functional 4 · Leadership 2</t>
        </is>
      </c>
      <c r="AB84" s="9" t="inlineStr">
        <is>
          <t>Programming &amp; Tech-Stack Depth · System Design &amp; Architecture</t>
        </is>
      </c>
      <c r="AC84" s="9" t="inlineStr">
        <is>
          <t>Database, SQL &amp; Data Engineering · Cloud, DevOps &amp; CI/CD · AI, GenAI &amp; Prompt Engineering · Product, Platform &amp; Domain Knowledge</t>
        </is>
      </c>
      <c r="AD84" s="8" t="inlineStr">
        <is>
          <t>P4 / M3</t>
        </is>
      </c>
      <c r="AE84" s="8" t="inlineStr">
        <is>
          <t>4–5</t>
        </is>
      </c>
      <c r="AF84" s="9" t="inlineStr">
        <is>
          <r>
            <rPr>
              <rFont val="Calibri"/>
              <b val="1"/>
              <sz val="10"/>
            </rPr>
            <t>Workiva:</t>
          </r>
          <r>
            <rPr>
              <rFont val="Calibri"/>
              <sz val="10"/>
            </rPr>
            <t xml:space="preserve"> Senior SE · Broadridge India: Lead SE · Nasdaq / AxiomSL: Senior SE · Salesforce: SMTS</t>
          </r>
        </is>
      </c>
      <c r="AG84" s="9" t="inlineStr">
        <is>
          <t>SFIA 9 · software development, programming; OWASP secure coding; cloud vendor certifications</t>
        </is>
      </c>
      <c r="AH84" s="9" t="inlineStr">
        <is>
          <t>B3 · Lead Specialist</t>
        </is>
      </c>
      <c r="AI84" s="9" t="inlineStr">
        <is>
          <t>Technical depth &amp; architecture · Broader exposure &amp; ownership · Leadership &amp; people management · Product &amp; tool knowledge · AI / automation</t>
        </is>
      </c>
      <c r="AJ84" s="9" t="inlineStr">
        <is>
          <t>design · system · leadership · practices · unit/automated testing</t>
        </is>
      </c>
      <c r="AK84" s="9" t="inlineStr">
        <is>
          <t>On-the-job / hands-on · Mentoring / guidance from seniors · Formal / classroom training</t>
        </is>
      </c>
      <c r="AL84" s="9" t="inlineStr">
        <is>
          <t>requirements · unclear · priorities · dependencies · cross-team</t>
        </is>
      </c>
      <c r="AM84" s="9" t="inlineStr">
        <is>
          <t>clearer · ownership · decision-making · stronger · documentation</t>
        </is>
      </c>
      <c r="AN84" s="9" t="inlineStr">
        <is>
          <t>7 of 7 say the role is changing because of AI / automation</t>
        </is>
      </c>
      <c r="AO84" s="9" t="inlineStr">
        <is>
          <t>Build and operate software capabilities. Includes: Application code, data/ML engineering and product reliability. Excludes: Product investment decisions; internal IT service desk.</t>
        </is>
      </c>
      <c r="AP84" s="9" t="inlineStr">
        <is>
          <t>ENG01-3 · Senior Software Engineer</t>
        </is>
      </c>
      <c r="AQ84" s="9" t="inlineStr">
        <is>
          <t>Own a service design, security review and production failure analysis.</t>
        </is>
      </c>
      <c r="AR84" s="9" t="inlineStr">
        <is>
          <t>Evidence of complex work, decisions and outcomes beyond routine delivery.</t>
        </is>
      </c>
      <c r="AS84" s="9" t="inlineStr">
        <is>
          <t>A service design and implementation with tests, failure handling and measured production behaviour</t>
        </is>
      </c>
      <c r="AT84" s="9" t="inlineStr">
        <is>
          <r>
            <rPr>
              <rFont val="Calibri"/>
              <b val="1"/>
              <sz val="10"/>
            </rPr>
            <t>Regnology:</t>
          </r>
          <r>
            <rPr>
              <rFont val="Calibri"/>
              <sz val="10"/>
            </rPr>
            <t xml:space="preserve"> Senior Software Engineer, Pune · Selected role. Gap: Java role directly supports software delivery and mentoring; full-stack coverage is partial</t>
          </r>
        </is>
      </c>
      <c r="AU84" s="22" t="inlineStr">
        <is>
          <t>Framework + role-holders' themes · 3+ answered</t>
        </is>
      </c>
      <c r="AV84" s="9" t="inlineStr">
        <is>
          <t>8 holders, 7 answered the survey; sub-family 79 answered</t>
        </is>
      </c>
    </row>
    <row r="85" ht="184" customHeight="1">
      <c r="A85" s="17" t="inlineStr">
        <is>
          <t>RC-070</t>
        </is>
      </c>
      <c r="B85" s="9" t="inlineStr">
        <is>
          <t>Engineering &amp; Development</t>
        </is>
      </c>
      <c r="C85" s="9" t="inlineStr">
        <is>
          <t>Backend Development</t>
        </is>
      </c>
      <c r="D85" s="21" t="inlineStr">
        <is>
          <t>B2</t>
        </is>
      </c>
      <c r="E85" s="22" t="inlineStr">
        <is>
          <t>Manager</t>
        </is>
      </c>
      <c r="F85" s="9" t="inlineStr">
        <is>
          <t>Manager</t>
        </is>
      </c>
      <c r="G85" s="9" t="inlineStr">
        <is>
          <t>Engineering Manager</t>
        </is>
      </c>
      <c r="H85" s="8" t="n">
        <v>1</v>
      </c>
      <c r="I85" s="9" t="inlineStr">
        <is>
          <t>iFile 1</t>
        </is>
      </c>
      <c r="J85" s="9" t="inlineStr">
        <is>
          <r>
            <rPr>
              <rFont val="Calibri"/>
              <sz val="10"/>
            </rPr>
            <t xml:space="preserve">Builds back-end services, APIs, processing/validation logic and DB code; fixes defects and delivers change requests. At B2: deep domain expertise, or one team.
</t>
          </r>
          <r>
            <rPr>
              <rFont val="Calibri"/>
              <b val="1"/>
              <sz val="10"/>
            </rPr>
            <t>Common themes in sub-family holders, all levels' answers:</t>
          </r>
          <r>
            <rPr>
              <rFont val="Calibri"/>
              <sz val="10"/>
            </rPr>
            <t xml:space="preserve"> software · solutions · business · reliable · develop · technical</t>
          </r>
        </is>
      </c>
      <c r="K85" s="9" t="inlineStr">
        <is>
          <r>
            <rPr>
              <rFont val="Calibri"/>
              <sz val="10"/>
            </rPr>
            <t xml:space="preserve">Builds back-end services, APIs, processing/validation logic and DB code; fixes defects and delivers change requests; Hardest problems in the domain; One team or a client portfolio
</t>
          </r>
          <r>
            <rPr>
              <rFont val="Calibri"/>
              <b val="1"/>
              <sz val="10"/>
            </rPr>
            <t>Common themes in sub-family holders, all levels' answers:</t>
          </r>
          <r>
            <rPr>
              <rFont val="Calibri"/>
              <sz val="10"/>
            </rPr>
            <t xml:space="preserve"> development · code · quality · technical · support · software</t>
          </r>
        </is>
      </c>
      <c r="L85" s="9" t="inlineStr">
        <is>
          <r>
            <rPr>
              <rFont val="Calibri"/>
              <sz val="10"/>
            </rPr>
            <t xml:space="preserve">One team or a client portfolio
</t>
          </r>
          <r>
            <rPr>
              <rFont val="Calibri"/>
              <b val="1"/>
              <sz val="10"/>
            </rPr>
            <t>Common themes in sub-family holders, all levels' answers:</t>
          </r>
          <r>
            <rPr>
              <rFont val="Calibri"/>
              <sz val="10"/>
            </rPr>
            <t xml:space="preserve"> features · software · product · application · support · code</t>
          </r>
        </is>
      </c>
      <c r="M85" s="9" t="inlineStr">
        <is>
          <r>
            <rPr>
              <rFont val="Calibri"/>
              <sz val="10"/>
            </rPr>
            <t xml:space="preserve">One team or a client portfolio
</t>
          </r>
          <r>
            <rPr>
              <rFont val="Calibri"/>
              <b val="1"/>
              <sz val="10"/>
            </rPr>
            <t>Common themes in sub-family holders, all levels' answers:</t>
          </r>
          <r>
            <rPr>
              <rFont val="Calibri"/>
              <sz val="10"/>
            </rPr>
            <t xml:space="preserve"> quality · accountable · am · delivery · features · code</t>
          </r>
        </is>
      </c>
      <c r="N85" s="9" t="inlineStr">
        <is>
          <r>
            <rPr>
              <rFont val="Calibri"/>
              <sz val="10"/>
            </rPr>
            <t xml:space="preserve">Allocates people and sets team priorities
</t>
          </r>
          <r>
            <rPr>
              <rFont val="Calibri"/>
              <b val="1"/>
              <sz val="10"/>
            </rPr>
            <t>Common themes in sub-family holders, all levels' answers:</t>
          </r>
          <r>
            <rPr>
              <rFont val="Calibri"/>
              <sz val="10"/>
            </rPr>
            <t xml:space="preserve"> technical · code · approach · implementation · decisions · issues</t>
          </r>
        </is>
      </c>
      <c r="O85" s="9" t="inlineStr">
        <is>
          <t>—</t>
        </is>
      </c>
      <c r="P85" s="9" t="inlineStr">
        <is>
          <t>Java · NET MVC · Debugging · AI · SQL · Technical knowledge · Problem Solving · Python</t>
        </is>
      </c>
      <c r="Q85" s="9" t="inlineStr">
        <is>
          <t>VS code · Visual studio · Claude · Git · Postman · Oracle Database · Copilot · Excel</t>
        </is>
      </c>
      <c r="R85" s="9" t="inlineStr">
        <is>
          <t>Deep domain expertise, or one team</t>
        </is>
      </c>
      <c r="S85" s="9" t="inlineStr">
        <is>
          <t>Hardest problems in the domain</t>
        </is>
      </c>
      <c r="T85" s="9" t="inlineStr">
        <is>
          <t>Allocates people and sets team priorities</t>
        </is>
      </c>
      <c r="U85" s="9" t="inlineStr">
        <is>
          <t>One team or a client portfolio</t>
        </is>
      </c>
      <c r="V85" s="9" t="inlineStr">
        <is>
          <r>
            <rPr>
              <rFont val="Calibri"/>
              <b val="1"/>
              <sz val="10"/>
            </rPr>
            <t>IC:</t>
          </r>
          <r>
            <rPr>
              <rFont val="Calibri"/>
              <sz val="10"/>
            </rPr>
            <t xml:space="preserve"> guides others in the domain · People: manages a team of 6+</t>
          </r>
        </is>
      </c>
      <c r="W85" s="9" t="inlineStr">
        <is>
          <t>6–9 yrs</t>
        </is>
      </c>
      <c r="X85" s="9" t="inlineStr">
        <is>
          <t>Graduate or postgraduate; professional qualification preferred</t>
        </is>
      </c>
      <c r="Y85" s="9" t="inlineStr">
        <is>
          <t>Cloud / language certifications · optional; AWS / Azure architect · optional</t>
        </is>
      </c>
      <c r="Z85" s="9" t="inlineStr">
        <is>
          <r>
            <rPr>
              <rFont val="Calibri"/>
              <b val="1"/>
              <sz val="10"/>
            </rPr>
            <t>IC:</t>
          </r>
          <r>
            <rPr>
              <rFont val="Calibri"/>
              <sz val="10"/>
            </rPr>
            <t xml:space="preserve"> none · People: 6–8 knowledge work, 8–12 standardised delivery</t>
          </r>
        </is>
      </c>
      <c r="AA85" s="9" t="inlineStr">
        <is>
          <t>Core 3 · Future-ready 3 · Functional 4 · Leadership 3</t>
        </is>
      </c>
      <c r="AB85" s="9" t="inlineStr">
        <is>
          <t>Programming &amp; Tech-Stack Depth · System Design &amp; Architecture</t>
        </is>
      </c>
      <c r="AC85" s="9" t="inlineStr">
        <is>
          <t>Database, SQL &amp; Data Engineering · Cloud, DevOps &amp; CI/CD · AI, GenAI &amp; Prompt Engineering · Product, Platform &amp; Domain Knowledge</t>
        </is>
      </c>
      <c r="AD85" s="8" t="inlineStr">
        <is>
          <t>P4 / M3</t>
        </is>
      </c>
      <c r="AE85" s="8" t="inlineStr">
        <is>
          <t>4–5</t>
        </is>
      </c>
      <c r="AF85" s="9" t="inlineStr">
        <is>
          <r>
            <rPr>
              <rFont val="Calibri"/>
              <b val="1"/>
              <sz val="10"/>
            </rPr>
            <t>Workiva:</t>
          </r>
          <r>
            <rPr>
              <rFont val="Calibri"/>
              <sz val="10"/>
            </rPr>
            <t xml:space="preserve"> Senior SE · Broadridge India: Lead SE · Nasdaq / AxiomSL: Senior SE · Salesforce: SMTS</t>
          </r>
        </is>
      </c>
      <c r="AG85" s="9" t="inlineStr">
        <is>
          <t>SFIA 9 · software development, programming; OWASP secure coding; cloud vendor certifications</t>
        </is>
      </c>
      <c r="AH85" s="9" t="inlineStr">
        <is>
          <t>B3 · Lead Specialist</t>
        </is>
      </c>
      <c r="AI85" s="9" t="inlineStr">
        <is>
          <t>AI / automation · Leadership &amp; people management · Technical depth &amp; architecture · Product &amp; tool knowledge · Strategy &amp; business acumen</t>
        </is>
      </c>
      <c r="AJ85" s="9" t="inlineStr">
        <is>
          <t>Advanced Java; secure coding &amp; code-quality practices; unit/automated testing; system design fundamentals | People management: goal-setting &amp; feedback, 1:1 coaching, performance conversations | Leadership development: strategic thinking, cross-functional influence, financial/business acumen, succession &amp; talent development, change management, executive communication</t>
        </is>
      </c>
      <c r="AK85" s="9" t="inlineStr">
        <is>
          <t>Mentoring / guidance from seniors · On-the-job / hands-on · Formal / classroom training · Online courses / self-learning · Knowledge transfer · KT · Certification</t>
        </is>
      </c>
      <c r="AL85" s="9" t="inlineStr">
        <is>
          <t>unclear · requirements · dependencies · ai · dependency</t>
        </is>
      </c>
      <c r="AM85" s="9" t="inlineStr">
        <is>
          <t>better · requirements · documentation · clearer · support</t>
        </is>
      </c>
      <c r="AN85" s="9" t="inlineStr">
        <is>
          <t>50 of 73 say the role is changing because of AI / automation</t>
        </is>
      </c>
      <c r="AO85" s="9" t="inlineStr">
        <is>
          <t>Build and operate software capabilities. Includes: Application code, data/ML engineering and product reliability. Excludes: Product investment decisions; internal IT service desk.</t>
        </is>
      </c>
      <c r="AP85" s="9" t="inlineStr">
        <is>
          <t>LD01-1 · Engineering Manager</t>
        </is>
      </c>
      <c r="AQ85" s="9" t="inlineStr">
        <is>
          <t>Own staffing decisions, performance support, service quality and delegated team resources</t>
        </is>
      </c>
      <c r="AR85" s="9" t="inlineStr">
        <is>
          <t>Do not manufacture three reporting layers. Choose roles the organisation needs. A specialist may remain on an equally valued expert path.</t>
        </is>
      </c>
      <c r="AS85" s="9" t="inlineStr">
        <is>
          <t>—</t>
        </is>
      </c>
      <c r="AT85" s="9" t="inlineStr">
        <is>
          <t>—</t>
        </is>
      </c>
      <c r="AU85" s="19" t="inlineStr">
        <is>
          <t>Framework + sub-family themes · 3+ answered</t>
        </is>
      </c>
      <c r="AV85" s="9" t="inlineStr">
        <is>
          <t>1 holder, 1 answered the survey; sub-family 79 answered</t>
        </is>
      </c>
    </row>
    <row r="86" ht="80" customHeight="1">
      <c r="A86" s="17" t="inlineStr">
        <is>
          <t>RC-071</t>
        </is>
      </c>
      <c r="B86" s="9" t="inlineStr">
        <is>
          <t>Engineering &amp; Development</t>
        </is>
      </c>
      <c r="C86" s="9" t="inlineStr">
        <is>
          <t>Backend Development</t>
        </is>
      </c>
      <c r="D86" s="21" t="inlineStr">
        <is>
          <t>B3</t>
        </is>
      </c>
      <c r="E86" s="22" t="inlineStr">
        <is>
          <t>Lead Specialist</t>
        </is>
      </c>
      <c r="F86" s="9" t="inlineStr">
        <is>
          <t>IC</t>
        </is>
      </c>
      <c r="G86" s="9" t="inlineStr">
        <is>
          <t>Lead Software Engineer · Lead Software Engineer – POD Lead</t>
        </is>
      </c>
      <c r="H86" s="8" t="n">
        <v>3</v>
      </c>
      <c r="I86" s="9" t="inlineStr">
        <is>
          <t>iFile 2 · iDEAL 1</t>
        </is>
      </c>
      <c r="J86" s="9" t="inlineStr">
        <is>
          <t>Builds back-end services, APIs, processing/validation logic and DB code; fixes defects and delivers change requests. At B3: a practice, or several teams through team leads.</t>
        </is>
      </c>
      <c r="K86" s="9" t="inlineStr">
        <is>
          <t>Builds back-end services, APIs, processing/validation logic and DB code; fixes defects and delivers change requests; Sets standards for a practice; cross-team problems; Several teams or a practice</t>
        </is>
      </c>
      <c r="L86" s="9" t="inlineStr">
        <is>
          <r>
            <rPr>
              <rFont val="Calibri"/>
              <sz val="10"/>
            </rPr>
            <t xml:space="preserve">Several teams or a practice
</t>
          </r>
          <r>
            <rPr>
              <rFont val="Calibri"/>
              <b val="1"/>
              <sz val="10"/>
            </rPr>
            <t>Common themes in role-holders' answers:</t>
          </r>
          <r>
            <rPr>
              <rFont val="Calibri"/>
              <sz val="10"/>
            </rPr>
            <t xml:space="preserve"> product</t>
          </r>
        </is>
      </c>
      <c r="M86" s="9" t="inlineStr">
        <is>
          <t>Several teams or a practice</t>
        </is>
      </c>
      <c r="N86" s="9" t="inlineStr">
        <is>
          <t>Commercial / strategic calls for the unit</t>
        </is>
      </c>
      <c r="O86" s="9" t="inlineStr">
        <is>
          <r>
            <rPr>
              <rFont val="Calibri"/>
              <b val="1"/>
              <sz val="10"/>
            </rPr>
            <t>Common themes in manager-set KRAs:</t>
          </r>
          <r>
            <rPr>
              <rFont val="Calibri"/>
              <sz val="10"/>
            </rPr>
            <t xml:space="preserve"> technical · defect · quality · agreed · deliver · reviews</t>
          </r>
        </is>
      </c>
      <c r="P86" s="9" t="inlineStr">
        <is>
          <t>Java · NET MVC</t>
        </is>
      </c>
      <c r="Q86" s="9" t="inlineStr">
        <is>
          <t>—</t>
        </is>
      </c>
      <c r="R86" s="9" t="inlineStr">
        <is>
          <t>A practice, or several teams through team leads</t>
        </is>
      </c>
      <c r="S86" s="9" t="inlineStr">
        <is>
          <t>Sets standards for a practice; cross-team problems</t>
        </is>
      </c>
      <c r="T86" s="9" t="inlineStr">
        <is>
          <t>Commercial / strategic calls for the unit</t>
        </is>
      </c>
      <c r="U86" s="9" t="inlineStr">
        <is>
          <t>Several teams or a practice</t>
        </is>
      </c>
      <c r="V86" s="9" t="inlineStr">
        <is>
          <r>
            <rPr>
              <rFont val="Calibri"/>
              <b val="1"/>
              <sz val="10"/>
            </rPr>
            <t>IC:</t>
          </r>
          <r>
            <rPr>
              <rFont val="Calibri"/>
              <sz val="10"/>
            </rPr>
            <t xml:space="preserve"> leads a practice · People: team leads / managers report in</t>
          </r>
        </is>
      </c>
      <c r="W86" s="9" t="inlineStr">
        <is>
          <t>8–12 yrs</t>
        </is>
      </c>
      <c r="X86" s="9" t="inlineStr">
        <is>
          <t>Postgraduate or professional qualification preferred</t>
        </is>
      </c>
      <c r="Y86" s="9" t="inlineStr">
        <is>
          <t>Cloud / language certifications · optional; AWS / Azure architect · optional</t>
        </is>
      </c>
      <c r="Z86" s="9" t="inlineStr">
        <is>
          <r>
            <rPr>
              <rFont val="Calibri"/>
              <b val="1"/>
              <sz val="10"/>
            </rPr>
            <t>IC:</t>
          </r>
          <r>
            <rPr>
              <rFont val="Calibri"/>
              <sz val="10"/>
            </rPr>
            <t xml:space="preserve"> none · People: 5–8 incl. team leads</t>
          </r>
        </is>
      </c>
      <c r="AA86" s="9" t="inlineStr">
        <is>
          <t>Core 4 · Future-ready 3 · Functional 4 · Leadership 3</t>
        </is>
      </c>
      <c r="AB86" s="9" t="inlineStr">
        <is>
          <t>Programming &amp; Tech-Stack Depth · System Design &amp; Architecture</t>
        </is>
      </c>
      <c r="AC86" s="9" t="inlineStr">
        <is>
          <t>Database, SQL &amp; Data Engineering · Cloud, DevOps &amp; CI/CD · AI, GenAI &amp; Prompt Engineering · Product, Platform &amp; Domain Knowledge</t>
        </is>
      </c>
      <c r="AD86" s="8" t="inlineStr">
        <is>
          <t>P5 / M4</t>
        </is>
      </c>
      <c r="AE86" s="8" t="inlineStr">
        <is>
          <t>5 Ensure, advise</t>
        </is>
      </c>
      <c r="AF86" s="9" t="inlineStr">
        <is>
          <r>
            <rPr>
              <rFont val="Calibri"/>
              <b val="1"/>
              <sz val="10"/>
            </rPr>
            <t>Workiva:</t>
          </r>
          <r>
            <rPr>
              <rFont val="Calibri"/>
              <sz val="10"/>
            </rPr>
            <t xml:space="preserve"> Staff SE · Broadridge India: Senior Lead SE · Nasdaq / AxiomSL: Lead SE · Salesforce: LMTS</t>
          </r>
        </is>
      </c>
      <c r="AG86" s="9" t="inlineStr">
        <is>
          <t>SFIA 9 · software development, programming; OWASP secure coding; cloud vendor certifications</t>
        </is>
      </c>
      <c r="AH86" s="9" t="inlineStr">
        <is>
          <t>C1 · Principal · or B+ · Player-Coach transition step if leading people hands-on</t>
        </is>
      </c>
      <c r="AI86" s="9" t="inlineStr">
        <is>
          <t>AI / automation · Technical depth &amp; architecture · Project / programme management</t>
        </is>
      </c>
      <c r="AJ86" s="9" t="inlineStr">
        <is>
          <t>ai · stakeholder management · architecture · solution · cloud</t>
        </is>
      </c>
      <c r="AK86" s="9" t="inlineStr">
        <is>
          <t>—</t>
        </is>
      </c>
      <c r="AL86" s="9" t="inlineStr">
        <is>
          <t>No common theme</t>
        </is>
      </c>
      <c r="AM86" s="9" t="inlineStr">
        <is>
          <t>No common theme</t>
        </is>
      </c>
      <c r="AN86" s="9" t="inlineStr">
        <is>
          <t>2 of 3 say the role is changing because of AI / automation</t>
        </is>
      </c>
      <c r="AO86" s="9" t="inlineStr">
        <is>
          <t>Build and operate software capabilities. Includes: Application code, data/ML engineering and product reliability. Excludes: Product investment decisions; internal IT service desk.</t>
        </is>
      </c>
      <c r="AP86" s="9" t="inlineStr">
        <is>
          <t>ENG01-4 · Staff Software Engineer</t>
        </is>
      </c>
      <c r="AQ86" s="9" t="inlineStr">
        <is>
          <t>Resolve architecture trade-offs across services and establish adopted standards.</t>
        </is>
      </c>
      <c r="AR86" s="9" t="inlineStr">
        <is>
          <t>Adoption beyond own work; recurring authority and measurable wider outcomes.</t>
        </is>
      </c>
      <c r="AS86" s="9" t="inlineStr">
        <is>
          <t>A service design and implementation with tests, failure handling and measured production behaviour</t>
        </is>
      </c>
      <c r="AT86" s="9" t="inlineStr">
        <is>
          <r>
            <rPr>
              <rFont val="Calibri"/>
              <b val="1"/>
              <sz val="10"/>
            </rPr>
            <t>Regnology:</t>
          </r>
          <r>
            <rPr>
              <rFont val="Calibri"/>
              <sz val="10"/>
            </rPr>
            <t xml:space="preserve"> Senior Software Engineer, Pune · Selected role. Gap: Java role directly supports software delivery and mentoring; full-stack coverage is partial</t>
          </r>
        </is>
      </c>
      <c r="AU86" s="57" t="inlineStr">
        <is>
          <t>Framework only · fewer than 3 answered</t>
        </is>
      </c>
      <c r="AV86" s="9" t="inlineStr">
        <is>
          <t>3 holders, 3 answered the survey; sub-family 79 answered</t>
        </is>
      </c>
    </row>
    <row r="87" ht="119" customHeight="1">
      <c r="A87" s="17" t="inlineStr">
        <is>
          <t>RC-072</t>
        </is>
      </c>
      <c r="B87" s="9" t="inlineStr">
        <is>
          <t>Engineering &amp; Development</t>
        </is>
      </c>
      <c r="C87" s="9" t="inlineStr">
        <is>
          <t>Backend Development</t>
        </is>
      </c>
      <c r="D87" s="21" t="inlineStr">
        <is>
          <t>B3</t>
        </is>
      </c>
      <c r="E87" s="22" t="inlineStr">
        <is>
          <t>Senior Manager</t>
        </is>
      </c>
      <c r="F87" s="9" t="inlineStr">
        <is>
          <t>Manager</t>
        </is>
      </c>
      <c r="G87" s="9" t="inlineStr">
        <is>
          <t>Senior Engineering Manager</t>
        </is>
      </c>
      <c r="H87" s="8" t="n">
        <v>1</v>
      </c>
      <c r="I87" s="9" t="inlineStr">
        <is>
          <t>CARBON 1</t>
        </is>
      </c>
      <c r="J87" s="9" t="inlineStr">
        <is>
          <r>
            <rPr>
              <rFont val="Calibri"/>
              <sz val="10"/>
            </rPr>
            <t xml:space="preserve">Builds back-end services, APIs, processing/validation logic and DB code; fixes defects and delivers change requests. At B3: a practice, or several teams through team leads.
</t>
          </r>
          <r>
            <rPr>
              <rFont val="Calibri"/>
              <b val="1"/>
              <sz val="10"/>
            </rPr>
            <t>Common themes in sub-family holders, all levels' answers:</t>
          </r>
          <r>
            <rPr>
              <rFont val="Calibri"/>
              <sz val="10"/>
            </rPr>
            <t xml:space="preserve"> software · solutions · business · reliable · develop · technical</t>
          </r>
        </is>
      </c>
      <c r="K87" s="9" t="inlineStr">
        <is>
          <r>
            <rPr>
              <rFont val="Calibri"/>
              <sz val="10"/>
            </rPr>
            <t xml:space="preserve">Builds back-end services, APIs, processing/validation logic and DB code; fixes defects and delivers change requests; Sets standards for a practice; cross-team problems; Several teams or a practice
</t>
          </r>
          <r>
            <rPr>
              <rFont val="Calibri"/>
              <b val="1"/>
              <sz val="10"/>
            </rPr>
            <t>Common themes in sub-family holders, all levels' answers:</t>
          </r>
          <r>
            <rPr>
              <rFont val="Calibri"/>
              <sz val="10"/>
            </rPr>
            <t xml:space="preserve"> development · code · quality · technical · support · software</t>
          </r>
        </is>
      </c>
      <c r="L87" s="9" t="inlineStr">
        <is>
          <r>
            <rPr>
              <rFont val="Calibri"/>
              <sz val="10"/>
            </rPr>
            <t xml:space="preserve">Several teams or a practice
</t>
          </r>
          <r>
            <rPr>
              <rFont val="Calibri"/>
              <b val="1"/>
              <sz val="10"/>
            </rPr>
            <t>Common themes in sub-family holders, all levels' answers:</t>
          </r>
          <r>
            <rPr>
              <rFont val="Calibri"/>
              <sz val="10"/>
            </rPr>
            <t xml:space="preserve"> features · software · product · application · support · code</t>
          </r>
        </is>
      </c>
      <c r="M87" s="9" t="inlineStr">
        <is>
          <r>
            <rPr>
              <rFont val="Calibri"/>
              <sz val="10"/>
            </rPr>
            <t xml:space="preserve">Several teams or a practice
</t>
          </r>
          <r>
            <rPr>
              <rFont val="Calibri"/>
              <b val="1"/>
              <sz val="10"/>
            </rPr>
            <t>Common themes in sub-family holders, all levels' answers:</t>
          </r>
          <r>
            <rPr>
              <rFont val="Calibri"/>
              <sz val="10"/>
            </rPr>
            <t xml:space="preserve"> quality · accountable · am · delivery · features · code</t>
          </r>
        </is>
      </c>
      <c r="N87" s="9" t="inlineStr">
        <is>
          <r>
            <rPr>
              <rFont val="Calibri"/>
              <sz val="10"/>
            </rPr>
            <t xml:space="preserve">Commercial / strategic calls for the unit
</t>
          </r>
          <r>
            <rPr>
              <rFont val="Calibri"/>
              <b val="1"/>
              <sz val="10"/>
            </rPr>
            <t>Common themes in sub-family holders, all levels' answers:</t>
          </r>
          <r>
            <rPr>
              <rFont val="Calibri"/>
              <sz val="10"/>
            </rPr>
            <t xml:space="preserve"> technical · code · approach · implementation · decisions · issues</t>
          </r>
        </is>
      </c>
      <c r="O87" s="9" t="inlineStr">
        <is>
          <t>—</t>
        </is>
      </c>
      <c r="P87" s="9" t="inlineStr">
        <is>
          <t>Java · NET MVC · Debugging · AI · SQL · Technical knowledge · Problem Solving · Python</t>
        </is>
      </c>
      <c r="Q87" s="9" t="inlineStr">
        <is>
          <t>VS code · Visual studio · Claude · Git · Postman · Oracle Database · Copilot · Excel</t>
        </is>
      </c>
      <c r="R87" s="9" t="inlineStr">
        <is>
          <t>A practice, or several teams through team leads</t>
        </is>
      </c>
      <c r="S87" s="9" t="inlineStr">
        <is>
          <t>Sets standards for a practice; cross-team problems</t>
        </is>
      </c>
      <c r="T87" s="9" t="inlineStr">
        <is>
          <t>Commercial / strategic calls for the unit</t>
        </is>
      </c>
      <c r="U87" s="9" t="inlineStr">
        <is>
          <t>Several teams or a practice</t>
        </is>
      </c>
      <c r="V87" s="9" t="inlineStr">
        <is>
          <r>
            <rPr>
              <rFont val="Calibri"/>
              <b val="1"/>
              <sz val="10"/>
            </rPr>
            <t>IC:</t>
          </r>
          <r>
            <rPr>
              <rFont val="Calibri"/>
              <sz val="10"/>
            </rPr>
            <t xml:space="preserve"> leads a practice · People: team leads / managers report in</t>
          </r>
        </is>
      </c>
      <c r="W87" s="9" t="inlineStr">
        <is>
          <t>8–12 yrs</t>
        </is>
      </c>
      <c r="X87" s="9" t="inlineStr">
        <is>
          <t>Postgraduate or professional qualification preferred</t>
        </is>
      </c>
      <c r="Y87" s="9" t="inlineStr">
        <is>
          <t>Cloud / language certifications · optional; AWS / Azure architect · optional</t>
        </is>
      </c>
      <c r="Z87" s="9" t="inlineStr">
        <is>
          <r>
            <rPr>
              <rFont val="Calibri"/>
              <b val="1"/>
              <sz val="10"/>
            </rPr>
            <t>IC:</t>
          </r>
          <r>
            <rPr>
              <rFont val="Calibri"/>
              <sz val="10"/>
            </rPr>
            <t xml:space="preserve"> none · People: 5–8 incl. team leads</t>
          </r>
        </is>
      </c>
      <c r="AA87" s="9" t="inlineStr">
        <is>
          <t>Core 4 · Future-ready 3 · Functional 4 · Leadership 4</t>
        </is>
      </c>
      <c r="AB87" s="9" t="inlineStr">
        <is>
          <t>Programming &amp; Tech-Stack Depth · System Design &amp; Architecture</t>
        </is>
      </c>
      <c r="AC87" s="9" t="inlineStr">
        <is>
          <t>Database, SQL &amp; Data Engineering · Cloud, DevOps &amp; CI/CD · AI, GenAI &amp; Prompt Engineering · Product, Platform &amp; Domain Knowledge</t>
        </is>
      </c>
      <c r="AD87" s="8" t="inlineStr">
        <is>
          <t>P5 / M4</t>
        </is>
      </c>
      <c r="AE87" s="8" t="inlineStr">
        <is>
          <t>5 Ensure, advise</t>
        </is>
      </c>
      <c r="AF87" s="9" t="inlineStr">
        <is>
          <r>
            <rPr>
              <rFont val="Calibri"/>
              <b val="1"/>
              <sz val="10"/>
            </rPr>
            <t>Workiva:</t>
          </r>
          <r>
            <rPr>
              <rFont val="Calibri"/>
              <sz val="10"/>
            </rPr>
            <t xml:space="preserve"> Staff SE · Broadridge India: Senior Lead SE · Nasdaq / AxiomSL: Lead SE · Salesforce: LMTS</t>
          </r>
        </is>
      </c>
      <c r="AG87" s="9" t="inlineStr">
        <is>
          <t>SFIA 9 · software development, programming; OWASP secure coding; cloud vendor certifications</t>
        </is>
      </c>
      <c r="AH87" s="9" t="inlineStr">
        <is>
          <t>C1 · Principal · or B+ · Player-Coach transition step if leading people hands-on</t>
        </is>
      </c>
      <c r="AI87" s="9" t="inlineStr">
        <is>
          <t>Leadership &amp; people management · Technical depth &amp; architecture · Domain, regulatory &amp; XBRL · Communication &amp; presentation · Broader exposure &amp; ownership</t>
        </is>
      </c>
      <c r="AJ87" s="9" t="inlineStr">
        <is>
          <t>—</t>
        </is>
      </c>
      <c r="AK87" s="9" t="inlineStr">
        <is>
          <t>Mentoring / guidance from seniors · On-the-job / hands-on · Formal / classroom training · Online courses / self-learning · Knowledge transfer · KT · Certification</t>
        </is>
      </c>
      <c r="AL87" s="9" t="inlineStr">
        <is>
          <t>unclear · requirements · dependencies · ai · dependency</t>
        </is>
      </c>
      <c r="AM87" s="9" t="inlineStr">
        <is>
          <t>better · requirements · documentation · clearer · support</t>
        </is>
      </c>
      <c r="AN87" s="9" t="inlineStr">
        <is>
          <t>50 of 73 say the role is changing because of AI / automation</t>
        </is>
      </c>
      <c r="AO87" s="9" t="inlineStr">
        <is>
          <t>Build and operate software capabilities. Includes: Application code, data/ML engineering and product reliability. Excludes: Product investment decisions; internal IT service desk.</t>
        </is>
      </c>
      <c r="AP87" s="9" t="inlineStr">
        <is>
          <t>LD01-1 · Engineering Manager</t>
        </is>
      </c>
      <c r="AQ87" s="9" t="inlineStr">
        <is>
          <t>Own staffing decisions, performance support, service quality and delegated team resources</t>
        </is>
      </c>
      <c r="AR87" s="9" t="inlineStr">
        <is>
          <t>Do not manufacture three reporting layers. Choose roles the organisation needs. A specialist may remain on an equally valued expert path.</t>
        </is>
      </c>
      <c r="AS87" s="9" t="inlineStr">
        <is>
          <t>—</t>
        </is>
      </c>
      <c r="AT87" s="9" t="inlineStr">
        <is>
          <t>—</t>
        </is>
      </c>
      <c r="AU87" s="19" t="inlineStr">
        <is>
          <t>Framework + sub-family themes · 3+ answered</t>
        </is>
      </c>
      <c r="AV87" s="9" t="inlineStr">
        <is>
          <t>1 holder, 1 answered the survey; sub-family 79 answered</t>
        </is>
      </c>
    </row>
    <row r="88" ht="119" customHeight="1">
      <c r="A88" s="17" t="inlineStr">
        <is>
          <t>RC-073</t>
        </is>
      </c>
      <c r="B88" s="9" t="inlineStr">
        <is>
          <t>Engineering &amp; Development</t>
        </is>
      </c>
      <c r="C88" s="9" t="inlineStr">
        <is>
          <t>Backend Development</t>
        </is>
      </c>
      <c r="D88" s="39" t="inlineStr">
        <is>
          <t>X1</t>
        </is>
      </c>
      <c r="E88" s="40" t="inlineStr">
        <is>
          <t>Associate Consultant</t>
        </is>
      </c>
      <c r="F88" s="9" t="inlineStr">
        <is>
          <t>IC</t>
        </is>
      </c>
      <c r="G88" s="9" t="inlineStr">
        <is>
          <t>Associate Consultant – Software Development</t>
        </is>
      </c>
      <c r="H88" s="8" t="n">
        <v>16</v>
      </c>
      <c r="I88" s="9" t="inlineStr">
        <is>
          <t>iFile 13 · Datatech 3</t>
        </is>
      </c>
      <c r="J88" s="9" t="inlineStr">
        <is>
          <r>
            <rPr>
              <rFont val="Calibri"/>
              <sz val="10"/>
            </rPr>
            <t xml:space="preserve">Builds back-end services, APIs, processing/validation logic and DB code; fixes defects and delivers change requests. At X1: defined deliverables under a statement of work · ≈ A2–A3.
</t>
          </r>
          <r>
            <rPr>
              <rFont val="Calibri"/>
              <b val="1"/>
              <sz val="10"/>
            </rPr>
            <t>Common themes in sub-family holders, all levels' answers:</t>
          </r>
          <r>
            <rPr>
              <rFont val="Calibri"/>
              <sz val="10"/>
            </rPr>
            <t xml:space="preserve"> software · solutions · business · reliable · develop · technical</t>
          </r>
        </is>
      </c>
      <c r="K88" s="9" t="inlineStr">
        <is>
          <r>
            <rPr>
              <rFont val="Calibri"/>
              <sz val="10"/>
            </rPr>
            <t xml:space="preserve">Builds back-end services, APIs, processing/validation logic and DB code; fixes defects and delivers change requests
</t>
          </r>
          <r>
            <rPr>
              <rFont val="Calibri"/>
              <b val="1"/>
              <sz val="10"/>
            </rPr>
            <t>Common themes in sub-family holders, all levels' answers:</t>
          </r>
          <r>
            <rPr>
              <rFont val="Calibri"/>
              <sz val="10"/>
            </rPr>
            <t xml:space="preserve"> development · code · quality · technical · support · software</t>
          </r>
        </is>
      </c>
      <c r="L88" s="9" t="inlineStr">
        <is>
          <r>
            <rPr>
              <rFont val="Calibri"/>
              <sz val="10"/>
            </rPr>
            <t xml:space="preserve">Builds back-end services, APIs, processing/validation logic and DB code; fixes defects and delivers change requests.
</t>
          </r>
          <r>
            <rPr>
              <rFont val="Calibri"/>
              <b val="1"/>
              <sz val="10"/>
            </rPr>
            <t>Common themes in sub-family holders, all levels' answers:</t>
          </r>
          <r>
            <rPr>
              <rFont val="Calibri"/>
              <sz val="10"/>
            </rPr>
            <t xml:space="preserve"> features · software · product · application · support · code</t>
          </r>
        </is>
      </c>
      <c r="M88" s="9" t="inlineStr">
        <is>
          <r>
            <rPr>
              <rFont val="Calibri"/>
              <sz val="10"/>
            </rPr>
            <t xml:space="preserve">Deliverables under the statement of work
</t>
          </r>
          <r>
            <rPr>
              <rFont val="Calibri"/>
              <b val="1"/>
              <sz val="10"/>
            </rPr>
            <t>Common themes in sub-family holders, all levels' answers:</t>
          </r>
          <r>
            <rPr>
              <rFont val="Calibri"/>
              <sz val="10"/>
            </rPr>
            <t xml:space="preserve"> quality · accountable · am · delivery · features · code</t>
          </r>
        </is>
      </c>
      <c r="N88" s="9" t="inlineStr">
        <is>
          <r>
            <rPr>
              <rFont val="Calibri"/>
              <sz val="10"/>
            </rPr>
            <t xml:space="preserve">Within the statement of work
</t>
          </r>
          <r>
            <rPr>
              <rFont val="Calibri"/>
              <b val="1"/>
              <sz val="10"/>
            </rPr>
            <t>Common themes in sub-family holders, all levels' answers:</t>
          </r>
          <r>
            <rPr>
              <rFont val="Calibri"/>
              <sz val="10"/>
            </rPr>
            <t xml:space="preserve"> technical · code · approach · implementation · decisions · issues</t>
          </r>
        </is>
      </c>
      <c r="O88" s="9" t="inlineStr">
        <is>
          <t>—</t>
        </is>
      </c>
      <c r="P88" s="9" t="inlineStr">
        <is>
          <t>Java · NET MVC · Debugging · AI · SQL · Technical knowledge · Problem Solving · Python</t>
        </is>
      </c>
      <c r="Q88" s="9" t="inlineStr">
        <is>
          <t>VS code · Visual studio · Claude · Git · Postman · Oracle Database · Copilot · Excel</t>
        </is>
      </c>
      <c r="R88" s="9" t="inlineStr">
        <is>
          <t>Defined deliverables under a statement of work · ≈ A2–A3</t>
        </is>
      </c>
      <c r="S88" s="9" t="inlineStr">
        <is>
          <t>—</t>
        </is>
      </c>
      <c r="T88" s="9" t="inlineStr">
        <is>
          <t>—</t>
        </is>
      </c>
      <c r="U88" s="9" t="inlineStr">
        <is>
          <t>—</t>
        </is>
      </c>
      <c r="V88" s="9" t="inlineStr">
        <is>
          <t>—</t>
        </is>
      </c>
      <c r="W88" s="9" t="inlineStr">
        <is>
          <t>0–5 yrs</t>
        </is>
      </c>
      <c r="X88" s="9" t="inlineStr">
        <is>
          <t>As for equivalent role</t>
        </is>
      </c>
      <c r="Y88" s="9" t="inlineStr">
        <is>
          <t>Cloud / language certifications · optional; AWS / Azure architect · optional</t>
        </is>
      </c>
      <c r="Z88" s="9" t="inlineStr">
        <is>
          <t>Not counted in spans</t>
        </is>
      </c>
      <c r="AA88" s="9" t="inlineStr">
        <is>
          <t>Per statement of work</t>
        </is>
      </c>
      <c r="AB88" s="9" t="inlineStr">
        <is>
          <t>Programming &amp; Tech-Stack Depth · System Design &amp; Architecture</t>
        </is>
      </c>
      <c r="AC88" s="9" t="inlineStr">
        <is>
          <t>Database, SQL &amp; Data Engineering · Cloud, DevOps &amp; CI/CD · AI, GenAI &amp; Prompt Engineering · Product, Platform &amp; Domain Knowledge</t>
        </is>
      </c>
      <c r="AD88" s="8" t="inlineStr">
        <is>
          <t>Contractor</t>
        </is>
      </c>
      <c r="AE88" s="8" t="inlineStr">
        <is>
          <t>—</t>
        </is>
      </c>
      <c r="AF88" s="9" t="inlineStr">
        <is>
          <t>—</t>
        </is>
      </c>
      <c r="AG88" s="9" t="inlineStr">
        <is>
          <t>SFIA 9 · software development, programming; OWASP secure coding; cloud vendor certifications</t>
        </is>
      </c>
      <c r="AH88" s="9" t="inlineStr">
        <is>
          <t>—</t>
        </is>
      </c>
      <c r="AI88" s="9" t="inlineStr">
        <is>
          <t>—</t>
        </is>
      </c>
      <c r="AJ88" s="9" t="inlineStr">
        <is>
          <t>Reactive Programming/Spring AI/System Design &amp; Pattern</t>
        </is>
      </c>
      <c r="AK88" s="9" t="inlineStr">
        <is>
          <t>Mentoring / guidance from seniors · On-the-job / hands-on · Formal / classroom training · Online courses / self-learning · Knowledge transfer · KT · Certification</t>
        </is>
      </c>
      <c r="AL88" s="9" t="inlineStr">
        <is>
          <t>unclear · requirements · dependencies · ai · dependency</t>
        </is>
      </c>
      <c r="AM88" s="9" t="inlineStr">
        <is>
          <t>better · requirements · documentation · clearer · support</t>
        </is>
      </c>
      <c r="AN88" s="9" t="inlineStr">
        <is>
          <t>50 of 73 say the role is changing because of AI / automation</t>
        </is>
      </c>
      <c r="AO88" s="9" t="inlineStr">
        <is>
          <t>Build and operate software capabilities. Includes: Application code, data/ML engineering and product reliability. Excludes: Product investment decisions; internal IT service desk.</t>
        </is>
      </c>
      <c r="AP88" s="9" t="inlineStr">
        <is>
          <t>—</t>
        </is>
      </c>
      <c r="AQ88" s="9" t="inlineStr">
        <is>
          <t>—</t>
        </is>
      </c>
      <c r="AR88" s="9" t="inlineStr">
        <is>
          <t>—</t>
        </is>
      </c>
      <c r="AS88" s="9" t="inlineStr">
        <is>
          <t>—</t>
        </is>
      </c>
      <c r="AT88" s="9" t="inlineStr">
        <is>
          <t>—</t>
        </is>
      </c>
      <c r="AU88" s="19" t="inlineStr">
        <is>
          <t>Framework + sub-family themes · 3+ answered</t>
        </is>
      </c>
      <c r="AV88" s="9" t="inlineStr">
        <is>
          <t>16 holders, 0 answered the survey; sub-family 79 answered</t>
        </is>
      </c>
    </row>
    <row r="89" ht="106" customHeight="1">
      <c r="A89" s="17" t="inlineStr">
        <is>
          <t>RC-074</t>
        </is>
      </c>
      <c r="B89" s="9" t="inlineStr">
        <is>
          <t>Engineering &amp; Development</t>
        </is>
      </c>
      <c r="C89" s="9" t="inlineStr">
        <is>
          <t>Data Engineering &amp; Database Development</t>
        </is>
      </c>
      <c r="D89" s="18" t="inlineStr">
        <is>
          <t>A3</t>
        </is>
      </c>
      <c r="E89" s="19" t="inlineStr">
        <is>
          <t>Senior Associate</t>
        </is>
      </c>
      <c r="F89" s="9" t="inlineStr">
        <is>
          <t>IC</t>
        </is>
      </c>
      <c r="G89" s="9" t="inlineStr">
        <is>
          <t>Senior Database Engineer · Database Specialist</t>
        </is>
      </c>
      <c r="H89" s="8" t="n">
        <v>6</v>
      </c>
      <c r="I89" s="9" t="inlineStr">
        <is>
          <t>iFile 3 · iDEAL 3</t>
        </is>
      </c>
      <c r="J89" s="9" t="inlineStr">
        <is>
          <r>
            <rPr>
              <rFont val="Calibri"/>
              <sz val="10"/>
            </rPr>
            <t xml:space="preserve">Builds ETL pipelines, data models, stored procedures and data layers. At A3: varied work; reviews juniors; go-to for a process.
</t>
          </r>
          <r>
            <rPr>
              <rFont val="Calibri"/>
              <b val="1"/>
              <sz val="10"/>
            </rPr>
            <t>Common themes in role-holders' answers:</t>
          </r>
          <r>
            <rPr>
              <rFont val="Calibri"/>
              <sz val="10"/>
            </rPr>
            <t xml:space="preserve"> business · support · data · solutions · build · reliable</t>
          </r>
        </is>
      </c>
      <c r="K89" s="9" t="inlineStr">
        <is>
          <r>
            <rPr>
              <rFont val="Calibri"/>
              <sz val="10"/>
            </rPr>
            <t xml:space="preserve">Builds ETL pipelines, data models, stored procedures and data layers; Varied and non-standard work; handles exceptions; A module / process, or work with client or regulatory consequences
</t>
          </r>
          <r>
            <rPr>
              <rFont val="Calibri"/>
              <b val="1"/>
              <sz val="10"/>
            </rPr>
            <t>Common themes in role-holders' answers:</t>
          </r>
          <r>
            <rPr>
              <rFont val="Calibri"/>
              <sz val="10"/>
            </rPr>
            <t xml:space="preserve"> issue · support · development · data · resolution · deployment</t>
          </r>
        </is>
      </c>
      <c r="L89" s="9" t="inlineStr">
        <is>
          <r>
            <rPr>
              <rFont val="Calibri"/>
              <sz val="10"/>
            </rPr>
            <t xml:space="preserve">A module / process, or work with client or regulatory consequences
</t>
          </r>
          <r>
            <rPr>
              <rFont val="Calibri"/>
              <b val="1"/>
              <sz val="10"/>
            </rPr>
            <t>Common themes in role-holders' answers:</t>
          </r>
          <r>
            <rPr>
              <rFont val="Calibri"/>
              <sz val="10"/>
            </rPr>
            <t xml:space="preserve"> deliver · enhancements · solutions · product · data · models</t>
          </r>
        </is>
      </c>
      <c r="M89" s="9" t="inlineStr">
        <is>
          <r>
            <rPr>
              <rFont val="Calibri"/>
              <sz val="10"/>
            </rPr>
            <t xml:space="preserve">A module / process, or work with client or regulatory consequences
</t>
          </r>
          <r>
            <rPr>
              <rFont val="Calibri"/>
              <b val="1"/>
              <sz val="10"/>
            </rPr>
            <t>Common themes in role-holders' answers:</t>
          </r>
          <r>
            <rPr>
              <rFont val="Calibri"/>
              <sz val="10"/>
            </rPr>
            <t xml:space="preserve"> accountable · assigned · quality · solutions · personally · delivery</t>
          </r>
        </is>
      </c>
      <c r="N89" s="9" t="inlineStr">
        <is>
          <r>
            <rPr>
              <rFont val="Calibri"/>
              <sz val="10"/>
            </rPr>
            <t xml:space="preserve">Technical / QC / client calls on own work
</t>
          </r>
          <r>
            <rPr>
              <rFont val="Calibri"/>
              <b val="1"/>
              <sz val="10"/>
            </rPr>
            <t>Common themes in role-holders' answers:</t>
          </r>
          <r>
            <rPr>
              <rFont val="Calibri"/>
              <sz val="10"/>
            </rPr>
            <t xml:space="preserve"> issues · troubleshoot · independently · client · implement · technical</t>
          </r>
        </is>
      </c>
      <c r="O89" s="9" t="inlineStr">
        <is>
          <r>
            <rPr>
              <rFont val="Calibri"/>
              <b val="1"/>
              <sz val="10"/>
            </rPr>
            <t>Common themes in manager-set KRAs:</t>
          </r>
          <r>
            <rPr>
              <rFont val="Calibri"/>
              <sz val="10"/>
            </rPr>
            <t xml:space="preserve"> quality · deliver · project · timely · development · code</t>
          </r>
        </is>
      </c>
      <c r="P89" s="9" t="inlineStr">
        <is>
          <t>Sql · prompt engineering · debugging · ETL · Talend</t>
        </is>
      </c>
      <c r="Q89" s="9" t="inlineStr">
        <is>
          <t>—</t>
        </is>
      </c>
      <c r="R89" s="9" t="inlineStr">
        <is>
          <t>Varied work; reviews juniors; go-to for a process</t>
        </is>
      </c>
      <c r="S89" s="9" t="inlineStr">
        <is>
          <t>Varied and non-standard work; handles exceptions</t>
        </is>
      </c>
      <c r="T89" s="9" t="inlineStr">
        <is>
          <t>Technical / QC / client calls on own work</t>
        </is>
      </c>
      <c r="U89" s="9" t="inlineStr">
        <is>
          <t>A module / process, or work with client or regulatory consequences</t>
        </is>
      </c>
      <c r="V89" s="9" t="inlineStr">
        <is>
          <t>Not scored in Band A</t>
        </is>
      </c>
      <c r="W89" s="9" t="inlineStr">
        <is>
          <t>2–4 yrs</t>
        </is>
      </c>
      <c r="X89" s="9" t="inlineStr">
        <is>
          <t>Graduate; relevant certification preferred</t>
        </is>
      </c>
      <c r="Y89" s="9" t="inlineStr">
        <is>
          <t>Cloud / language certifications · optional; AWS / Azure architect · optional</t>
        </is>
      </c>
      <c r="Z89" s="9" t="inlineStr">
        <is>
          <t>None · guides 1–3 juniors informally</t>
        </is>
      </c>
      <c r="AA89" s="9" t="inlineStr">
        <is>
          <t>Core 2 · Future-ready 2 · Functional 3 · Leadership —</t>
        </is>
      </c>
      <c r="AB89" s="9" t="inlineStr">
        <is>
          <t>Programming &amp; Tech-Stack Depth · System Design &amp; Architecture</t>
        </is>
      </c>
      <c r="AC89" s="9" t="inlineStr">
        <is>
          <t>Database, SQL &amp; Data Engineering · Cloud, DevOps &amp; CI/CD · AI, GenAI &amp; Prompt Engineering · Product, Platform &amp; Domain Knowledge</t>
        </is>
      </c>
      <c r="AD89" s="8" t="inlineStr">
        <is>
          <t>P2</t>
        </is>
      </c>
      <c r="AE89" s="8" t="inlineStr">
        <is>
          <t>3 Apply</t>
        </is>
      </c>
      <c r="AF89" s="9" t="inlineStr">
        <is>
          <r>
            <rPr>
              <rFont val="Calibri"/>
              <b val="1"/>
              <sz val="10"/>
            </rPr>
            <t>Workiva:</t>
          </r>
          <r>
            <rPr>
              <rFont val="Calibri"/>
              <sz val="10"/>
            </rPr>
            <t xml:space="preserve"> SE · Broadridge India: SE · Nasdaq / AxiomSL: SE · Salesforce: MTS</t>
          </r>
        </is>
      </c>
      <c r="AG89" s="9" t="inlineStr">
        <is>
          <t>SFIA 9 · software development, programming; OWASP secure coding; cloud vendor certifications</t>
        </is>
      </c>
      <c r="AH89" s="9" t="inlineStr">
        <is>
          <t>B1 · Specialist</t>
        </is>
      </c>
      <c r="AI89" s="9" t="inlineStr">
        <is>
          <t>Technical depth &amp; architecture · AI / automation · Broader exposure &amp; ownership · Data, SQL &amp; analytics · Product &amp; tool knowledge</t>
        </is>
      </c>
      <c r="AJ89" s="9" t="inlineStr">
        <is>
          <t>ai · utilization · tools · effective · stakeholder management</t>
        </is>
      </c>
      <c r="AK89" s="9" t="inlineStr">
        <is>
          <t>On-the-job / hands-on · Mentoring / guidance from seniors · Online courses / self-learning · Formal / classroom training</t>
        </is>
      </c>
      <c r="AL89" s="9" t="inlineStr">
        <is>
          <t>dependency · access · requirements</t>
        </is>
      </c>
      <c r="AM89" s="9" t="inlineStr">
        <is>
          <t>faster · requirements · access · start · clear</t>
        </is>
      </c>
      <c r="AN89" s="9" t="inlineStr">
        <is>
          <t>3 of 6 say the role is changing because of AI / automation</t>
        </is>
      </c>
      <c r="AO89" s="9" t="inlineStr">
        <is>
          <t>Build and operate software capabilities. Includes: Application code, data/ML engineering and product reliability. Excludes: Product investment decisions; internal IT service desk.</t>
        </is>
      </c>
      <c r="AP89" s="9" t="inlineStr">
        <is>
          <t>ENG05-2 · Data Engineer</t>
        </is>
      </c>
      <c r="AQ89" s="9" t="inlineStr">
        <is>
          <t>Build validated data pipelines with documented schemas.</t>
        </is>
      </c>
      <c r="AR89" s="9" t="inlineStr">
        <is>
          <t>Demonstrate routine delivery plus judgement in bounded exceptions.</t>
        </is>
      </c>
      <c r="AS89" s="9" t="inlineStr">
        <is>
          <t>An idempotent pipeline with lineage, reconciliation and recovery tests</t>
        </is>
      </c>
      <c r="AT89" s="9" t="inlineStr">
        <is>
          <r>
            <rPr>
              <rFont val="Calibri"/>
              <b val="1"/>
              <sz val="10"/>
            </rPr>
            <t>Workiva:</t>
          </r>
          <r>
            <rPr>
              <rFont val="Calibri"/>
              <sz val="10"/>
            </rPr>
            <t xml:space="preserve"> Staff data engineer · Selected role, conflicting indexed versions. Gap: Canonical data-specific extract refreshed; another locale has generic software text for the same requisition</t>
          </r>
        </is>
      </c>
      <c r="AU89" s="22" t="inlineStr">
        <is>
          <t>Framework + role-holders' themes · 3+ answered</t>
        </is>
      </c>
      <c r="AV89" s="9" t="inlineStr">
        <is>
          <t>6 holders, 6 answered the survey; sub-family 7 answered</t>
        </is>
      </c>
    </row>
    <row r="90" ht="93" customHeight="1">
      <c r="A90" s="17" t="inlineStr">
        <is>
          <t>RC-075</t>
        </is>
      </c>
      <c r="B90" s="9" t="inlineStr">
        <is>
          <t>Engineering &amp; Development</t>
        </is>
      </c>
      <c r="C90" s="9" t="inlineStr">
        <is>
          <t>Data Engineering &amp; Database Development</t>
        </is>
      </c>
      <c r="D90" s="21" t="inlineStr">
        <is>
          <t>B1</t>
        </is>
      </c>
      <c r="E90" s="22" t="inlineStr">
        <is>
          <t>Specialist</t>
        </is>
      </c>
      <c r="F90" s="9" t="inlineStr">
        <is>
          <t>IC</t>
        </is>
      </c>
      <c r="G90" s="9" t="inlineStr">
        <is>
          <t>Database Specialist – POD Lead</t>
        </is>
      </c>
      <c r="H90" s="8" t="n">
        <v>1</v>
      </c>
      <c r="I90" s="9" t="inlineStr">
        <is>
          <t>iDEAL 1</t>
        </is>
      </c>
      <c r="J90" s="9" t="inlineStr">
        <is>
          <r>
            <rPr>
              <rFont val="Calibri"/>
              <sz val="10"/>
            </rPr>
            <t xml:space="preserve">Builds ETL pipelines, data models, stored procedures and data layers. At B1: a domain / module, or a small team.
</t>
          </r>
          <r>
            <rPr>
              <rFont val="Calibri"/>
              <b val="1"/>
              <sz val="10"/>
            </rPr>
            <t>Common themes in sub-family holders, all levels' answers:</t>
          </r>
          <r>
            <rPr>
              <rFont val="Calibri"/>
              <sz val="10"/>
            </rPr>
            <t xml:space="preserve"> business · support · data · solutions · build · reliable</t>
          </r>
        </is>
      </c>
      <c r="K90" s="9" t="inlineStr">
        <is>
          <r>
            <rPr>
              <rFont val="Calibri"/>
              <sz val="10"/>
            </rPr>
            <t xml:space="preserve">Builds ETL pipelines, data models, stored procedures and data layers; Domain specialist work; A domain or a small team
</t>
          </r>
          <r>
            <rPr>
              <rFont val="Calibri"/>
              <b val="1"/>
              <sz val="10"/>
            </rPr>
            <t>Common themes in sub-family holders, all levels' answers:</t>
          </r>
          <r>
            <rPr>
              <rFont val="Calibri"/>
              <sz val="10"/>
            </rPr>
            <t xml:space="preserve"> issue · support · development · data · resolution · deployment</t>
          </r>
        </is>
      </c>
      <c r="L90" s="9" t="inlineStr">
        <is>
          <r>
            <rPr>
              <rFont val="Calibri"/>
              <sz val="10"/>
            </rPr>
            <t xml:space="preserve">A domain or a small team
</t>
          </r>
          <r>
            <rPr>
              <rFont val="Calibri"/>
              <b val="1"/>
              <sz val="10"/>
            </rPr>
            <t>Common themes in sub-family holders, all levels' answers:</t>
          </r>
          <r>
            <rPr>
              <rFont val="Calibri"/>
              <sz val="10"/>
            </rPr>
            <t xml:space="preserve"> deliver · enhancements · solutions · product · data · models</t>
          </r>
        </is>
      </c>
      <c r="M90" s="9" t="inlineStr">
        <is>
          <r>
            <rPr>
              <rFont val="Calibri"/>
              <sz val="10"/>
            </rPr>
            <t xml:space="preserve">A domain or a small team
</t>
          </r>
          <r>
            <rPr>
              <rFont val="Calibri"/>
              <b val="1"/>
              <sz val="10"/>
            </rPr>
            <t>Common themes in sub-family holders, all levels' answers:</t>
          </r>
          <r>
            <rPr>
              <rFont val="Calibri"/>
              <sz val="10"/>
            </rPr>
            <t xml:space="preserve"> accountable · am · assigned · quality · solutions · personally</t>
          </r>
        </is>
      </c>
      <c r="N90" s="9" t="inlineStr">
        <is>
          <r>
            <rPr>
              <rFont val="Calibri"/>
              <sz val="10"/>
            </rPr>
            <t xml:space="preserve">Technical / QC / client calls for the domain
</t>
          </r>
          <r>
            <rPr>
              <rFont val="Calibri"/>
              <b val="1"/>
              <sz val="10"/>
            </rPr>
            <t>Common themes in sub-family holders, all levels' answers:</t>
          </r>
          <r>
            <rPr>
              <rFont val="Calibri"/>
              <sz val="10"/>
            </rPr>
            <t xml:space="preserve"> issues · troubleshoot · independently · client · implement · technical</t>
          </r>
        </is>
      </c>
      <c r="O90" s="9" t="inlineStr">
        <is>
          <t>—</t>
        </is>
      </c>
      <c r="P90" s="9" t="inlineStr">
        <is>
          <t>Sql · prompt engineering · debugging · Database · ETL · Talend</t>
        </is>
      </c>
      <c r="Q90" s="9" t="inlineStr">
        <is>
          <t>—</t>
        </is>
      </c>
      <c r="R90" s="9" t="inlineStr">
        <is>
          <t>A domain / module, or a small team</t>
        </is>
      </c>
      <c r="S90" s="9" t="inlineStr">
        <is>
          <t>Domain specialist work</t>
        </is>
      </c>
      <c r="T90" s="9" t="inlineStr">
        <is>
          <t>Technical / QC / client calls for the domain</t>
        </is>
      </c>
      <c r="U90" s="9" t="inlineStr">
        <is>
          <t>A domain or a small team</t>
        </is>
      </c>
      <c r="V90" s="9" t="inlineStr">
        <is>
          <r>
            <rPr>
              <rFont val="Calibri"/>
              <b val="1"/>
              <sz val="10"/>
            </rPr>
            <t>IC:</t>
          </r>
          <r>
            <rPr>
              <rFont val="Calibri"/>
              <sz val="10"/>
            </rPr>
            <t xml:space="preserve"> mentors and reviews · People: hands-on team lead of 3–5</t>
          </r>
        </is>
      </c>
      <c r="W90" s="9" t="inlineStr">
        <is>
          <t>4–7 yrs</t>
        </is>
      </c>
      <c r="X90" s="9" t="inlineStr">
        <is>
          <t>Graduate + relevant qualification or certification preferred</t>
        </is>
      </c>
      <c r="Y90" s="9" t="inlineStr">
        <is>
          <t>Cloud / language certifications · optional; AWS / Azure architect · optional</t>
        </is>
      </c>
      <c r="Z90" s="9" t="inlineStr">
        <is>
          <r>
            <rPr>
              <rFont val="Calibri"/>
              <b val="1"/>
              <sz val="10"/>
            </rPr>
            <t>IC:</t>
          </r>
          <r>
            <rPr>
              <rFont val="Calibri"/>
              <sz val="10"/>
            </rPr>
            <t xml:space="preserve"> none · Team Lead: 3–5</t>
          </r>
        </is>
      </c>
      <c r="AA90" s="9" t="inlineStr">
        <is>
          <t>Core 3 · Future-ready 3 · Functional 3 · Leadership 1</t>
        </is>
      </c>
      <c r="AB90" s="9" t="inlineStr">
        <is>
          <t>Programming &amp; Tech-Stack Depth · System Design &amp; Architecture</t>
        </is>
      </c>
      <c r="AC90" s="9" t="inlineStr">
        <is>
          <t>Database, SQL &amp; Data Engineering · Cloud, DevOps &amp; CI/CD · AI, GenAI &amp; Prompt Engineering · Product, Platform &amp; Domain Knowledge</t>
        </is>
      </c>
      <c r="AD90" s="8" t="inlineStr">
        <is>
          <t>P3 / M2</t>
        </is>
      </c>
      <c r="AE90" s="8" t="inlineStr">
        <is>
          <t>4 Enable</t>
        </is>
      </c>
      <c r="AF90" s="9" t="inlineStr">
        <is>
          <r>
            <rPr>
              <rFont val="Calibri"/>
              <b val="1"/>
              <sz val="10"/>
            </rPr>
            <t>Workiva:</t>
          </r>
          <r>
            <rPr>
              <rFont val="Calibri"/>
              <sz val="10"/>
            </rPr>
            <t xml:space="preserve"> SE / Senior SE · Broadridge India: Senior SE · Nasdaq / AxiomSL: Senior SE · Salesforce: MTS</t>
          </r>
        </is>
      </c>
      <c r="AG90" s="9" t="inlineStr">
        <is>
          <t>SFIA 9 · software development, programming; OWASP secure coding; cloud vendor certifications</t>
        </is>
      </c>
      <c r="AH90" s="9" t="inlineStr">
        <is>
          <t>B2 · Senior Specialist</t>
        </is>
      </c>
      <c r="AI90" s="9" t="inlineStr">
        <is>
          <t>Project / programme management</t>
        </is>
      </c>
      <c r="AJ90" s="9" t="inlineStr">
        <is>
          <t>Training on the effective utilization of AI tools.</t>
        </is>
      </c>
      <c r="AK90" s="9" t="inlineStr">
        <is>
          <t>On-the-job / hands-on · Mentoring / guidance from seniors · Online courses / self-learning · Formal / classroom training</t>
        </is>
      </c>
      <c r="AL90" s="9" t="inlineStr">
        <is>
          <t>dependency · access · requirements</t>
        </is>
      </c>
      <c r="AM90" s="9" t="inlineStr">
        <is>
          <t>faster · requirements · access · start · clear</t>
        </is>
      </c>
      <c r="AN90" s="9" t="inlineStr">
        <is>
          <t>3 of 7 say the role is changing because of AI / automation</t>
        </is>
      </c>
      <c r="AO90" s="9" t="inlineStr">
        <is>
          <t>Build and operate software capabilities. Includes: Application code, data/ML engineering and product reliability. Excludes: Product investment decisions; internal IT service desk.</t>
        </is>
      </c>
      <c r="AP90" s="9" t="inlineStr">
        <is>
          <t>ENG05-3 · Senior Data Engineer</t>
        </is>
      </c>
      <c r="AQ90" s="9" t="inlineStr">
        <is>
          <t>Own lineage, recovery, schema evolution and data contracts.</t>
        </is>
      </c>
      <c r="AR90" s="9" t="inlineStr">
        <is>
          <t>Evidence of complex work, decisions and outcomes beyond routine delivery.</t>
        </is>
      </c>
      <c r="AS90" s="9" t="inlineStr">
        <is>
          <t>An idempotent pipeline with lineage, reconciliation and recovery tests</t>
        </is>
      </c>
      <c r="AT90" s="9" t="inlineStr">
        <is>
          <r>
            <rPr>
              <rFont val="Calibri"/>
              <b val="1"/>
              <sz val="10"/>
            </rPr>
            <t>Workiva:</t>
          </r>
          <r>
            <rPr>
              <rFont val="Calibri"/>
              <sz val="10"/>
            </rPr>
            <t xml:space="preserve"> Staff data engineer · Selected role, conflicting indexed versions. Gap: Canonical data-specific extract refreshed; another locale has generic software text for the same requisition</t>
          </r>
        </is>
      </c>
      <c r="AU90" s="19" t="inlineStr">
        <is>
          <t>Framework + sub-family themes · 3+ answered</t>
        </is>
      </c>
      <c r="AV90" s="9" t="inlineStr">
        <is>
          <t>1 holder, 1 answered the survey; sub-family 7 answered</t>
        </is>
      </c>
    </row>
    <row r="91" ht="158" customHeight="1">
      <c r="A91" s="17" t="inlineStr">
        <is>
          <t>RC-076</t>
        </is>
      </c>
      <c r="B91" s="9" t="inlineStr">
        <is>
          <t>Engineering &amp; Development</t>
        </is>
      </c>
      <c r="C91" s="9" t="inlineStr">
        <is>
          <t>DevOps &amp; Release Engineering</t>
        </is>
      </c>
      <c r="D91" s="18" t="inlineStr">
        <is>
          <t>A3</t>
        </is>
      </c>
      <c r="E91" s="19" t="inlineStr">
        <is>
          <t>Senior Associate</t>
        </is>
      </c>
      <c r="F91" s="9" t="inlineStr">
        <is>
          <t>IC</t>
        </is>
      </c>
      <c r="G91" s="9" t="inlineStr">
        <is>
          <t>Senior DevOps Engineer</t>
        </is>
      </c>
      <c r="H91" s="8" t="n">
        <v>2</v>
      </c>
      <c r="I91" s="9" t="inlineStr">
        <is>
          <t>iFile 1 · Corporate 1</t>
        </is>
      </c>
      <c r="J91" s="9" t="inlineStr">
        <is>
          <r>
            <rPr>
              <rFont val="Calibri"/>
              <sz val="10"/>
            </rPr>
            <t xml:space="preserve">Builds and runs CI/CD pipelines, environments, deployments and release automation. At A3: varied work; reviews juniors; go-to for a process.
</t>
          </r>
          <r>
            <rPr>
              <rFont val="Calibri"/>
              <b val="1"/>
              <sz val="10"/>
            </rPr>
            <t>Common themes in sub-family holders, all levels' answers:</t>
          </r>
          <r>
            <rPr>
              <rFont val="Calibri"/>
              <sz val="10"/>
            </rPr>
            <t xml:space="preserve"> support · devops activities</t>
          </r>
        </is>
      </c>
      <c r="K91" s="9" t="inlineStr">
        <is>
          <t>Builds and runs CI/CD pipelines, environments, deployments and release automation; Varied and non-standard work; handles exceptions; A module / process, or work with client or regulatory consequences</t>
        </is>
      </c>
      <c r="L91" s="9" t="inlineStr">
        <is>
          <t>A module / process, or work with client or regulatory consequences</t>
        </is>
      </c>
      <c r="M91" s="9" t="inlineStr">
        <is>
          <r>
            <rPr>
              <rFont val="Calibri"/>
              <sz val="10"/>
            </rPr>
            <t xml:space="preserve">A module / process, or work with client or regulatory consequences
</t>
          </r>
          <r>
            <rPr>
              <rFont val="Calibri"/>
              <b val="1"/>
              <sz val="10"/>
            </rPr>
            <t>Common themes in sub-family holders, all levels' answers:</t>
          </r>
          <r>
            <rPr>
              <rFont val="Calibri"/>
              <sz val="10"/>
            </rPr>
            <t xml:space="preserve"> application</t>
          </r>
        </is>
      </c>
      <c r="N91" s="9" t="inlineStr">
        <is>
          <t>Technical / QC / client calls on own work</t>
        </is>
      </c>
      <c r="O91" s="9" t="inlineStr">
        <is>
          <t>—</t>
        </is>
      </c>
      <c r="P91" s="9" t="inlineStr">
        <is>
          <t>—</t>
        </is>
      </c>
      <c r="Q91" s="9" t="inlineStr">
        <is>
          <t>—</t>
        </is>
      </c>
      <c r="R91" s="9" t="inlineStr">
        <is>
          <t>Varied work; reviews juniors; go-to for a process</t>
        </is>
      </c>
      <c r="S91" s="9" t="inlineStr">
        <is>
          <t>Varied and non-standard work; handles exceptions</t>
        </is>
      </c>
      <c r="T91" s="9" t="inlineStr">
        <is>
          <t>Technical / QC / client calls on own work</t>
        </is>
      </c>
      <c r="U91" s="9" t="inlineStr">
        <is>
          <t>A module / process, or work with client or regulatory consequences</t>
        </is>
      </c>
      <c r="V91" s="9" t="inlineStr">
        <is>
          <t>Not scored in Band A</t>
        </is>
      </c>
      <c r="W91" s="9" t="inlineStr">
        <is>
          <t>2–4 yrs</t>
        </is>
      </c>
      <c r="X91" s="9" t="inlineStr">
        <is>
          <t>Graduate; relevant certification preferred</t>
        </is>
      </c>
      <c r="Y91" s="9" t="inlineStr">
        <is>
          <t>Cloud / language certifications · optional; AWS / Azure architect · optional</t>
        </is>
      </c>
      <c r="Z91" s="9" t="inlineStr">
        <is>
          <t>None · guides 1–3 juniors informally</t>
        </is>
      </c>
      <c r="AA91" s="9" t="inlineStr">
        <is>
          <t>Core 2 · Future-ready 2 · Functional 3 · Leadership —</t>
        </is>
      </c>
      <c r="AB91" s="9" t="inlineStr">
        <is>
          <t>Programming &amp; Tech-Stack Depth · System Design &amp; Architecture</t>
        </is>
      </c>
      <c r="AC91" s="9" t="inlineStr">
        <is>
          <t>Database, SQL &amp; Data Engineering · Cloud, DevOps &amp; CI/CD · AI, GenAI &amp; Prompt Engineering · Product, Platform &amp; Domain Knowledge</t>
        </is>
      </c>
      <c r="AD91" s="8" t="inlineStr">
        <is>
          <t>P2</t>
        </is>
      </c>
      <c r="AE91" s="8" t="inlineStr">
        <is>
          <t>3 Apply</t>
        </is>
      </c>
      <c r="AF91" s="9" t="inlineStr">
        <is>
          <r>
            <rPr>
              <rFont val="Calibri"/>
              <b val="1"/>
              <sz val="10"/>
            </rPr>
            <t>Workiva:</t>
          </r>
          <r>
            <rPr>
              <rFont val="Calibri"/>
              <sz val="10"/>
            </rPr>
            <t xml:space="preserve"> SE · Broadridge India: SE · Nasdaq / AxiomSL: SE · Salesforce: MTS</t>
          </r>
        </is>
      </c>
      <c r="AG91" s="9" t="inlineStr">
        <is>
          <t>SFIA 9 · software development, programming; OWASP secure coding; cloud vendor certifications</t>
        </is>
      </c>
      <c r="AH91" s="9" t="inlineStr">
        <is>
          <t>B1 · Specialist</t>
        </is>
      </c>
      <c r="AI91" s="9" t="inlineStr">
        <is>
          <t>Technical depth &amp; architecture · Product &amp; tool knowledge · AI / automation</t>
        </is>
      </c>
      <c r="AJ91" s="9" t="inlineStr">
        <is>
          <t>Advanced Software Deployment; secure coding &amp; code-quality practices; unit/automated testing; system design fundamentals | Transition to leadership: people management &amp; delegation, mentoring/coaching, project ownership &amp; stakeholder management, prioritisation under ambiguity, presentation &amp; influence skills</t>
        </is>
      </c>
      <c r="AK91" s="9" t="inlineStr">
        <is>
          <t>On-the-job / hands-on · Mentoring / guidance from seniors</t>
        </is>
      </c>
      <c r="AL91" s="9" t="inlineStr">
        <is>
          <t>No common theme</t>
        </is>
      </c>
      <c r="AM91" s="9" t="inlineStr">
        <is>
          <t>No common theme</t>
        </is>
      </c>
      <c r="AN91" s="9" t="inlineStr">
        <is>
          <t>1 of 3 say the role is changing because of AI / automation</t>
        </is>
      </c>
      <c r="AO91" s="9" t="inlineStr">
        <is>
          <t>Build and operate software capabilities. Includes: Application code, data/ML engineering and product reliability. Excludes: Product investment decisions; internal IT service desk.</t>
        </is>
      </c>
      <c r="AP91" s="9" t="inlineStr">
        <is>
          <t>ENG07-2 · DevOps Engineer / Release Engineer</t>
        </is>
      </c>
      <c r="AQ91" s="9" t="inlineStr">
        <is>
          <t>Run repeatable releases with tested rollback procedures.</t>
        </is>
      </c>
      <c r="AR91" s="9" t="inlineStr">
        <is>
          <t>Demonstrate routine delivery plus judgement in bounded exceptions.</t>
        </is>
      </c>
      <c r="AS91" s="9" t="inlineStr">
        <is>
          <t>A reproducible release pipeline with security gates, rollback and reliability measures</t>
        </is>
      </c>
      <c r="AT91" s="9" t="inlineStr">
        <is>
          <r>
            <rPr>
              <rFont val="Calibri"/>
              <b val="1"/>
              <sz val="10"/>
            </rPr>
            <t>Regnology:</t>
          </r>
          <r>
            <rPr>
              <rFont val="Calibri"/>
              <sz val="10"/>
            </rPr>
            <t xml:space="preserve"> Release Engineer, Pune · Selected role. Gap: Strong release scope; DevOps and platform extensions remain design choices</t>
          </r>
        </is>
      </c>
      <c r="AU91" s="19" t="inlineStr">
        <is>
          <t>Framework + sub-family themes · 3+ answered</t>
        </is>
      </c>
      <c r="AV91" s="9" t="inlineStr">
        <is>
          <t>2 holders, 2 answered the survey; sub-family 3 answered</t>
        </is>
      </c>
    </row>
    <row r="92" ht="80" customHeight="1">
      <c r="A92" s="17" t="inlineStr">
        <is>
          <t>RC-077</t>
        </is>
      </c>
      <c r="B92" s="9" t="inlineStr">
        <is>
          <t>Engineering &amp; Development</t>
        </is>
      </c>
      <c r="C92" s="9" t="inlineStr">
        <is>
          <t>DevOps &amp; Release Engineering</t>
        </is>
      </c>
      <c r="D92" s="21" t="inlineStr">
        <is>
          <t>B1</t>
        </is>
      </c>
      <c r="E92" s="22" t="inlineStr">
        <is>
          <t>Specialist</t>
        </is>
      </c>
      <c r="F92" s="9" t="inlineStr">
        <is>
          <t>IC</t>
        </is>
      </c>
      <c r="G92" s="9" t="inlineStr">
        <is>
          <t>DevOps Specialist – POD Lead</t>
        </is>
      </c>
      <c r="H92" s="8" t="n">
        <v>1</v>
      </c>
      <c r="I92" s="9" t="inlineStr">
        <is>
          <t>CARBON 1</t>
        </is>
      </c>
      <c r="J92" s="9" t="inlineStr">
        <is>
          <r>
            <rPr>
              <rFont val="Calibri"/>
              <sz val="10"/>
            </rPr>
            <t xml:space="preserve">Builds and runs CI/CD pipelines, environments, deployments and release automation. At B1: a domain / module, or a small team.
</t>
          </r>
          <r>
            <rPr>
              <rFont val="Calibri"/>
              <b val="1"/>
              <sz val="10"/>
            </rPr>
            <t>Common themes in sub-family holders, all levels' answers:</t>
          </r>
          <r>
            <rPr>
              <rFont val="Calibri"/>
              <sz val="10"/>
            </rPr>
            <t xml:space="preserve"> support · devops activities</t>
          </r>
        </is>
      </c>
      <c r="K92" s="9" t="inlineStr">
        <is>
          <t>Builds and runs CI/CD pipelines, environments, deployments and release automation; Domain specialist work; A domain or a small team</t>
        </is>
      </c>
      <c r="L92" s="9" t="inlineStr">
        <is>
          <t>A domain or a small team</t>
        </is>
      </c>
      <c r="M92" s="9" t="inlineStr">
        <is>
          <r>
            <rPr>
              <rFont val="Calibri"/>
              <sz val="10"/>
            </rPr>
            <t xml:space="preserve">A domain or a small team
</t>
          </r>
          <r>
            <rPr>
              <rFont val="Calibri"/>
              <b val="1"/>
              <sz val="10"/>
            </rPr>
            <t>Common themes in sub-family holders, all levels' answers:</t>
          </r>
          <r>
            <rPr>
              <rFont val="Calibri"/>
              <sz val="10"/>
            </rPr>
            <t xml:space="preserve"> application</t>
          </r>
        </is>
      </c>
      <c r="N92" s="9" t="inlineStr">
        <is>
          <t>Technical / QC / client calls for the domain</t>
        </is>
      </c>
      <c r="O92" s="9" t="inlineStr">
        <is>
          <t>—</t>
        </is>
      </c>
      <c r="P92" s="9" t="inlineStr">
        <is>
          <t>—</t>
        </is>
      </c>
      <c r="Q92" s="9" t="inlineStr">
        <is>
          <t>—</t>
        </is>
      </c>
      <c r="R92" s="9" t="inlineStr">
        <is>
          <t>A domain / module, or a small team</t>
        </is>
      </c>
      <c r="S92" s="9" t="inlineStr">
        <is>
          <t>Domain specialist work</t>
        </is>
      </c>
      <c r="T92" s="9" t="inlineStr">
        <is>
          <t>Technical / QC / client calls for the domain</t>
        </is>
      </c>
      <c r="U92" s="9" t="inlineStr">
        <is>
          <t>A domain or a small team</t>
        </is>
      </c>
      <c r="V92" s="9" t="inlineStr">
        <is>
          <r>
            <rPr>
              <rFont val="Calibri"/>
              <b val="1"/>
              <sz val="10"/>
            </rPr>
            <t>IC:</t>
          </r>
          <r>
            <rPr>
              <rFont val="Calibri"/>
              <sz val="10"/>
            </rPr>
            <t xml:space="preserve"> mentors and reviews · People: hands-on team lead of 3–5</t>
          </r>
        </is>
      </c>
      <c r="W92" s="9" t="inlineStr">
        <is>
          <t>4–7 yrs</t>
        </is>
      </c>
      <c r="X92" s="9" t="inlineStr">
        <is>
          <t>Graduate + relevant qualification or certification preferred</t>
        </is>
      </c>
      <c r="Y92" s="9" t="inlineStr">
        <is>
          <t>Cloud / language certifications · optional; AWS / Azure architect · optional</t>
        </is>
      </c>
      <c r="Z92" s="9" t="inlineStr">
        <is>
          <r>
            <rPr>
              <rFont val="Calibri"/>
              <b val="1"/>
              <sz val="10"/>
            </rPr>
            <t>IC:</t>
          </r>
          <r>
            <rPr>
              <rFont val="Calibri"/>
              <sz val="10"/>
            </rPr>
            <t xml:space="preserve"> none · Team Lead: 3–5</t>
          </r>
        </is>
      </c>
      <c r="AA92" s="9" t="inlineStr">
        <is>
          <t>Core 3 · Future-ready 3 · Functional 3 · Leadership 1</t>
        </is>
      </c>
      <c r="AB92" s="9" t="inlineStr">
        <is>
          <t>Programming &amp; Tech-Stack Depth · System Design &amp; Architecture</t>
        </is>
      </c>
      <c r="AC92" s="9" t="inlineStr">
        <is>
          <t>Database, SQL &amp; Data Engineering · Cloud, DevOps &amp; CI/CD · AI, GenAI &amp; Prompt Engineering · Product, Platform &amp; Domain Knowledge</t>
        </is>
      </c>
      <c r="AD92" s="8" t="inlineStr">
        <is>
          <t>P3 / M2</t>
        </is>
      </c>
      <c r="AE92" s="8" t="inlineStr">
        <is>
          <t>4 Enable</t>
        </is>
      </c>
      <c r="AF92" s="9" t="inlineStr">
        <is>
          <r>
            <rPr>
              <rFont val="Calibri"/>
              <b val="1"/>
              <sz val="10"/>
            </rPr>
            <t>Workiva:</t>
          </r>
          <r>
            <rPr>
              <rFont val="Calibri"/>
              <sz val="10"/>
            </rPr>
            <t xml:space="preserve"> SE / Senior SE · Broadridge India: Senior SE · Nasdaq / AxiomSL: Senior SE · Salesforce: MTS</t>
          </r>
        </is>
      </c>
      <c r="AG92" s="9" t="inlineStr">
        <is>
          <t>SFIA 9 · software development, programming; OWASP secure coding; cloud vendor certifications</t>
        </is>
      </c>
      <c r="AH92" s="9" t="inlineStr">
        <is>
          <t>B2 · Senior Specialist</t>
        </is>
      </c>
      <c r="AI92" s="9" t="inlineStr">
        <is>
          <t>AI / automation · Technical depth &amp; architecture · Broader exposure &amp; ownership</t>
        </is>
      </c>
      <c r="AJ92" s="9" t="inlineStr">
        <is>
          <t>—</t>
        </is>
      </c>
      <c r="AK92" s="9" t="inlineStr">
        <is>
          <t>On-the-job / hands-on · Mentoring / guidance from seniors</t>
        </is>
      </c>
      <c r="AL92" s="9" t="inlineStr">
        <is>
          <t>No common theme</t>
        </is>
      </c>
      <c r="AM92" s="9" t="inlineStr">
        <is>
          <t>No common theme</t>
        </is>
      </c>
      <c r="AN92" s="9" t="inlineStr">
        <is>
          <t>1 of 3 say the role is changing because of AI / automation</t>
        </is>
      </c>
      <c r="AO92" s="9" t="inlineStr">
        <is>
          <t>Build and operate software capabilities. Includes: Application code, data/ML engineering and product reliability. Excludes: Product investment decisions; internal IT service desk.</t>
        </is>
      </c>
      <c r="AP92" s="9" t="inlineStr">
        <is>
          <t>ENG07-3 · Senior DevOps Engineer</t>
        </is>
      </c>
      <c r="AQ92" s="9" t="inlineStr">
        <is>
          <t>Coordinate dependencies and release-risk decisions across teams.</t>
        </is>
      </c>
      <c r="AR92" s="9" t="inlineStr">
        <is>
          <t>Evidence of complex work, decisions and outcomes beyond routine delivery.</t>
        </is>
      </c>
      <c r="AS92" s="9" t="inlineStr">
        <is>
          <t>A reproducible release pipeline with security gates, rollback and reliability measures</t>
        </is>
      </c>
      <c r="AT92" s="9" t="inlineStr">
        <is>
          <r>
            <rPr>
              <rFont val="Calibri"/>
              <b val="1"/>
              <sz val="10"/>
            </rPr>
            <t>Regnology:</t>
          </r>
          <r>
            <rPr>
              <rFont val="Calibri"/>
              <sz val="10"/>
            </rPr>
            <t xml:space="preserve"> Release Engineer, Pune · Selected role. Gap: Strong release scope; DevOps and platform extensions remain design choices</t>
          </r>
        </is>
      </c>
      <c r="AU92" s="19" t="inlineStr">
        <is>
          <t>Framework + sub-family themes · 3+ answered</t>
        </is>
      </c>
      <c r="AV92" s="9" t="inlineStr">
        <is>
          <t>1 holder, 1 answered the survey; sub-family 3 answered</t>
        </is>
      </c>
    </row>
    <row r="93" ht="80" customHeight="1">
      <c r="A93" s="17" t="inlineStr">
        <is>
          <t>RC-078</t>
        </is>
      </c>
      <c r="B93" s="9" t="inlineStr">
        <is>
          <t>Engineering &amp; Development</t>
        </is>
      </c>
      <c r="C93" s="9" t="inlineStr">
        <is>
          <t>Engineering Leadership</t>
        </is>
      </c>
      <c r="D93" s="27" t="inlineStr">
        <is>
          <t>C2</t>
        </is>
      </c>
      <c r="E93" s="28" t="inlineStr">
        <is>
          <t>Head of Function</t>
        </is>
      </c>
      <c r="F93" s="9" t="inlineStr">
        <is>
          <t>Manager</t>
        </is>
      </c>
      <c r="G93" s="9" t="inlineStr">
        <is>
          <t>Head – Product Engineering</t>
        </is>
      </c>
      <c r="H93" s="8" t="n">
        <v>1</v>
      </c>
      <c r="I93" s="9" t="inlineStr">
        <is>
          <t>CARBON 1</t>
        </is>
      </c>
      <c r="J93" s="9" t="inlineStr">
        <is>
          <t>Leads the product engineering organisation. At C2: a function or department, or a company-wide discipline.</t>
        </is>
      </c>
      <c r="K93" s="9" t="inlineStr">
        <is>
          <t>Leads the product engineering organisation; Function-wide or company-wide problems; creates methods and standards; Function results, budget and risk</t>
        </is>
      </c>
      <c r="L93" s="9" t="inlineStr">
        <is>
          <t>Function results, budget and risk</t>
        </is>
      </c>
      <c r="M93" s="9" t="inlineStr">
        <is>
          <t>Function results, budget and risk</t>
        </is>
      </c>
      <c r="N93" s="9" t="inlineStr">
        <is>
          <t>Sets direction for a function</t>
        </is>
      </c>
      <c r="O93" s="9" t="inlineStr">
        <is>
          <t>—</t>
        </is>
      </c>
      <c r="P93" s="9" t="inlineStr">
        <is>
          <t>—</t>
        </is>
      </c>
      <c r="Q93" s="9" t="inlineStr">
        <is>
          <t>—</t>
        </is>
      </c>
      <c r="R93" s="9" t="inlineStr">
        <is>
          <t>A function or department, or a company-wide discipline</t>
        </is>
      </c>
      <c r="S93" s="9" t="inlineStr">
        <is>
          <t>Function-wide or company-wide problems; creates methods and standards</t>
        </is>
      </c>
      <c r="T93" s="9" t="inlineStr">
        <is>
          <t>Sets direction for a function</t>
        </is>
      </c>
      <c r="U93" s="9" t="inlineStr">
        <is>
          <t>Function results, budget and risk</t>
        </is>
      </c>
      <c r="V93" s="9" t="inlineStr">
        <is>
          <t>Leads a function; shapes functional strategy</t>
        </is>
      </c>
      <c r="W93" s="9" t="inlineStr">
        <is>
          <t>12–17 yrs</t>
        </is>
      </c>
      <c r="X93" s="9" t="inlineStr">
        <is>
          <t>Postgraduate / professional qualification preferred</t>
        </is>
      </c>
      <c r="Y93" s="9" t="inlineStr">
        <is>
          <t>Cloud / language certifications · optional; AWS / Azure architect · optional</t>
        </is>
      </c>
      <c r="Z93" s="9" t="inlineStr">
        <is>
          <t>5–8 managers / associate heads</t>
        </is>
      </c>
      <c r="AA93" s="9" t="inlineStr">
        <is>
          <t>Core 4 · Future-ready 4 · Functional 5 · Leadership 4</t>
        </is>
      </c>
      <c r="AB93" s="9" t="inlineStr">
        <is>
          <t>Programming &amp; Tech-Stack Depth · System Design &amp; Architecture</t>
        </is>
      </c>
      <c r="AC93" s="9" t="inlineStr">
        <is>
          <t>Database, SQL &amp; Data Engineering · Cloud, DevOps &amp; CI/CD · AI, GenAI &amp; Prompt Engineering · Product, Platform &amp; Domain Knowledge</t>
        </is>
      </c>
      <c r="AD93" s="8" t="inlineStr">
        <is>
          <t>P7 / M6</t>
        </is>
      </c>
      <c r="AE93" s="8" t="inlineStr">
        <is>
          <t>6 Initiate, influence</t>
        </is>
      </c>
      <c r="AF93" s="9" t="inlineStr">
        <is>
          <r>
            <rPr>
              <rFont val="Calibri"/>
              <b val="1"/>
              <sz val="10"/>
            </rPr>
            <t>Salesforce:</t>
          </r>
          <r>
            <rPr>
              <rFont val="Calibri"/>
              <sz val="10"/>
            </rPr>
            <t xml:space="preserve"> Architect / Principal Architect · Atlassian: P70 · Freshworks: Principal Engineer · IRIS Vs Competitor Benchmark — engineering managers: Director Engineering</t>
          </r>
        </is>
      </c>
      <c r="AG93" s="9" t="inlineStr">
        <is>
          <t>SFIA 9 · software development, programming; OWASP secure coding; cloud vendor certifications</t>
        </is>
      </c>
      <c r="AH93" s="9" t="inlineStr">
        <is>
          <t>D1 · Chief Specialist / Distinguished Principal · or C+ · Player-Coach transition step if leading people hands-on</t>
        </is>
      </c>
      <c r="AI93" s="9" t="inlineStr">
        <is>
          <t>—</t>
        </is>
      </c>
      <c r="AJ93" s="9" t="inlineStr">
        <is>
          <t>—</t>
        </is>
      </c>
      <c r="AK93" s="9" t="inlineStr">
        <is>
          <t>—</t>
        </is>
      </c>
      <c r="AL93" s="9" t="inlineStr">
        <is>
          <t>—</t>
        </is>
      </c>
      <c r="AM93" s="9" t="inlineStr">
        <is>
          <t>—</t>
        </is>
      </c>
      <c r="AN93" s="9" t="inlineStr">
        <is>
          <t>—</t>
        </is>
      </c>
      <c r="AO93" s="9" t="inlineStr">
        <is>
          <t>Build and operate software capabilities. Includes: Application code, data/ML engineering and product reliability. Excludes: Product investment decisions; internal IT service desk.</t>
        </is>
      </c>
      <c r="AP93" s="9" t="inlineStr">
        <is>
          <t>LD01-2 · Director / Head of Engineering</t>
        </is>
      </c>
      <c r="AQ93" s="9" t="inlineStr">
        <is>
          <t>Own integrated function strategy, capacity, controls and cross-team trade-offs</t>
        </is>
      </c>
      <c r="AR93" s="9" t="inlineStr">
        <is>
          <t>Do not manufacture three reporting layers. Choose roles the organisation needs. A specialist may remain on an equally valued expert path.</t>
        </is>
      </c>
      <c r="AS93" s="9" t="inlineStr">
        <is>
          <t>—</t>
        </is>
      </c>
      <c r="AT93" s="9" t="inlineStr">
        <is>
          <t>—</t>
        </is>
      </c>
      <c r="AU93" s="57" t="inlineStr">
        <is>
          <t>Framework only · fewer than 3 answered</t>
        </is>
      </c>
      <c r="AV93" s="9" t="inlineStr">
        <is>
          <t>1 holder, 0 answered the survey; sub-family 0 answered</t>
        </is>
      </c>
    </row>
    <row r="94" ht="106" customHeight="1">
      <c r="A94" s="17" t="inlineStr">
        <is>
          <t>RC-079</t>
        </is>
      </c>
      <c r="B94" s="9" t="inlineStr">
        <is>
          <t>Engineering &amp; Development</t>
        </is>
      </c>
      <c r="C94" s="9" t="inlineStr">
        <is>
          <t>Front-End / UI Development</t>
        </is>
      </c>
      <c r="D94" s="18" t="inlineStr">
        <is>
          <t>A1</t>
        </is>
      </c>
      <c r="E94" s="19" t="inlineStr">
        <is>
          <t>Intern / Trainee</t>
        </is>
      </c>
      <c r="F94" s="9" t="inlineStr">
        <is>
          <t>IC</t>
        </is>
      </c>
      <c r="G94" s="9" t="inlineStr">
        <is>
          <t>Intern – Front-End / UI Development</t>
        </is>
      </c>
      <c r="H94" s="8" t="n">
        <v>1</v>
      </c>
      <c r="I94" s="9" t="inlineStr">
        <is>
          <t>iFile 1</t>
        </is>
      </c>
      <c r="J94" s="9" t="inlineStr">
        <is>
          <r>
            <rPr>
              <rFont val="Calibri"/>
              <sz val="10"/>
            </rPr>
            <t xml:space="preserve">Builds user interfaces and reusable UI components. At A1: learning the role; all work reviewed.
</t>
          </r>
          <r>
            <rPr>
              <rFont val="Calibri"/>
              <b val="1"/>
              <sz val="10"/>
            </rPr>
            <t>Common themes in sub-family holders, all levels' answers:</t>
          </r>
          <r>
            <rPr>
              <rFont val="Calibri"/>
              <sz val="10"/>
            </rPr>
            <t xml:space="preserve"> core · purpose · business · improve · development · solutions</t>
          </r>
        </is>
      </c>
      <c r="K94" s="9" t="inlineStr">
        <is>
          <r>
            <rPr>
              <rFont val="Calibri"/>
              <sz val="10"/>
            </rPr>
            <t xml:space="preserve">Builds user interfaces and reusable UI components; Learning; follows worked examples; Learning tasks
</t>
          </r>
          <r>
            <rPr>
              <rFont val="Calibri"/>
              <b val="1"/>
              <sz val="10"/>
            </rPr>
            <t>Common themes in sub-family holders, all levels' answers:</t>
          </r>
          <r>
            <rPr>
              <rFont val="Calibri"/>
              <sz val="10"/>
            </rPr>
            <t xml:space="preserve"> ui · code · feature · development · design · testing</t>
          </r>
        </is>
      </c>
      <c r="L94" s="9" t="inlineStr">
        <is>
          <r>
            <rPr>
              <rFont val="Calibri"/>
              <sz val="10"/>
            </rPr>
            <t xml:space="preserve">Learning tasks
</t>
          </r>
          <r>
            <rPr>
              <rFont val="Calibri"/>
              <b val="1"/>
              <sz val="10"/>
            </rPr>
            <t>Common themes in sub-family holders, all levels' answers:</t>
          </r>
          <r>
            <rPr>
              <rFont val="Calibri"/>
              <sz val="10"/>
            </rPr>
            <t xml:space="preserve"> features · user · app · ui · quality · software</t>
          </r>
        </is>
      </c>
      <c r="M94" s="9" t="inlineStr">
        <is>
          <r>
            <rPr>
              <rFont val="Calibri"/>
              <sz val="10"/>
            </rPr>
            <t xml:space="preserve">Learning tasks
</t>
          </r>
          <r>
            <rPr>
              <rFont val="Calibri"/>
              <b val="1"/>
              <sz val="10"/>
            </rPr>
            <t>Common themes in sub-family holders, all levels' answers:</t>
          </r>
          <r>
            <rPr>
              <rFont val="Calibri"/>
              <sz val="10"/>
            </rPr>
            <t xml:space="preserve"> accountable · quality · development · am · reliability · personally</t>
          </r>
        </is>
      </c>
      <c r="N94" s="9" t="inlineStr">
        <is>
          <r>
            <rPr>
              <rFont val="Calibri"/>
              <sz val="10"/>
            </rPr>
            <t xml:space="preserve">Needs approval / close guidance
</t>
          </r>
          <r>
            <rPr>
              <rFont val="Calibri"/>
              <b val="1"/>
              <sz val="10"/>
            </rPr>
            <t>Common themes in sub-family holders, all levels' answers:</t>
          </r>
          <r>
            <rPr>
              <rFont val="Calibri"/>
              <sz val="10"/>
            </rPr>
            <t xml:space="preserve"> decide · code · ui · decisions · implement</t>
          </r>
        </is>
      </c>
      <c r="O94" s="9" t="inlineStr">
        <is>
          <t>—</t>
        </is>
      </c>
      <c r="P94" s="9" t="inlineStr">
        <is>
          <t>Angular · UI · React · Full stack development · Angular + Node.js</t>
        </is>
      </c>
      <c r="Q94" s="9" t="inlineStr">
        <is>
          <t>Vs code · visual studio · VsCode</t>
        </is>
      </c>
      <c r="R94" s="9" t="inlineStr">
        <is>
          <t>Learning the role; all work reviewed</t>
        </is>
      </c>
      <c r="S94" s="9" t="inlineStr">
        <is>
          <t>Learning; follows worked examples</t>
        </is>
      </c>
      <c r="T94" s="9" t="inlineStr">
        <is>
          <t>Needs approval / close guidance</t>
        </is>
      </c>
      <c r="U94" s="9" t="inlineStr">
        <is>
          <t>Learning tasks</t>
        </is>
      </c>
      <c r="V94" s="9" t="inlineStr">
        <is>
          <t>Not scored in Band A</t>
        </is>
      </c>
      <c r="W94" s="9" t="inlineStr">
        <is>
          <t>0 yrs · fresher / intern</t>
        </is>
      </c>
      <c r="X94" s="9" t="inlineStr">
        <is>
          <t>Pursuing or completed graduation / diploma</t>
        </is>
      </c>
      <c r="Y94" s="9" t="inlineStr">
        <is>
          <t>Cloud / language certifications · optional; AWS / Azure architect · optional</t>
        </is>
      </c>
      <c r="Z94" s="9" t="inlineStr">
        <is>
          <t>No direct reports</t>
        </is>
      </c>
      <c r="AA94" s="9" t="inlineStr">
        <is>
          <t>Core 1 · Future-ready 1 · Functional 1 · Leadership —</t>
        </is>
      </c>
      <c r="AB94" s="9" t="inlineStr">
        <is>
          <t>Programming &amp; Tech-Stack Depth · System Design &amp; Architecture</t>
        </is>
      </c>
      <c r="AC94" s="9" t="inlineStr">
        <is>
          <t>Database, SQL &amp; Data Engineering · Cloud, DevOps &amp; CI/CD · AI, GenAI &amp; Prompt Engineering · Product, Platform &amp; Domain Knowledge</t>
        </is>
      </c>
      <c r="AD94" s="8" t="inlineStr">
        <is>
          <t>Entry / P1 · intern</t>
        </is>
      </c>
      <c r="AE94" s="8" t="inlineStr">
        <is>
          <t>1 Follow</t>
        </is>
      </c>
      <c r="AF94" s="9" t="inlineStr">
        <is>
          <t>—</t>
        </is>
      </c>
      <c r="AG94" s="9" t="inlineStr">
        <is>
          <t>SFIA 9 · software development, programming; OWASP secure coding; cloud vendor certifications</t>
        </is>
      </c>
      <c r="AH94" s="9" t="inlineStr">
        <is>
          <t>A2 · Associate</t>
        </is>
      </c>
      <c r="AI94" s="9" t="inlineStr">
        <is>
          <t>—</t>
        </is>
      </c>
      <c r="AJ94" s="9" t="inlineStr">
        <is>
          <t>Taxonomy AI</t>
        </is>
      </c>
      <c r="AK94" s="9" t="inlineStr">
        <is>
          <t>Mentoring / guidance from seniors · Formal / classroom training · Online courses / self-learning · On-the-job / hands-on · Certification · Knowledge transfer · KT</t>
        </is>
      </c>
      <c r="AL94" s="9" t="inlineStr">
        <is>
          <t>requirements · changing · unclear · ai · dependency</t>
        </is>
      </c>
      <c r="AM94" s="9" t="inlineStr">
        <is>
          <t>better · requirements · clearer · technical · faster</t>
        </is>
      </c>
      <c r="AN94" s="9" t="inlineStr">
        <is>
          <t>14 of 17 say the role is changing because of AI / automation</t>
        </is>
      </c>
      <c r="AO94" s="9" t="inlineStr">
        <is>
          <t>Build and operate software capabilities. Includes: Application code, data/ML engineering and product reliability. Excludes: Product investment decisions; internal IT service desk.</t>
        </is>
      </c>
      <c r="AP94" s="9" t="inlineStr">
        <is>
          <t>ENG03-0 · Frontend Engineering Intern</t>
        </is>
      </c>
      <c r="AQ94" s="9" t="inlineStr">
        <is>
          <r>
            <rPr>
              <rFont val="Calibri"/>
              <b val="1"/>
              <sz val="10"/>
            </rPr>
            <t>Assist with a supervised work sample:</t>
          </r>
          <r>
            <rPr>
              <rFont val="Calibri"/>
              <sz val="10"/>
            </rPr>
            <t xml:space="preserve"> build accessible components and reliable browser interactions.</t>
          </r>
        </is>
      </c>
      <c r="AR94" s="9" t="inlineStr">
        <is>
          <t>Reviewed learning assignment; no independent material sign-off.</t>
        </is>
      </c>
      <c r="AS94" s="9" t="inlineStr">
        <is>
          <t>A tested accessible interface and reusable components with measured performance</t>
        </is>
      </c>
      <c r="AT94" s="9" t="inlineStr">
        <is>
          <r>
            <rPr>
              <rFont val="Calibri"/>
              <b val="1"/>
              <sz val="10"/>
            </rPr>
            <t>Regnology:</t>
          </r>
          <r>
            <rPr>
              <rFont val="Calibri"/>
              <sz val="10"/>
            </rPr>
            <t xml:space="preserve"> Senior Software Engineer, Pune · Related work. Gap: Peer software evidence does not establish specialised frontend or ML levels</t>
          </r>
        </is>
      </c>
      <c r="AU94" s="19" t="inlineStr">
        <is>
          <t>Framework + sub-family themes · 3+ answered</t>
        </is>
      </c>
      <c r="AV94" s="9" t="inlineStr">
        <is>
          <t>1 holder, 1 answered the survey; sub-family 17 answered</t>
        </is>
      </c>
    </row>
    <row r="95" ht="93" customHeight="1">
      <c r="A95" s="17" t="inlineStr">
        <is>
          <t>RC-080</t>
        </is>
      </c>
      <c r="B95" s="9" t="inlineStr">
        <is>
          <t>Engineering &amp; Development</t>
        </is>
      </c>
      <c r="C95" s="9" t="inlineStr">
        <is>
          <t>Front-End / UI Development</t>
        </is>
      </c>
      <c r="D95" s="18" t="inlineStr">
        <is>
          <t>A2</t>
        </is>
      </c>
      <c r="E95" s="19" t="inlineStr">
        <is>
          <t>Associate</t>
        </is>
      </c>
      <c r="F95" s="9" t="inlineStr">
        <is>
          <t>IC</t>
        </is>
      </c>
      <c r="G95" s="9" t="inlineStr">
        <is>
          <t>UI Developer</t>
        </is>
      </c>
      <c r="H95" s="8" t="n">
        <v>6</v>
      </c>
      <c r="I95" s="9" t="inlineStr">
        <is>
          <t>iFile 5 · CARBON 1</t>
        </is>
      </c>
      <c r="J95" s="9" t="inlineStr">
        <is>
          <r>
            <rPr>
              <rFont val="Calibri"/>
              <sz val="10"/>
            </rPr>
            <t xml:space="preserve">Builds user interfaces and reusable UI components. At A2: standard work delivered independently.
</t>
          </r>
          <r>
            <rPr>
              <rFont val="Calibri"/>
              <b val="1"/>
              <sz val="10"/>
            </rPr>
            <t>Common themes in role-holders' answers:</t>
          </r>
          <r>
            <rPr>
              <rFont val="Calibri"/>
              <sz val="10"/>
            </rPr>
            <t xml:space="preserve"> solutions · maintain · problems · core · purpose · while</t>
          </r>
        </is>
      </c>
      <c r="K95" s="9" t="inlineStr">
        <is>
          <r>
            <rPr>
              <rFont val="Calibri"/>
              <sz val="10"/>
            </rPr>
            <t xml:space="preserve">Builds user interfaces and reusable UI components; Standard work of the discipline; Own deliverables · accuracy, TAT
</t>
          </r>
          <r>
            <rPr>
              <rFont val="Calibri"/>
              <b val="1"/>
              <sz val="10"/>
            </rPr>
            <t>Common themes in role-holders' answers:</t>
          </r>
          <r>
            <rPr>
              <rFont val="Calibri"/>
              <sz val="10"/>
            </rPr>
            <t xml:space="preserve"> feature · code · quality · development · delivery</t>
          </r>
        </is>
      </c>
      <c r="L95" s="9" t="inlineStr">
        <is>
          <r>
            <rPr>
              <rFont val="Calibri"/>
              <sz val="10"/>
            </rPr>
            <t xml:space="preserve">Own deliverables · accuracy, TAT
</t>
          </r>
          <r>
            <rPr>
              <rFont val="Calibri"/>
              <b val="1"/>
              <sz val="10"/>
            </rPr>
            <t>Common themes in role-holders' answers:</t>
          </r>
          <r>
            <rPr>
              <rFont val="Calibri"/>
              <sz val="10"/>
            </rPr>
            <t xml:space="preserve"> features · quality · software</t>
          </r>
        </is>
      </c>
      <c r="M95" s="9" t="inlineStr">
        <is>
          <r>
            <rPr>
              <rFont val="Calibri"/>
              <sz val="10"/>
            </rPr>
            <t xml:space="preserve">Own deliverables · accuracy, TAT
</t>
          </r>
          <r>
            <rPr>
              <rFont val="Calibri"/>
              <b val="1"/>
              <sz val="10"/>
            </rPr>
            <t>Common themes in role-holders' answers:</t>
          </r>
          <r>
            <rPr>
              <rFont val="Calibri"/>
              <sz val="10"/>
            </rPr>
            <t xml:space="preserve"> quality · accountable · reliability · deliver · features · code</t>
          </r>
        </is>
      </c>
      <c r="N95" s="9" t="inlineStr">
        <is>
          <r>
            <rPr>
              <rFont val="Calibri"/>
              <sz val="10"/>
            </rPr>
            <t xml:space="preserve">Chooses own approach within standards
</t>
          </r>
          <r>
            <rPr>
              <rFont val="Calibri"/>
              <b val="1"/>
              <sz val="10"/>
            </rPr>
            <t>Common themes in role-holders' answers:</t>
          </r>
          <r>
            <rPr>
              <rFont val="Calibri"/>
              <sz val="10"/>
            </rPr>
            <t xml:space="preserve"> decisions · implement</t>
          </r>
        </is>
      </c>
      <c r="O95" s="9" t="inlineStr">
        <is>
          <r>
            <rPr>
              <rFont val="Calibri"/>
              <b val="1"/>
              <sz val="10"/>
            </rPr>
            <t>Common themes in manager-set KRAs:</t>
          </r>
          <r>
            <rPr>
              <rFont val="Calibri"/>
              <sz val="10"/>
            </rPr>
            <t xml:space="preserve"> complete · improve · assigned · resolve · code · leakage qa/uat</t>
          </r>
        </is>
      </c>
      <c r="P95" s="9" t="inlineStr">
        <is>
          <t>Angular · React</t>
        </is>
      </c>
      <c r="Q95" s="9" t="inlineStr">
        <is>
          <t>—</t>
        </is>
      </c>
      <c r="R95" s="9" t="inlineStr">
        <is>
          <t>Standard work delivered independently</t>
        </is>
      </c>
      <c r="S95" s="9" t="inlineStr">
        <is>
          <t>Standard work of the discipline</t>
        </is>
      </c>
      <c r="T95" s="9" t="inlineStr">
        <is>
          <t>Chooses own approach within standards</t>
        </is>
      </c>
      <c r="U95" s="9" t="inlineStr">
        <is>
          <t>Own deliverables · accuracy, TAT</t>
        </is>
      </c>
      <c r="V95" s="9" t="inlineStr">
        <is>
          <t>Not scored in Band A</t>
        </is>
      </c>
      <c r="W95" s="9" t="inlineStr">
        <is>
          <t>0–2 yrs</t>
        </is>
      </c>
      <c r="X95" s="9" t="inlineStr">
        <is>
          <t>Graduate · or diploma with experience</t>
        </is>
      </c>
      <c r="Y95" s="9" t="inlineStr">
        <is>
          <t>Cloud / language certifications · optional; AWS / Azure architect · optional</t>
        </is>
      </c>
      <c r="Z95" s="9" t="inlineStr">
        <is>
          <t>No direct reports</t>
        </is>
      </c>
      <c r="AA95" s="9" t="inlineStr">
        <is>
          <t>Core 2 · Future-ready 2 · Functional 2 · Leadership —</t>
        </is>
      </c>
      <c r="AB95" s="9" t="inlineStr">
        <is>
          <t>Programming &amp; Tech-Stack Depth · System Design &amp; Architecture</t>
        </is>
      </c>
      <c r="AC95" s="9" t="inlineStr">
        <is>
          <t>Database, SQL &amp; Data Engineering · Cloud, DevOps &amp; CI/CD · AI, GenAI &amp; Prompt Engineering · Product, Platform &amp; Domain Knowledge</t>
        </is>
      </c>
      <c r="AD95" s="8" t="inlineStr">
        <is>
          <t>P1–P2</t>
        </is>
      </c>
      <c r="AE95" s="8" t="inlineStr">
        <is>
          <t>2 Assist</t>
        </is>
      </c>
      <c r="AF95" s="9" t="inlineStr">
        <is>
          <r>
            <rPr>
              <rFont val="Calibri"/>
              <b val="1"/>
              <sz val="10"/>
            </rPr>
            <t>Workiva:</t>
          </r>
          <r>
            <rPr>
              <rFont val="Calibri"/>
              <sz val="10"/>
            </rPr>
            <t xml:space="preserve"> Associate SE · Broadridge India: SE · Nasdaq / AxiomSL: SE · Salesforce: AMTS</t>
          </r>
        </is>
      </c>
      <c r="AG95" s="9" t="inlineStr">
        <is>
          <t>SFIA 9 · software development, programming; OWASP secure coding; cloud vendor certifications</t>
        </is>
      </c>
      <c r="AH95" s="9" t="inlineStr">
        <is>
          <t>A3 · Senior Associate</t>
        </is>
      </c>
      <c r="AI95" s="9" t="inlineStr">
        <is>
          <t>Leadership &amp; people management · Technical depth &amp; architecture · Broader exposure &amp; ownership · Project / programme management</t>
        </is>
      </c>
      <c r="AJ95" s="9" t="inlineStr">
        <is>
          <t>architecture scalability · ai · taxonomy</t>
        </is>
      </c>
      <c r="AK95" s="9" t="inlineStr">
        <is>
          <t>Mentoring / guidance from seniors · On-the-job / hands-on</t>
        </is>
      </c>
      <c r="AL95" s="9" t="inlineStr">
        <is>
          <t>requirements · changing · unclear</t>
        </is>
      </c>
      <c r="AM95" s="9" t="inlineStr">
        <is>
          <t>clearer · requirements · better · faster · clarity</t>
        </is>
      </c>
      <c r="AN95" s="9" t="inlineStr">
        <is>
          <t>6 of 6 say the role is changing because of AI / automation</t>
        </is>
      </c>
      <c r="AO95" s="9" t="inlineStr">
        <is>
          <t>Build and operate software capabilities. Includes: Application code, data/ML engineering and product reliability. Excludes: Product investment decisions; internal IT service desk.</t>
        </is>
      </c>
      <c r="AP95" s="9" t="inlineStr">
        <is>
          <t>ENG03-1 · Associate Frontend Engineer</t>
        </is>
      </c>
      <c r="AQ95" s="9" t="inlineStr">
        <is>
          <r>
            <rPr>
              <rFont val="Calibri"/>
              <b val="1"/>
              <sz val="10"/>
            </rPr>
            <t>Complete defined parts under review:</t>
          </r>
          <r>
            <rPr>
              <rFont val="Calibri"/>
              <sz val="10"/>
            </rPr>
            <t xml:space="preserve"> build accessible components and reliable browser interactions.</t>
          </r>
        </is>
      </c>
      <c r="AR95" s="9" t="inlineStr">
        <is>
          <t>Repeatable correct delivery, safe escalation and required entry eligibility.</t>
        </is>
      </c>
      <c r="AS95" s="9" t="inlineStr">
        <is>
          <t>A tested accessible interface and reusable components with measured performance</t>
        </is>
      </c>
      <c r="AT95" s="9" t="inlineStr">
        <is>
          <r>
            <rPr>
              <rFont val="Calibri"/>
              <b val="1"/>
              <sz val="10"/>
            </rPr>
            <t>Regnology:</t>
          </r>
          <r>
            <rPr>
              <rFont val="Calibri"/>
              <sz val="10"/>
            </rPr>
            <t xml:space="preserve"> Senior Software Engineer, Pune · Related work. Gap: Peer software evidence does not establish specialised frontend or ML levels</t>
          </r>
        </is>
      </c>
      <c r="AU95" s="22" t="inlineStr">
        <is>
          <t>Framework + role-holders' themes · 3+ answered</t>
        </is>
      </c>
      <c r="AV95" s="9" t="inlineStr">
        <is>
          <t>6 holders, 6 answered the survey; sub-family 17 answered</t>
        </is>
      </c>
    </row>
    <row r="96" ht="106" customHeight="1">
      <c r="A96" s="17" t="inlineStr">
        <is>
          <t>RC-081</t>
        </is>
      </c>
      <c r="B96" s="9" t="inlineStr">
        <is>
          <t>Engineering &amp; Development</t>
        </is>
      </c>
      <c r="C96" s="9" t="inlineStr">
        <is>
          <t>Front-End / UI Development</t>
        </is>
      </c>
      <c r="D96" s="18" t="inlineStr">
        <is>
          <t>A3</t>
        </is>
      </c>
      <c r="E96" s="19" t="inlineStr">
        <is>
          <t>Senior Associate</t>
        </is>
      </c>
      <c r="F96" s="9" t="inlineStr">
        <is>
          <t>IC</t>
        </is>
      </c>
      <c r="G96" s="9" t="inlineStr">
        <is>
          <t>Senior UI Developer</t>
        </is>
      </c>
      <c r="H96" s="8" t="n">
        <v>10</v>
      </c>
      <c r="I96" s="9" t="inlineStr">
        <is>
          <t>CARBON 5 · iFile 5</t>
        </is>
      </c>
      <c r="J96" s="9" t="inlineStr">
        <is>
          <r>
            <rPr>
              <rFont val="Calibri"/>
              <sz val="10"/>
            </rPr>
            <t xml:space="preserve">Builds user interfaces and reusable UI components. At A3: varied work; reviews juniors; go-to for a process.
</t>
          </r>
          <r>
            <rPr>
              <rFont val="Calibri"/>
              <b val="1"/>
              <sz val="10"/>
            </rPr>
            <t>Common themes in role-holders' answers:</t>
          </r>
          <r>
            <rPr>
              <rFont val="Calibri"/>
              <sz val="10"/>
            </rPr>
            <t xml:space="preserve"> core · purpose · web · improve · business · user-friendly</t>
          </r>
        </is>
      </c>
      <c r="K96" s="9" t="inlineStr">
        <is>
          <r>
            <rPr>
              <rFont val="Calibri"/>
              <sz val="10"/>
            </rPr>
            <t xml:space="preserve">Builds user interfaces and reusable UI components; Varied and non-standard work; handles exceptions; A module / process, or work with client or regulatory consequences
</t>
          </r>
          <r>
            <rPr>
              <rFont val="Calibri"/>
              <b val="1"/>
              <sz val="10"/>
            </rPr>
            <t>Common themes in role-holders' answers:</t>
          </r>
          <r>
            <rPr>
              <rFont val="Calibri"/>
              <sz val="10"/>
            </rPr>
            <t xml:space="preserve"> ui · user · performance · design · development · testing</t>
          </r>
        </is>
      </c>
      <c r="L96" s="9" t="inlineStr">
        <is>
          <r>
            <rPr>
              <rFont val="Calibri"/>
              <sz val="10"/>
            </rPr>
            <t xml:space="preserve">A module / process, or work with client or regulatory consequences
</t>
          </r>
          <r>
            <rPr>
              <rFont val="Calibri"/>
              <b val="1"/>
              <sz val="10"/>
            </rPr>
            <t>Common themes in role-holders' answers:</t>
          </r>
          <r>
            <rPr>
              <rFont val="Calibri"/>
              <sz val="10"/>
            </rPr>
            <t xml:space="preserve"> user · app</t>
          </r>
        </is>
      </c>
      <c r="M96" s="9" t="inlineStr">
        <is>
          <r>
            <rPr>
              <rFont val="Calibri"/>
              <sz val="10"/>
            </rPr>
            <t xml:space="preserve">A module / process, or work with client or regulatory consequences
</t>
          </r>
          <r>
            <rPr>
              <rFont val="Calibri"/>
              <b val="1"/>
              <sz val="10"/>
            </rPr>
            <t>Common themes in role-holders' answers:</t>
          </r>
          <r>
            <rPr>
              <rFont val="Calibri"/>
              <sz val="10"/>
            </rPr>
            <t xml:space="preserve"> development · am · accountable · quality · ui · responsive user-friendly</t>
          </r>
        </is>
      </c>
      <c r="N96" s="9" t="inlineStr">
        <is>
          <r>
            <rPr>
              <rFont val="Calibri"/>
              <sz val="10"/>
            </rPr>
            <t xml:space="preserve">Technical / QC / client calls on own work
</t>
          </r>
          <r>
            <rPr>
              <rFont val="Calibri"/>
              <b val="1"/>
              <sz val="10"/>
            </rPr>
            <t>Common themes in role-holders' answers:</t>
          </r>
          <r>
            <rPr>
              <rFont val="Calibri"/>
              <sz val="10"/>
            </rPr>
            <t xml:space="preserve"> code · ui</t>
          </r>
        </is>
      </c>
      <c r="O96" s="9" t="inlineStr">
        <is>
          <r>
            <rPr>
              <rFont val="Calibri"/>
              <b val="1"/>
              <sz val="10"/>
            </rPr>
            <t>Common themes in manager-set KRAs:</t>
          </r>
          <r>
            <rPr>
              <rFont val="Calibri"/>
              <sz val="10"/>
            </rPr>
            <t xml:space="preserve"> components · sprint · code · coverage · quality · maintain</t>
          </r>
        </is>
      </c>
      <c r="P96" s="9" t="inlineStr">
        <is>
          <t>UI · Angular</t>
        </is>
      </c>
      <c r="Q96" s="9" t="inlineStr">
        <is>
          <t>Vs code</t>
        </is>
      </c>
      <c r="R96" s="9" t="inlineStr">
        <is>
          <t>Varied work; reviews juniors; go-to for a process</t>
        </is>
      </c>
      <c r="S96" s="9" t="inlineStr">
        <is>
          <t>Varied and non-standard work; handles exceptions</t>
        </is>
      </c>
      <c r="T96" s="9" t="inlineStr">
        <is>
          <t>Technical / QC / client calls on own work</t>
        </is>
      </c>
      <c r="U96" s="9" t="inlineStr">
        <is>
          <t>A module / process, or work with client or regulatory consequences</t>
        </is>
      </c>
      <c r="V96" s="9" t="inlineStr">
        <is>
          <t>Not scored in Band A</t>
        </is>
      </c>
      <c r="W96" s="9" t="inlineStr">
        <is>
          <t>2–4 yrs</t>
        </is>
      </c>
      <c r="X96" s="9" t="inlineStr">
        <is>
          <t>Graduate; relevant certification preferred</t>
        </is>
      </c>
      <c r="Y96" s="9" t="inlineStr">
        <is>
          <t>Cloud / language certifications · optional; AWS / Azure architect · optional</t>
        </is>
      </c>
      <c r="Z96" s="9" t="inlineStr">
        <is>
          <t>None · guides 1–3 juniors informally</t>
        </is>
      </c>
      <c r="AA96" s="9" t="inlineStr">
        <is>
          <t>Core 2 · Future-ready 2 · Functional 3 · Leadership —</t>
        </is>
      </c>
      <c r="AB96" s="9" t="inlineStr">
        <is>
          <t>Programming &amp; Tech-Stack Depth · System Design &amp; Architecture</t>
        </is>
      </c>
      <c r="AC96" s="9" t="inlineStr">
        <is>
          <t>Database, SQL &amp; Data Engineering · Cloud, DevOps &amp; CI/CD · AI, GenAI &amp; Prompt Engineering · Product, Platform &amp; Domain Knowledge</t>
        </is>
      </c>
      <c r="AD96" s="8" t="inlineStr">
        <is>
          <t>P2</t>
        </is>
      </c>
      <c r="AE96" s="8" t="inlineStr">
        <is>
          <t>3 Apply</t>
        </is>
      </c>
      <c r="AF96" s="9" t="inlineStr">
        <is>
          <r>
            <rPr>
              <rFont val="Calibri"/>
              <b val="1"/>
              <sz val="10"/>
            </rPr>
            <t>Workiva:</t>
          </r>
          <r>
            <rPr>
              <rFont val="Calibri"/>
              <sz val="10"/>
            </rPr>
            <t xml:space="preserve"> SE · Broadridge India: SE · Nasdaq / AxiomSL: SE · Salesforce: MTS</t>
          </r>
        </is>
      </c>
      <c r="AG96" s="9" t="inlineStr">
        <is>
          <t>SFIA 9 · software development, programming; OWASP secure coding; cloud vendor certifications</t>
        </is>
      </c>
      <c r="AH96" s="9" t="inlineStr">
        <is>
          <t>B1 · Specialist</t>
        </is>
      </c>
      <c r="AI96" s="9" t="inlineStr">
        <is>
          <t>Technical depth &amp; architecture · AI / automation · Strategy &amp; business acumen · Product &amp; tool knowledge · Leadership &amp; people management</t>
        </is>
      </c>
      <c r="AJ96" s="9" t="inlineStr">
        <is>
          <t>secure coding · practices · testing · advanced · system</t>
        </is>
      </c>
      <c r="AK96" s="9" t="inlineStr">
        <is>
          <t>Formal / classroom training · Mentoring / guidance from seniors · Online courses / self-learning · Certification</t>
        </is>
      </c>
      <c r="AL96" s="9" t="inlineStr">
        <is>
          <t>requirements · changing · unclear · ai</t>
        </is>
      </c>
      <c r="AM96" s="9" t="inlineStr">
        <is>
          <t>better · rework · requirements · technical · clearer</t>
        </is>
      </c>
      <c r="AN96" s="9" t="inlineStr">
        <is>
          <t>7 of 9 say the role is changing because of AI / automation</t>
        </is>
      </c>
      <c r="AO96" s="9" t="inlineStr">
        <is>
          <t>Build and operate software capabilities. Includes: Application code, data/ML engineering and product reliability. Excludes: Product investment decisions; internal IT service desk.</t>
        </is>
      </c>
      <c r="AP96" s="9" t="inlineStr">
        <is>
          <t>ENG03-2 · Frontend Engineer</t>
        </is>
      </c>
      <c r="AQ96" s="9" t="inlineStr">
        <is>
          <t>Build accessible components and reliable browser interactions.</t>
        </is>
      </c>
      <c r="AR96" s="9" t="inlineStr">
        <is>
          <t>Demonstrate routine delivery plus judgement in bounded exceptions.</t>
        </is>
      </c>
      <c r="AS96" s="9" t="inlineStr">
        <is>
          <t>A tested accessible interface and reusable components with measured performance</t>
        </is>
      </c>
      <c r="AT96" s="9" t="inlineStr">
        <is>
          <r>
            <rPr>
              <rFont val="Calibri"/>
              <b val="1"/>
              <sz val="10"/>
            </rPr>
            <t>Regnology:</t>
          </r>
          <r>
            <rPr>
              <rFont val="Calibri"/>
              <sz val="10"/>
            </rPr>
            <t xml:space="preserve"> Senior Software Engineer, Pune · Related work. Gap: Peer software evidence does not establish specialised frontend or ML levels</t>
          </r>
        </is>
      </c>
      <c r="AU96" s="22" t="inlineStr">
        <is>
          <t>Framework + role-holders' themes · 3+ answered</t>
        </is>
      </c>
      <c r="AV96" s="9" t="inlineStr">
        <is>
          <t>10 holders, 9 answered the survey; sub-family 17 answered</t>
        </is>
      </c>
    </row>
    <row r="97" ht="106" customHeight="1">
      <c r="A97" s="17" t="inlineStr">
        <is>
          <t>RC-082</t>
        </is>
      </c>
      <c r="B97" s="9" t="inlineStr">
        <is>
          <t>Engineering &amp; Development</t>
        </is>
      </c>
      <c r="C97" s="9" t="inlineStr">
        <is>
          <t>Front-End / UI Development</t>
        </is>
      </c>
      <c r="D97" s="21" t="inlineStr">
        <is>
          <t>B1</t>
        </is>
      </c>
      <c r="E97" s="22" t="inlineStr">
        <is>
          <t>Specialist</t>
        </is>
      </c>
      <c r="F97" s="9" t="inlineStr">
        <is>
          <t>IC</t>
        </is>
      </c>
      <c r="G97" s="9" t="inlineStr">
        <is>
          <t>UI Specialist – POD Lead</t>
        </is>
      </c>
      <c r="H97" s="8" t="n">
        <v>1</v>
      </c>
      <c r="I97" s="9" t="inlineStr">
        <is>
          <t>iFile 1</t>
        </is>
      </c>
      <c r="J97" s="9" t="inlineStr">
        <is>
          <r>
            <rPr>
              <rFont val="Calibri"/>
              <sz val="10"/>
            </rPr>
            <t xml:space="preserve">Builds user interfaces and reusable UI components. At B1: a domain / module, or a small team.
</t>
          </r>
          <r>
            <rPr>
              <rFont val="Calibri"/>
              <b val="1"/>
              <sz val="10"/>
            </rPr>
            <t>Common themes in sub-family holders, all levels' answers:</t>
          </r>
          <r>
            <rPr>
              <rFont val="Calibri"/>
              <sz val="10"/>
            </rPr>
            <t xml:space="preserve"> core · purpose · business · improve · development · solutions</t>
          </r>
        </is>
      </c>
      <c r="K97" s="9" t="inlineStr">
        <is>
          <r>
            <rPr>
              <rFont val="Calibri"/>
              <sz val="10"/>
            </rPr>
            <t xml:space="preserve">Builds user interfaces and reusable UI components; Domain specialist work; A domain or a small team
</t>
          </r>
          <r>
            <rPr>
              <rFont val="Calibri"/>
              <b val="1"/>
              <sz val="10"/>
            </rPr>
            <t>Common themes in sub-family holders, all levels' answers:</t>
          </r>
          <r>
            <rPr>
              <rFont val="Calibri"/>
              <sz val="10"/>
            </rPr>
            <t xml:space="preserve"> ui · code · feature · development · design · testing</t>
          </r>
        </is>
      </c>
      <c r="L97" s="9" t="inlineStr">
        <is>
          <r>
            <rPr>
              <rFont val="Calibri"/>
              <sz val="10"/>
            </rPr>
            <t xml:space="preserve">A domain or a small team
</t>
          </r>
          <r>
            <rPr>
              <rFont val="Calibri"/>
              <b val="1"/>
              <sz val="10"/>
            </rPr>
            <t>Common themes in sub-family holders, all levels' answers:</t>
          </r>
          <r>
            <rPr>
              <rFont val="Calibri"/>
              <sz val="10"/>
            </rPr>
            <t xml:space="preserve"> features · user · app · ui · quality · software</t>
          </r>
        </is>
      </c>
      <c r="M97" s="9" t="inlineStr">
        <is>
          <r>
            <rPr>
              <rFont val="Calibri"/>
              <sz val="10"/>
            </rPr>
            <t xml:space="preserve">A domain or a small team
</t>
          </r>
          <r>
            <rPr>
              <rFont val="Calibri"/>
              <b val="1"/>
              <sz val="10"/>
            </rPr>
            <t>Common themes in sub-family holders, all levels' answers:</t>
          </r>
          <r>
            <rPr>
              <rFont val="Calibri"/>
              <sz val="10"/>
            </rPr>
            <t xml:space="preserve"> accountable · quality · development · am · reliability · personally</t>
          </r>
        </is>
      </c>
      <c r="N97" s="9" t="inlineStr">
        <is>
          <r>
            <rPr>
              <rFont val="Calibri"/>
              <sz val="10"/>
            </rPr>
            <t xml:space="preserve">Technical / QC / client calls for the domain
</t>
          </r>
          <r>
            <rPr>
              <rFont val="Calibri"/>
              <b val="1"/>
              <sz val="10"/>
            </rPr>
            <t>Common themes in sub-family holders, all levels' answers:</t>
          </r>
          <r>
            <rPr>
              <rFont val="Calibri"/>
              <sz val="10"/>
            </rPr>
            <t xml:space="preserve"> decide · code · ui · decisions · implement</t>
          </r>
        </is>
      </c>
      <c r="O97" s="9" t="inlineStr">
        <is>
          <t>—</t>
        </is>
      </c>
      <c r="P97" s="9" t="inlineStr">
        <is>
          <t>Angular · UI · React · Full stack development · Angular + Node.js</t>
        </is>
      </c>
      <c r="Q97" s="9" t="inlineStr">
        <is>
          <t>Vs code · visual studio · VsCode</t>
        </is>
      </c>
      <c r="R97" s="9" t="inlineStr">
        <is>
          <t>A domain / module, or a small team</t>
        </is>
      </c>
      <c r="S97" s="9" t="inlineStr">
        <is>
          <t>Domain specialist work</t>
        </is>
      </c>
      <c r="T97" s="9" t="inlineStr">
        <is>
          <t>Technical / QC / client calls for the domain</t>
        </is>
      </c>
      <c r="U97" s="9" t="inlineStr">
        <is>
          <t>A domain or a small team</t>
        </is>
      </c>
      <c r="V97" s="9" t="inlineStr">
        <is>
          <r>
            <rPr>
              <rFont val="Calibri"/>
              <b val="1"/>
              <sz val="10"/>
            </rPr>
            <t>IC:</t>
          </r>
          <r>
            <rPr>
              <rFont val="Calibri"/>
              <sz val="10"/>
            </rPr>
            <t xml:space="preserve"> mentors and reviews · People: hands-on team lead of 3–5</t>
          </r>
        </is>
      </c>
      <c r="W97" s="9" t="inlineStr">
        <is>
          <t>4–7 yrs</t>
        </is>
      </c>
      <c r="X97" s="9" t="inlineStr">
        <is>
          <t>Graduate + relevant qualification or certification preferred</t>
        </is>
      </c>
      <c r="Y97" s="9" t="inlineStr">
        <is>
          <t>Cloud / language certifications · optional; AWS / Azure architect · optional</t>
        </is>
      </c>
      <c r="Z97" s="9" t="inlineStr">
        <is>
          <r>
            <rPr>
              <rFont val="Calibri"/>
              <b val="1"/>
              <sz val="10"/>
            </rPr>
            <t>IC:</t>
          </r>
          <r>
            <rPr>
              <rFont val="Calibri"/>
              <sz val="10"/>
            </rPr>
            <t xml:space="preserve"> none · Team Lead: 3–5</t>
          </r>
        </is>
      </c>
      <c r="AA97" s="9" t="inlineStr">
        <is>
          <t>Core 3 · Future-ready 3 · Functional 3 · Leadership 1</t>
        </is>
      </c>
      <c r="AB97" s="9" t="inlineStr">
        <is>
          <t>Programming &amp; Tech-Stack Depth · System Design &amp; Architecture</t>
        </is>
      </c>
      <c r="AC97" s="9" t="inlineStr">
        <is>
          <t>Database, SQL &amp; Data Engineering · Cloud, DevOps &amp; CI/CD · AI, GenAI &amp; Prompt Engineering · Product, Platform &amp; Domain Knowledge</t>
        </is>
      </c>
      <c r="AD97" s="8" t="inlineStr">
        <is>
          <t>P3 / M2</t>
        </is>
      </c>
      <c r="AE97" s="8" t="inlineStr">
        <is>
          <t>4 Enable</t>
        </is>
      </c>
      <c r="AF97" s="9" t="inlineStr">
        <is>
          <r>
            <rPr>
              <rFont val="Calibri"/>
              <b val="1"/>
              <sz val="10"/>
            </rPr>
            <t>Workiva:</t>
          </r>
          <r>
            <rPr>
              <rFont val="Calibri"/>
              <sz val="10"/>
            </rPr>
            <t xml:space="preserve"> SE / Senior SE · Broadridge India: Senior SE · Nasdaq / AxiomSL: Senior SE · Salesforce: MTS</t>
          </r>
        </is>
      </c>
      <c r="AG97" s="9" t="inlineStr">
        <is>
          <t>SFIA 9 · software development, programming; OWASP secure coding; cloud vendor certifications</t>
        </is>
      </c>
      <c r="AH97" s="9" t="inlineStr">
        <is>
          <t>B2 · Senior Specialist</t>
        </is>
      </c>
      <c r="AI97" s="9" t="inlineStr">
        <is>
          <t>AI / automation · Technical depth &amp; architecture</t>
        </is>
      </c>
      <c r="AJ97" s="9" t="inlineStr">
        <is>
          <t>UI/UX</t>
        </is>
      </c>
      <c r="AK97" s="9" t="inlineStr">
        <is>
          <t>Mentoring / guidance from seniors · Formal / classroom training · Online courses / self-learning · On-the-job / hands-on · Certification · Knowledge transfer · KT</t>
        </is>
      </c>
      <c r="AL97" s="9" t="inlineStr">
        <is>
          <t>requirements · changing · unclear · ai · dependency</t>
        </is>
      </c>
      <c r="AM97" s="9" t="inlineStr">
        <is>
          <t>better · requirements · clearer · technical · faster</t>
        </is>
      </c>
      <c r="AN97" s="9" t="inlineStr">
        <is>
          <t>14 of 17 say the role is changing because of AI / automation</t>
        </is>
      </c>
      <c r="AO97" s="9" t="inlineStr">
        <is>
          <t>Build and operate software capabilities. Includes: Application code, data/ML engineering and product reliability. Excludes: Product investment decisions; internal IT service desk.</t>
        </is>
      </c>
      <c r="AP97" s="9" t="inlineStr">
        <is>
          <t>ENG03-3 · Senior Frontend Engineer</t>
        </is>
      </c>
      <c r="AQ97" s="9" t="inlineStr">
        <is>
          <t>Own a complex workflow and its accessibility/performance constraints.</t>
        </is>
      </c>
      <c r="AR97" s="9" t="inlineStr">
        <is>
          <t>Evidence of complex work, decisions and outcomes beyond routine delivery.</t>
        </is>
      </c>
      <c r="AS97" s="9" t="inlineStr">
        <is>
          <t>A tested accessible interface and reusable components with measured performance</t>
        </is>
      </c>
      <c r="AT97" s="9" t="inlineStr">
        <is>
          <r>
            <rPr>
              <rFont val="Calibri"/>
              <b val="1"/>
              <sz val="10"/>
            </rPr>
            <t>Regnology:</t>
          </r>
          <r>
            <rPr>
              <rFont val="Calibri"/>
              <sz val="10"/>
            </rPr>
            <t xml:space="preserve"> Senior Software Engineer, Pune · Related work. Gap: Peer software evidence does not establish specialised frontend or ML levels</t>
          </r>
        </is>
      </c>
      <c r="AU97" s="19" t="inlineStr">
        <is>
          <t>Framework + sub-family themes · 3+ answered</t>
        </is>
      </c>
      <c r="AV97" s="9" t="inlineStr">
        <is>
          <t>1 holder, 1 answered the survey; sub-family 17 answered</t>
        </is>
      </c>
    </row>
    <row r="98" ht="80" customHeight="1">
      <c r="A98" s="17" t="inlineStr">
        <is>
          <t>RC-083</t>
        </is>
      </c>
      <c r="B98" s="9" t="inlineStr">
        <is>
          <t>Engineering &amp; Development</t>
        </is>
      </c>
      <c r="C98" s="9" t="inlineStr">
        <is>
          <t>Full-Stack Development</t>
        </is>
      </c>
      <c r="D98" s="18" t="inlineStr">
        <is>
          <t>A1</t>
        </is>
      </c>
      <c r="E98" s="19" t="inlineStr">
        <is>
          <t>Intern / Trainee</t>
        </is>
      </c>
      <c r="F98" s="9" t="inlineStr">
        <is>
          <t>IC</t>
        </is>
      </c>
      <c r="G98" s="9" t="inlineStr">
        <is>
          <t>Trainee Software Engineer</t>
        </is>
      </c>
      <c r="H98" s="8" t="n">
        <v>4</v>
      </c>
      <c r="I98" s="9" t="inlineStr">
        <is>
          <t>iFile 2 · CARBON 1 · iDEAL 1</t>
        </is>
      </c>
      <c r="J98" s="9" t="inlineStr">
        <is>
          <r>
            <rPr>
              <rFont val="Calibri"/>
              <sz val="10"/>
            </rPr>
            <t xml:space="preserve">Builds features end to end — back-end services/APIs plus UI screens. At A1: learning the role; all work reviewed.
</t>
          </r>
          <r>
            <rPr>
              <rFont val="Calibri"/>
              <b val="1"/>
              <sz val="10"/>
            </rPr>
            <t>Common themes in role-holders' answers:</t>
          </r>
          <r>
            <rPr>
              <rFont val="Calibri"/>
              <sz val="10"/>
            </rPr>
            <t xml:space="preserve"> improving · software</t>
          </r>
        </is>
      </c>
      <c r="K98" s="9" t="inlineStr">
        <is>
          <r>
            <rPr>
              <rFont val="Calibri"/>
              <sz val="10"/>
            </rPr>
            <t xml:space="preserve">Builds features end to end — back-end services/APIs plus UI screens; Learning; follows worked examples; Learning tasks
</t>
          </r>
          <r>
            <rPr>
              <rFont val="Calibri"/>
              <b val="1"/>
              <sz val="10"/>
            </rPr>
            <t>Common themes in role-holders' answers:</t>
          </r>
          <r>
            <rPr>
              <rFont val="Calibri"/>
              <sz val="10"/>
            </rPr>
            <t xml:space="preserve"> bug fixing · development · feature</t>
          </r>
        </is>
      </c>
      <c r="L98" s="9" t="inlineStr">
        <is>
          <r>
            <rPr>
              <rFont val="Calibri"/>
              <sz val="10"/>
            </rPr>
            <t xml:space="preserve">Learning tasks
</t>
          </r>
          <r>
            <rPr>
              <rFont val="Calibri"/>
              <b val="1"/>
              <sz val="10"/>
            </rPr>
            <t>Common themes in role-holders' answers:</t>
          </r>
          <r>
            <rPr>
              <rFont val="Calibri"/>
              <sz val="10"/>
            </rPr>
            <t xml:space="preserve"> features · bug fixes · technical · apis · software</t>
          </r>
        </is>
      </c>
      <c r="M98" s="9" t="inlineStr">
        <is>
          <r>
            <rPr>
              <rFont val="Calibri"/>
              <sz val="10"/>
            </rPr>
            <t xml:space="preserve">Learning tasks
</t>
          </r>
          <r>
            <rPr>
              <rFont val="Calibri"/>
              <b val="1"/>
              <sz val="10"/>
            </rPr>
            <t>Common themes in role-holders' answers:</t>
          </r>
          <r>
            <rPr>
              <rFont val="Calibri"/>
              <sz val="10"/>
            </rPr>
            <t xml:space="preserve"> development · am</t>
          </r>
        </is>
      </c>
      <c r="N98" s="9" t="inlineStr">
        <is>
          <r>
            <rPr>
              <rFont val="Calibri"/>
              <sz val="10"/>
            </rPr>
            <t xml:space="preserve">Needs approval / close guidance
</t>
          </r>
          <r>
            <rPr>
              <rFont val="Calibri"/>
              <b val="1"/>
              <sz val="10"/>
            </rPr>
            <t>Common themes in role-holders' answers:</t>
          </r>
          <r>
            <rPr>
              <rFont val="Calibri"/>
              <sz val="10"/>
            </rPr>
            <t xml:space="preserve"> approaches · implementation</t>
          </r>
        </is>
      </c>
      <c r="O98" s="9" t="inlineStr">
        <is>
          <r>
            <rPr>
              <rFont val="Calibri"/>
              <b val="1"/>
              <sz val="10"/>
            </rPr>
            <t>Common themes in manager-set KRAs:</t>
          </r>
          <r>
            <rPr>
              <rFont val="Calibri"/>
              <sz val="10"/>
            </rPr>
            <t xml:space="preserve"> complete · assigned · improve · code · technical · quality</t>
          </r>
        </is>
      </c>
      <c r="P98" s="9" t="inlineStr">
        <is>
          <t>React · Java · Angular · NET MVC</t>
        </is>
      </c>
      <c r="Q98" s="9" t="inlineStr">
        <is>
          <t>Vs code · Postman</t>
        </is>
      </c>
      <c r="R98" s="9" t="inlineStr">
        <is>
          <t>Learning the role; all work reviewed</t>
        </is>
      </c>
      <c r="S98" s="9" t="inlineStr">
        <is>
          <t>Learning; follows worked examples</t>
        </is>
      </c>
      <c r="T98" s="9" t="inlineStr">
        <is>
          <t>Needs approval / close guidance</t>
        </is>
      </c>
      <c r="U98" s="9" t="inlineStr">
        <is>
          <t>Learning tasks</t>
        </is>
      </c>
      <c r="V98" s="9" t="inlineStr">
        <is>
          <t>Not scored in Band A</t>
        </is>
      </c>
      <c r="W98" s="9" t="inlineStr">
        <is>
          <t>0 yrs · fresher / intern</t>
        </is>
      </c>
      <c r="X98" s="9" t="inlineStr">
        <is>
          <t>Pursuing or completed graduation / diploma</t>
        </is>
      </c>
      <c r="Y98" s="9" t="inlineStr">
        <is>
          <t>Cloud / language certifications · optional; AWS / Azure architect · optional</t>
        </is>
      </c>
      <c r="Z98" s="9" t="inlineStr">
        <is>
          <t>No direct reports</t>
        </is>
      </c>
      <c r="AA98" s="9" t="inlineStr">
        <is>
          <t>Core 1 · Future-ready 1 · Functional 1 · Leadership —</t>
        </is>
      </c>
      <c r="AB98" s="9" t="inlineStr">
        <is>
          <t>Programming &amp; Tech-Stack Depth · System Design &amp; Architecture</t>
        </is>
      </c>
      <c r="AC98" s="9" t="inlineStr">
        <is>
          <t>Database, SQL &amp; Data Engineering · Cloud, DevOps &amp; CI/CD · AI, GenAI &amp; Prompt Engineering · Product, Platform &amp; Domain Knowledge</t>
        </is>
      </c>
      <c r="AD98" s="8" t="inlineStr">
        <is>
          <t>Entry / P1 · intern</t>
        </is>
      </c>
      <c r="AE98" s="8" t="inlineStr">
        <is>
          <t>1 Follow</t>
        </is>
      </c>
      <c r="AF98" s="9" t="inlineStr">
        <is>
          <t>—</t>
        </is>
      </c>
      <c r="AG98" s="9" t="inlineStr">
        <is>
          <t>SFIA 9 · software development, programming; OWASP secure coding; cloud vendor certifications</t>
        </is>
      </c>
      <c r="AH98" s="9" t="inlineStr">
        <is>
          <t>A2 · Associate</t>
        </is>
      </c>
      <c r="AI98" s="9" t="inlineStr">
        <is>
          <t>Technical depth &amp; architecture · Domain, regulatory &amp; XBRL · Product &amp; tool knowledge · Strategy &amp; business acumen · Data, SQL &amp; analytics</t>
        </is>
      </c>
      <c r="AJ98" s="9" t="inlineStr">
        <is>
          <t>ai</t>
        </is>
      </c>
      <c r="AK98" s="9" t="inlineStr">
        <is>
          <t>Mentoring / guidance from seniors · On-the-job / hands-on · Formal / classroom training</t>
        </is>
      </c>
      <c r="AL98" s="9" t="inlineStr">
        <is>
          <t>requirements · unclear</t>
        </is>
      </c>
      <c r="AM98" s="9" t="inlineStr">
        <is>
          <t>clear · before · development · guidance</t>
        </is>
      </c>
      <c r="AN98" s="9" t="inlineStr">
        <is>
          <t>3 of 4 say the role is changing because of AI / automation</t>
        </is>
      </c>
      <c r="AO98" s="9" t="inlineStr">
        <is>
          <t>Build and operate software capabilities. Includes: Application code, data/ML engineering and product reliability. Excludes: Product investment decisions; internal IT service desk.</t>
        </is>
      </c>
      <c r="AP98" s="9" t="inlineStr">
        <is>
          <t>ENG02-0 · Software Engineering Intern</t>
        </is>
      </c>
      <c r="AQ98" s="9" t="inlineStr">
        <is>
          <r>
            <rPr>
              <rFont val="Calibri"/>
              <b val="1"/>
              <sz val="10"/>
            </rPr>
            <t>Assist with a supervised work sample:</t>
          </r>
          <r>
            <rPr>
              <rFont val="Calibri"/>
              <sz val="10"/>
            </rPr>
            <t xml:space="preserve"> deliver a tested end-to-end feature across ui, api and storage.</t>
          </r>
        </is>
      </c>
      <c r="AR98" s="9" t="inlineStr">
        <is>
          <t>Reviewed learning assignment; no independent material sign-off.</t>
        </is>
      </c>
      <c r="AS98" s="9" t="inlineStr">
        <is>
          <t>A working end-to-end journey with usability checks, test coverage and deployment evidence</t>
        </is>
      </c>
      <c r="AT98" s="9" t="inlineStr">
        <is>
          <r>
            <rPr>
              <rFont val="Calibri"/>
              <b val="1"/>
              <sz val="10"/>
            </rPr>
            <t>Regnology:</t>
          </r>
          <r>
            <rPr>
              <rFont val="Calibri"/>
              <sz val="10"/>
            </rPr>
            <t xml:space="preserve"> Senior Software Engineer, Pune · Selected role. Gap: Java role directly supports software delivery and mentoring; full-stack coverage is partial</t>
          </r>
        </is>
      </c>
      <c r="AU98" s="22" t="inlineStr">
        <is>
          <t>Framework + role-holders' themes · 3+ answered</t>
        </is>
      </c>
      <c r="AV98" s="9" t="inlineStr">
        <is>
          <t>4 holders, 4 answered the survey; sub-family 35 answered</t>
        </is>
      </c>
    </row>
    <row r="99" ht="80" customHeight="1">
      <c r="A99" s="17" t="inlineStr">
        <is>
          <t>RC-084</t>
        </is>
      </c>
      <c r="B99" s="9" t="inlineStr">
        <is>
          <t>Engineering &amp; Development</t>
        </is>
      </c>
      <c r="C99" s="9" t="inlineStr">
        <is>
          <t>Full-Stack Development</t>
        </is>
      </c>
      <c r="D99" s="18" t="inlineStr">
        <is>
          <t>A2</t>
        </is>
      </c>
      <c r="E99" s="19" t="inlineStr">
        <is>
          <t>Associate</t>
        </is>
      </c>
      <c r="F99" s="9" t="inlineStr">
        <is>
          <t>IC</t>
        </is>
      </c>
      <c r="G99" s="9" t="inlineStr">
        <is>
          <t>Software Engineer</t>
        </is>
      </c>
      <c r="H99" s="8" t="n">
        <v>4</v>
      </c>
      <c r="I99" s="9" t="inlineStr">
        <is>
          <t>iFile 4</t>
        </is>
      </c>
      <c r="J99" s="9" t="inlineStr">
        <is>
          <r>
            <rPr>
              <rFont val="Calibri"/>
              <sz val="10"/>
            </rPr>
            <t xml:space="preserve">Builds features end to end — back-end services/APIs plus UI screens. At A2: standard work delivered independently.
</t>
          </r>
          <r>
            <rPr>
              <rFont val="Calibri"/>
              <b val="1"/>
              <sz val="10"/>
            </rPr>
            <t>Common themes in role-holders' answers:</t>
          </r>
          <r>
            <rPr>
              <rFont val="Calibri"/>
              <sz val="10"/>
            </rPr>
            <t xml:space="preserve"> solutions</t>
          </r>
        </is>
      </c>
      <c r="K99" s="9" t="inlineStr">
        <is>
          <r>
            <rPr>
              <rFont val="Calibri"/>
              <sz val="10"/>
            </rPr>
            <t xml:space="preserve">Builds features end to end — back-end services/APIs plus UI screens; Standard work of the discipline; Own deliverables · accuracy, TAT
</t>
          </r>
          <r>
            <rPr>
              <rFont val="Calibri"/>
              <b val="1"/>
              <sz val="10"/>
            </rPr>
            <t>Common themes in role-holders' answers:</t>
          </r>
          <r>
            <rPr>
              <rFont val="Calibri"/>
              <sz val="10"/>
            </rPr>
            <t xml:space="preserve"> deployment · testing</t>
          </r>
        </is>
      </c>
      <c r="L99" s="9" t="inlineStr">
        <is>
          <r>
            <rPr>
              <rFont val="Calibri"/>
              <sz val="10"/>
            </rPr>
            <t xml:space="preserve">Own deliverables · accuracy, TAT
</t>
          </r>
          <r>
            <rPr>
              <rFont val="Calibri"/>
              <b val="1"/>
              <sz val="10"/>
            </rPr>
            <t>Common themes in role-holders' answers:</t>
          </r>
          <r>
            <rPr>
              <rFont val="Calibri"/>
              <sz val="10"/>
            </rPr>
            <t xml:space="preserve"> software</t>
          </r>
        </is>
      </c>
      <c r="M99" s="9" t="inlineStr">
        <is>
          <r>
            <rPr>
              <rFont val="Calibri"/>
              <sz val="10"/>
            </rPr>
            <t xml:space="preserve">Own deliverables · accuracy, TAT
</t>
          </r>
          <r>
            <rPr>
              <rFont val="Calibri"/>
              <b val="1"/>
              <sz val="10"/>
            </rPr>
            <t>Common themes in role-holders' answers:</t>
          </r>
          <r>
            <rPr>
              <rFont val="Calibri"/>
              <sz val="10"/>
            </rPr>
            <t xml:space="preserve"> accountable · bugs · development</t>
          </r>
        </is>
      </c>
      <c r="N99" s="9" t="inlineStr">
        <is>
          <t>Chooses own approach within standards</t>
        </is>
      </c>
      <c r="O99" s="9" t="inlineStr">
        <is>
          <r>
            <rPr>
              <rFont val="Calibri"/>
              <b val="1"/>
              <sz val="10"/>
            </rPr>
            <t>Common themes in manager-set KRAs:</t>
          </r>
          <r>
            <rPr>
              <rFont val="Calibri"/>
              <sz val="10"/>
            </rPr>
            <t xml:space="preserve"> assigned · improve · resolve · code · leakage qa/uat · coverage</t>
          </r>
        </is>
      </c>
      <c r="P99" s="9" t="inlineStr">
        <is>
          <t>Java · Docker · Java + Angular</t>
        </is>
      </c>
      <c r="Q99" s="9" t="inlineStr">
        <is>
          <t>—</t>
        </is>
      </c>
      <c r="R99" s="9" t="inlineStr">
        <is>
          <t>Standard work delivered independently</t>
        </is>
      </c>
      <c r="S99" s="9" t="inlineStr">
        <is>
          <t>Standard work of the discipline</t>
        </is>
      </c>
      <c r="T99" s="9" t="inlineStr">
        <is>
          <t>Chooses own approach within standards</t>
        </is>
      </c>
      <c r="U99" s="9" t="inlineStr">
        <is>
          <t>Own deliverables · accuracy, TAT</t>
        </is>
      </c>
      <c r="V99" s="9" t="inlineStr">
        <is>
          <t>Not scored in Band A</t>
        </is>
      </c>
      <c r="W99" s="9" t="inlineStr">
        <is>
          <t>0–2 yrs</t>
        </is>
      </c>
      <c r="X99" s="9" t="inlineStr">
        <is>
          <t>Graduate · or diploma with experience</t>
        </is>
      </c>
      <c r="Y99" s="9" t="inlineStr">
        <is>
          <t>Cloud / language certifications · optional; AWS / Azure architect · optional</t>
        </is>
      </c>
      <c r="Z99" s="9" t="inlineStr">
        <is>
          <t>No direct reports</t>
        </is>
      </c>
      <c r="AA99" s="9" t="inlineStr">
        <is>
          <t>Core 2 · Future-ready 2 · Functional 2 · Leadership —</t>
        </is>
      </c>
      <c r="AB99" s="9" t="inlineStr">
        <is>
          <t>Programming &amp; Tech-Stack Depth · System Design &amp; Architecture</t>
        </is>
      </c>
      <c r="AC99" s="9" t="inlineStr">
        <is>
          <t>Database, SQL &amp; Data Engineering · Cloud, DevOps &amp; CI/CD · AI, GenAI &amp; Prompt Engineering · Product, Platform &amp; Domain Knowledge</t>
        </is>
      </c>
      <c r="AD99" s="8" t="inlineStr">
        <is>
          <t>P1–P2</t>
        </is>
      </c>
      <c r="AE99" s="8" t="inlineStr">
        <is>
          <t>2 Assist</t>
        </is>
      </c>
      <c r="AF99" s="9" t="inlineStr">
        <is>
          <r>
            <rPr>
              <rFont val="Calibri"/>
              <b val="1"/>
              <sz val="10"/>
            </rPr>
            <t>Workiva:</t>
          </r>
          <r>
            <rPr>
              <rFont val="Calibri"/>
              <sz val="10"/>
            </rPr>
            <t xml:space="preserve"> Associate SE · Broadridge India: SE · Nasdaq / AxiomSL: SE · Salesforce: AMTS</t>
          </r>
        </is>
      </c>
      <c r="AG99" s="9" t="inlineStr">
        <is>
          <t>SFIA 9 · software development, programming; OWASP secure coding; cloud vendor certifications</t>
        </is>
      </c>
      <c r="AH99" s="9" t="inlineStr">
        <is>
          <t>A3 · Senior Associate</t>
        </is>
      </c>
      <c r="AI99" s="9" t="inlineStr">
        <is>
          <t>Technical depth &amp; architecture · Project / programme management · Leadership &amp; people management · Broader exposure &amp; ownership</t>
        </is>
      </c>
      <c r="AJ99" s="9" t="inlineStr">
        <is>
          <t>design · practices · skills · secure coding · management</t>
        </is>
      </c>
      <c r="AK99" s="9" t="inlineStr">
        <is>
          <t>Formal / classroom training · Mentoring / guidance from seniors</t>
        </is>
      </c>
      <c r="AL99" s="9" t="inlineStr">
        <is>
          <t>requirements</t>
        </is>
      </c>
      <c r="AM99" s="9" t="inlineStr">
        <is>
          <t>documentation · better · requirements · hardware · ai</t>
        </is>
      </c>
      <c r="AN99" s="9" t="inlineStr">
        <is>
          <t>3 of 4 say the role is changing because of AI / automation</t>
        </is>
      </c>
      <c r="AO99" s="9" t="inlineStr">
        <is>
          <t>Build and operate software capabilities. Includes: Application code, data/ML engineering and product reliability. Excludes: Product investment decisions; internal IT service desk.</t>
        </is>
      </c>
      <c r="AP99" s="9" t="inlineStr">
        <is>
          <t>ENG02-1 · Associate Full Stack Engineer</t>
        </is>
      </c>
      <c r="AQ99" s="9" t="inlineStr">
        <is>
          <r>
            <rPr>
              <rFont val="Calibri"/>
              <b val="1"/>
              <sz val="10"/>
            </rPr>
            <t>Complete defined parts under review:</t>
          </r>
          <r>
            <rPr>
              <rFont val="Calibri"/>
              <sz val="10"/>
            </rPr>
            <t xml:space="preserve"> deliver a tested end-to-end feature across ui, api and storage.</t>
          </r>
        </is>
      </c>
      <c r="AR99" s="9" t="inlineStr">
        <is>
          <t>Repeatable correct delivery, safe escalation and required entry eligibility.</t>
        </is>
      </c>
      <c r="AS99" s="9" t="inlineStr">
        <is>
          <t>A working end-to-end journey with usability checks, test coverage and deployment evidence</t>
        </is>
      </c>
      <c r="AT99" s="9" t="inlineStr">
        <is>
          <r>
            <rPr>
              <rFont val="Calibri"/>
              <b val="1"/>
              <sz val="10"/>
            </rPr>
            <t>Regnology:</t>
          </r>
          <r>
            <rPr>
              <rFont val="Calibri"/>
              <sz val="10"/>
            </rPr>
            <t xml:space="preserve"> Senior Software Engineer, Pune · Selected role. Gap: Java role directly supports software delivery and mentoring; full-stack coverage is partial</t>
          </r>
        </is>
      </c>
      <c r="AU99" s="22" t="inlineStr">
        <is>
          <t>Framework + role-holders' themes · 3+ answered</t>
        </is>
      </c>
      <c r="AV99" s="9" t="inlineStr">
        <is>
          <t>4 holders, 4 answered the survey; sub-family 35 answered</t>
        </is>
      </c>
    </row>
    <row r="100" ht="106" customHeight="1">
      <c r="A100" s="17" t="inlineStr">
        <is>
          <t>RC-085</t>
        </is>
      </c>
      <c r="B100" s="9" t="inlineStr">
        <is>
          <t>Engineering &amp; Development</t>
        </is>
      </c>
      <c r="C100" s="9" t="inlineStr">
        <is>
          <t>Full-Stack Development</t>
        </is>
      </c>
      <c r="D100" s="18" t="inlineStr">
        <is>
          <t>A3</t>
        </is>
      </c>
      <c r="E100" s="19" t="inlineStr">
        <is>
          <t>Senior Associate</t>
        </is>
      </c>
      <c r="F100" s="9" t="inlineStr">
        <is>
          <t>IC</t>
        </is>
      </c>
      <c r="G100" s="9" t="inlineStr">
        <is>
          <t>Senior Software Engineer · Technical Specialist</t>
        </is>
      </c>
      <c r="H100" s="8" t="n">
        <v>19</v>
      </c>
      <c r="I100" s="9" t="inlineStr">
        <is>
          <t>CARBON 10 · iFile 8 · iDEAL 1</t>
        </is>
      </c>
      <c r="J100" s="9" t="inlineStr">
        <is>
          <r>
            <rPr>
              <rFont val="Calibri"/>
              <sz val="10"/>
            </rPr>
            <t xml:space="preserve">Builds features end to end — back-end services/APIs plus UI screens. At A3: varied work; reviews juniors; go-to for a process.
</t>
          </r>
          <r>
            <rPr>
              <rFont val="Calibri"/>
              <b val="1"/>
              <sz val="10"/>
            </rPr>
            <t>Common themes in role-holders' answers:</t>
          </r>
          <r>
            <rPr>
              <rFont val="Calibri"/>
              <sz val="10"/>
            </rPr>
            <t xml:space="preserve"> software · requirements · solutions · features · product · develop</t>
          </r>
        </is>
      </c>
      <c r="K100" s="9" t="inlineStr">
        <is>
          <r>
            <rPr>
              <rFont val="Calibri"/>
              <sz val="10"/>
            </rPr>
            <t xml:space="preserve">Builds features end to end — back-end services/APIs plus UI screens; Varied and non-standard work; handles exceptions; A module / process, or work with client or regulatory consequences
</t>
          </r>
          <r>
            <rPr>
              <rFont val="Calibri"/>
              <b val="1"/>
              <sz val="10"/>
            </rPr>
            <t>Common themes in role-holders' answers:</t>
          </r>
          <r>
            <rPr>
              <rFont val="Calibri"/>
              <sz val="10"/>
            </rPr>
            <t xml:space="preserve"> development · bug · support · feature · deployment · fixing</t>
          </r>
        </is>
      </c>
      <c r="L100" s="9" t="inlineStr">
        <is>
          <r>
            <rPr>
              <rFont val="Calibri"/>
              <sz val="10"/>
            </rPr>
            <t xml:space="preserve">A module / process, or work with client or regulatory consequences
</t>
          </r>
          <r>
            <rPr>
              <rFont val="Calibri"/>
              <b val="1"/>
              <sz val="10"/>
            </rPr>
            <t>Common themes in role-holders' answers:</t>
          </r>
          <r>
            <rPr>
              <rFont val="Calibri"/>
              <sz val="10"/>
            </rPr>
            <t xml:space="preserve"> features · solutions · product · apis · software · performance</t>
          </r>
        </is>
      </c>
      <c r="M100" s="9" t="inlineStr">
        <is>
          <r>
            <rPr>
              <rFont val="Calibri"/>
              <sz val="10"/>
            </rPr>
            <t xml:space="preserve">A module / process, or work with client or regulatory consequences
</t>
          </r>
          <r>
            <rPr>
              <rFont val="Calibri"/>
              <b val="1"/>
              <sz val="10"/>
            </rPr>
            <t>Common themes in role-holders' answers:</t>
          </r>
          <r>
            <rPr>
              <rFont val="Calibri"/>
              <sz val="10"/>
            </rPr>
            <t xml:space="preserve"> accountable · feature · production · delivery · quality · bug</t>
          </r>
        </is>
      </c>
      <c r="N100" s="9" t="inlineStr">
        <is>
          <r>
            <rPr>
              <rFont val="Calibri"/>
              <sz val="10"/>
            </rPr>
            <t xml:space="preserve">Technical / QC / client calls on own work
</t>
          </r>
          <r>
            <rPr>
              <rFont val="Calibri"/>
              <b val="1"/>
              <sz val="10"/>
            </rPr>
            <t>Common themes in role-holders' answers:</t>
          </r>
          <r>
            <rPr>
              <rFont val="Calibri"/>
              <sz val="10"/>
            </rPr>
            <t xml:space="preserve"> code · implementation · design · feature · optimization · structure</t>
          </r>
        </is>
      </c>
      <c r="O100" s="9" t="inlineStr">
        <is>
          <r>
            <rPr>
              <rFont val="Calibri"/>
              <b val="1"/>
              <sz val="10"/>
            </rPr>
            <t>Common themes in manager-set KRAs:</t>
          </r>
          <r>
            <rPr>
              <rFont val="Calibri"/>
              <sz val="10"/>
            </rPr>
            <t xml:space="preserve"> complete · improve · code quality · assigned · year · deliver</t>
          </r>
        </is>
      </c>
      <c r="P100" s="9" t="inlineStr">
        <is>
          <t>Java · Debugging · Angular · NET MVC + React · NET MVC + Angular · Spring Boot · NET MVC · Java + Angular</t>
        </is>
      </c>
      <c r="Q100" s="9" t="inlineStr">
        <is>
          <t>VS Code · Visual Studio · Postman · Git · Copilot · Github Copilot · Mongo compass · AI</t>
        </is>
      </c>
      <c r="R100" s="9" t="inlineStr">
        <is>
          <t>Varied work; reviews juniors; go-to for a process</t>
        </is>
      </c>
      <c r="S100" s="9" t="inlineStr">
        <is>
          <t>Varied and non-standard work; handles exceptions</t>
        </is>
      </c>
      <c r="T100" s="9" t="inlineStr">
        <is>
          <t>Technical / QC / client calls on own work</t>
        </is>
      </c>
      <c r="U100" s="9" t="inlineStr">
        <is>
          <t>A module / process, or work with client or regulatory consequences</t>
        </is>
      </c>
      <c r="V100" s="9" t="inlineStr">
        <is>
          <t>Not scored in Band A</t>
        </is>
      </c>
      <c r="W100" s="9" t="inlineStr">
        <is>
          <t>2–4 yrs</t>
        </is>
      </c>
      <c r="X100" s="9" t="inlineStr">
        <is>
          <t>Graduate; relevant certification preferred</t>
        </is>
      </c>
      <c r="Y100" s="9" t="inlineStr">
        <is>
          <t>Cloud / language certifications · optional; AWS / Azure architect · optional</t>
        </is>
      </c>
      <c r="Z100" s="9" t="inlineStr">
        <is>
          <t>None · guides 1–3 juniors informally</t>
        </is>
      </c>
      <c r="AA100" s="9" t="inlineStr">
        <is>
          <t>Core 2 · Future-ready 2 · Functional 3 · Leadership —</t>
        </is>
      </c>
      <c r="AB100" s="9" t="inlineStr">
        <is>
          <t>Programming &amp; Tech-Stack Depth · System Design &amp; Architecture</t>
        </is>
      </c>
      <c r="AC100" s="9" t="inlineStr">
        <is>
          <t>Database, SQL &amp; Data Engineering · Cloud, DevOps &amp; CI/CD · AI, GenAI &amp; Prompt Engineering · Product, Platform &amp; Domain Knowledge</t>
        </is>
      </c>
      <c r="AD100" s="8" t="inlineStr">
        <is>
          <t>P2</t>
        </is>
      </c>
      <c r="AE100" s="8" t="inlineStr">
        <is>
          <t>3 Apply</t>
        </is>
      </c>
      <c r="AF100" s="9" t="inlineStr">
        <is>
          <r>
            <rPr>
              <rFont val="Calibri"/>
              <b val="1"/>
              <sz val="10"/>
            </rPr>
            <t>Workiva:</t>
          </r>
          <r>
            <rPr>
              <rFont val="Calibri"/>
              <sz val="10"/>
            </rPr>
            <t xml:space="preserve"> SE · Broadridge India: SE · Nasdaq / AxiomSL: SE · Salesforce: MTS</t>
          </r>
        </is>
      </c>
      <c r="AG100" s="9" t="inlineStr">
        <is>
          <t>SFIA 9 · software development, programming; OWASP secure coding; cloud vendor certifications</t>
        </is>
      </c>
      <c r="AH100" s="9" t="inlineStr">
        <is>
          <t>B1 · Specialist</t>
        </is>
      </c>
      <c r="AI100" s="9" t="inlineStr">
        <is>
          <t>Technical depth &amp; architecture · Broader exposure &amp; ownership · Leadership &amp; people management · AI / automation · Project / programme management</t>
        </is>
      </c>
      <c r="AJ100" s="9" t="inlineStr">
        <is>
          <t>ai · leadership · secure · stakeholder management · system</t>
        </is>
      </c>
      <c r="AK100" s="9" t="inlineStr">
        <is>
          <t>Mentoring / guidance from seniors · Formal / classroom training · On-the-job / hands-on · Knowledge transfer · KT</t>
        </is>
      </c>
      <c r="AL100" s="9" t="inlineStr">
        <is>
          <t>requirements · ai · unclear · credits · changing</t>
        </is>
      </c>
      <c r="AM100" s="9" t="inlineStr">
        <is>
          <t>clear · requirements · time · changes · development</t>
        </is>
      </c>
      <c r="AN100" s="9" t="inlineStr">
        <is>
          <t>14 of 18 say the role is changing because of AI / automation</t>
        </is>
      </c>
      <c r="AO100" s="9" t="inlineStr">
        <is>
          <t>Build and operate software capabilities. Includes: Application code, data/ML engineering and product reliability. Excludes: Product investment decisions; internal IT service desk.</t>
        </is>
      </c>
      <c r="AP100" s="9" t="inlineStr">
        <is>
          <t>ENG02-2 · Full Stack Engineer</t>
        </is>
      </c>
      <c r="AQ100" s="9" t="inlineStr">
        <is>
          <t>Deliver a tested end-to-end feature across UI, API and storage.</t>
        </is>
      </c>
      <c r="AR100" s="9" t="inlineStr">
        <is>
          <t>Demonstrate routine delivery plus judgement in bounded exceptions.</t>
        </is>
      </c>
      <c r="AS100" s="9" t="inlineStr">
        <is>
          <t>A working end-to-end journey with usability checks, test coverage and deployment evidence</t>
        </is>
      </c>
      <c r="AT100" s="9" t="inlineStr">
        <is>
          <r>
            <rPr>
              <rFont val="Calibri"/>
              <b val="1"/>
              <sz val="10"/>
            </rPr>
            <t>Regnology:</t>
          </r>
          <r>
            <rPr>
              <rFont val="Calibri"/>
              <sz val="10"/>
            </rPr>
            <t xml:space="preserve"> Senior Software Engineer, Pune · Selected role. Gap: Java role directly supports software delivery and mentoring; full-stack coverage is partial</t>
          </r>
        </is>
      </c>
      <c r="AU100" s="22" t="inlineStr">
        <is>
          <t>Framework + role-holders' themes · 3+ answered</t>
        </is>
      </c>
      <c r="AV100" s="9" t="inlineStr">
        <is>
          <t>19 holders, 19 answered the survey; sub-family 35 answered</t>
        </is>
      </c>
    </row>
    <row r="101" ht="93" customHeight="1">
      <c r="A101" s="17" t="inlineStr">
        <is>
          <t>RC-086</t>
        </is>
      </c>
      <c r="B101" s="9" t="inlineStr">
        <is>
          <t>Engineering &amp; Development</t>
        </is>
      </c>
      <c r="C101" s="9" t="inlineStr">
        <is>
          <t>Full-Stack Development</t>
        </is>
      </c>
      <c r="D101" s="21" t="inlineStr">
        <is>
          <t>B1</t>
        </is>
      </c>
      <c r="E101" s="22" t="inlineStr">
        <is>
          <t>Specialist</t>
        </is>
      </c>
      <c r="F101" s="9" t="inlineStr">
        <is>
          <t>IC</t>
        </is>
      </c>
      <c r="G101" s="9" t="inlineStr">
        <is>
          <t>Technical Specialist · Technical Specialist – POD Lead</t>
        </is>
      </c>
      <c r="H101" s="8" t="n">
        <v>4</v>
      </c>
      <c r="I101" s="9" t="inlineStr">
        <is>
          <t>iFile 4</t>
        </is>
      </c>
      <c r="J101" s="9" t="inlineStr">
        <is>
          <r>
            <rPr>
              <rFont val="Calibri"/>
              <sz val="10"/>
            </rPr>
            <t xml:space="preserve">Builds features end to end — back-end services/APIs plus UI screens. At B1: a domain / module, or a small team.
</t>
          </r>
          <r>
            <rPr>
              <rFont val="Calibri"/>
              <b val="1"/>
              <sz val="10"/>
            </rPr>
            <t>Common themes in role-holders' answers:</t>
          </r>
          <r>
            <rPr>
              <rFont val="Calibri"/>
              <sz val="10"/>
            </rPr>
            <t xml:space="preserve"> keep · secure · development · continuously · technical · software</t>
          </r>
        </is>
      </c>
      <c r="K101" s="9" t="inlineStr">
        <is>
          <r>
            <rPr>
              <rFont val="Calibri"/>
              <sz val="10"/>
            </rPr>
            <t xml:space="preserve">Builds features end to end — back-end services/APIs plus UI screens; Domain specialist work; A domain or a small team
</t>
          </r>
          <r>
            <rPr>
              <rFont val="Calibri"/>
              <b val="1"/>
              <sz val="10"/>
            </rPr>
            <t>Common themes in role-holders' answers:</t>
          </r>
          <r>
            <rPr>
              <rFont val="Calibri"/>
              <sz val="10"/>
            </rPr>
            <t xml:space="preserve"> technical · code · production · support · development</t>
          </r>
        </is>
      </c>
      <c r="L101" s="9" t="inlineStr">
        <is>
          <r>
            <rPr>
              <rFont val="Calibri"/>
              <sz val="10"/>
            </rPr>
            <t xml:space="preserve">A domain or a small team
</t>
          </r>
          <r>
            <rPr>
              <rFont val="Calibri"/>
              <b val="1"/>
              <sz val="10"/>
            </rPr>
            <t>Common themes in role-holders' answers:</t>
          </r>
          <r>
            <rPr>
              <rFont val="Calibri"/>
              <sz val="10"/>
            </rPr>
            <t xml:space="preserve"> solutions · software · fixes · technical · deliver · updates</t>
          </r>
        </is>
      </c>
      <c r="M101" s="9" t="inlineStr">
        <is>
          <r>
            <rPr>
              <rFont val="Calibri"/>
              <sz val="10"/>
            </rPr>
            <t xml:space="preserve">A domain or a small team
</t>
          </r>
          <r>
            <rPr>
              <rFont val="Calibri"/>
              <b val="1"/>
              <sz val="10"/>
            </rPr>
            <t>Common themes in role-holders' answers:</t>
          </r>
          <r>
            <rPr>
              <rFont val="Calibri"/>
              <sz val="10"/>
            </rPr>
            <t xml:space="preserve"> accountable · if · correctness · production · database · technical</t>
          </r>
        </is>
      </c>
      <c r="N101" s="9" t="inlineStr">
        <is>
          <r>
            <rPr>
              <rFont val="Calibri"/>
              <sz val="10"/>
            </rPr>
            <t xml:space="preserve">Technical / QC / client calls for the domain
</t>
          </r>
          <r>
            <rPr>
              <rFont val="Calibri"/>
              <b val="1"/>
              <sz val="10"/>
            </rPr>
            <t>Common themes in role-holders' answers:</t>
          </r>
          <r>
            <rPr>
              <rFont val="Calibri"/>
              <sz val="10"/>
            </rPr>
            <t xml:space="preserve"> code · independently · approaches · diagnose · improvements · issues</t>
          </r>
        </is>
      </c>
      <c r="O101" s="9" t="inlineStr">
        <is>
          <r>
            <rPr>
              <rFont val="Calibri"/>
              <b val="1"/>
              <sz val="10"/>
            </rPr>
            <t>Common themes in manager-set KRAs:</t>
          </r>
          <r>
            <rPr>
              <rFont val="Calibri"/>
              <sz val="10"/>
            </rPr>
            <t xml:space="preserve"> improve · defect · assigned · sla · time · production</t>
          </r>
        </is>
      </c>
      <c r="P101" s="9" t="inlineStr">
        <is>
          <t>NET MVC · Angular</t>
        </is>
      </c>
      <c r="Q101" s="9" t="inlineStr">
        <is>
          <t>Visual Studio · SQL Server</t>
        </is>
      </c>
      <c r="R101" s="9" t="inlineStr">
        <is>
          <t>A domain / module, or a small team</t>
        </is>
      </c>
      <c r="S101" s="9" t="inlineStr">
        <is>
          <t>Domain specialist work</t>
        </is>
      </c>
      <c r="T101" s="9" t="inlineStr">
        <is>
          <t>Technical / QC / client calls for the domain</t>
        </is>
      </c>
      <c r="U101" s="9" t="inlineStr">
        <is>
          <t>A domain or a small team</t>
        </is>
      </c>
      <c r="V101" s="9" t="inlineStr">
        <is>
          <r>
            <rPr>
              <rFont val="Calibri"/>
              <b val="1"/>
              <sz val="10"/>
            </rPr>
            <t>IC:</t>
          </r>
          <r>
            <rPr>
              <rFont val="Calibri"/>
              <sz val="10"/>
            </rPr>
            <t xml:space="preserve"> mentors and reviews · People: hands-on team lead of 3–5</t>
          </r>
        </is>
      </c>
      <c r="W101" s="9" t="inlineStr">
        <is>
          <t>4–7 yrs</t>
        </is>
      </c>
      <c r="X101" s="9" t="inlineStr">
        <is>
          <t>Graduate + relevant qualification or certification preferred</t>
        </is>
      </c>
      <c r="Y101" s="9" t="inlineStr">
        <is>
          <t>Cloud / language certifications · optional; AWS / Azure architect · optional</t>
        </is>
      </c>
      <c r="Z101" s="9" t="inlineStr">
        <is>
          <r>
            <rPr>
              <rFont val="Calibri"/>
              <b val="1"/>
              <sz val="10"/>
            </rPr>
            <t>IC:</t>
          </r>
          <r>
            <rPr>
              <rFont val="Calibri"/>
              <sz val="10"/>
            </rPr>
            <t xml:space="preserve"> none · Team Lead: 3–5</t>
          </r>
        </is>
      </c>
      <c r="AA101" s="9" t="inlineStr">
        <is>
          <t>Core 3 · Future-ready 3 · Functional 3 · Leadership 1</t>
        </is>
      </c>
      <c r="AB101" s="9" t="inlineStr">
        <is>
          <t>Programming &amp; Tech-Stack Depth · System Design &amp; Architecture</t>
        </is>
      </c>
      <c r="AC101" s="9" t="inlineStr">
        <is>
          <t>Database, SQL &amp; Data Engineering · Cloud, DevOps &amp; CI/CD · AI, GenAI &amp; Prompt Engineering · Product, Platform &amp; Domain Knowledge</t>
        </is>
      </c>
      <c r="AD101" s="8" t="inlineStr">
        <is>
          <t>P3 / M2</t>
        </is>
      </c>
      <c r="AE101" s="8" t="inlineStr">
        <is>
          <t>4 Enable</t>
        </is>
      </c>
      <c r="AF101" s="9" t="inlineStr">
        <is>
          <r>
            <rPr>
              <rFont val="Calibri"/>
              <b val="1"/>
              <sz val="10"/>
            </rPr>
            <t>Workiva:</t>
          </r>
          <r>
            <rPr>
              <rFont val="Calibri"/>
              <sz val="10"/>
            </rPr>
            <t xml:space="preserve"> SE / Senior SE · Broadridge India: Senior SE · Nasdaq / AxiomSL: Senior SE · Salesforce: MTS</t>
          </r>
        </is>
      </c>
      <c r="AG101" s="9" t="inlineStr">
        <is>
          <t>SFIA 9 · software development, programming; OWASP secure coding; cloud vendor certifications</t>
        </is>
      </c>
      <c r="AH101" s="9" t="inlineStr">
        <is>
          <t>B2 · Senior Specialist</t>
        </is>
      </c>
      <c r="AI101" s="9" t="inlineStr">
        <is>
          <t>Technical depth &amp; architecture · Strategy &amp; business acumen · Domain, regulatory &amp; XBRL · Broader exposure &amp; ownership · Leadership &amp; people management</t>
        </is>
      </c>
      <c r="AJ101" s="9" t="inlineStr">
        <is>
          <t>system · advanced · secure coding · management · leadership</t>
        </is>
      </c>
      <c r="AK101" s="9" t="inlineStr">
        <is>
          <t>Mentoring / guidance from seniors · Formal / classroom training · On-the-job / hands-on</t>
        </is>
      </c>
      <c r="AL101" s="9" t="inlineStr">
        <is>
          <t>changing · requirements · dependencies</t>
        </is>
      </c>
      <c r="AM101" s="9" t="inlineStr">
        <is>
          <t>clearer · requirements</t>
        </is>
      </c>
      <c r="AN101" s="9" t="inlineStr">
        <is>
          <t>3 of 4 say the role is changing because of AI / automation</t>
        </is>
      </c>
      <c r="AO101" s="9" t="inlineStr">
        <is>
          <t>Build and operate software capabilities. Includes: Application code, data/ML engineering and product reliability. Excludes: Product investment decisions; internal IT service desk.</t>
        </is>
      </c>
      <c r="AP101" s="9" t="inlineStr">
        <is>
          <t>ENG02-3 · Senior Full Stack Engineer</t>
        </is>
      </c>
      <c r="AQ101" s="9" t="inlineStr">
        <is>
          <t>Own cross-layer performance, security and deployment choices.</t>
        </is>
      </c>
      <c r="AR101" s="9" t="inlineStr">
        <is>
          <t>Evidence of complex work, decisions and outcomes beyond routine delivery.</t>
        </is>
      </c>
      <c r="AS101" s="9" t="inlineStr">
        <is>
          <t>A working end-to-end journey with usability checks, test coverage and deployment evidence</t>
        </is>
      </c>
      <c r="AT101" s="9" t="inlineStr">
        <is>
          <r>
            <rPr>
              <rFont val="Calibri"/>
              <b val="1"/>
              <sz val="10"/>
            </rPr>
            <t>Regnology:</t>
          </r>
          <r>
            <rPr>
              <rFont val="Calibri"/>
              <sz val="10"/>
            </rPr>
            <t xml:space="preserve"> Senior Software Engineer, Pune · Selected role. Gap: Java role directly supports software delivery and mentoring; full-stack coverage is partial</t>
          </r>
        </is>
      </c>
      <c r="AU101" s="22" t="inlineStr">
        <is>
          <t>Framework + role-holders' themes · 3+ answered</t>
        </is>
      </c>
      <c r="AV101" s="9" t="inlineStr">
        <is>
          <t>4 holders, 4 answered the survey; sub-family 35 answered</t>
        </is>
      </c>
    </row>
    <row r="102" ht="106" customHeight="1">
      <c r="A102" s="17" t="inlineStr">
        <is>
          <t>RC-087</t>
        </is>
      </c>
      <c r="B102" s="9" t="inlineStr">
        <is>
          <t>Engineering &amp; Development</t>
        </is>
      </c>
      <c r="C102" s="9" t="inlineStr">
        <is>
          <t>Full-Stack Development</t>
        </is>
      </c>
      <c r="D102" s="21" t="inlineStr">
        <is>
          <t>B2</t>
        </is>
      </c>
      <c r="E102" s="22" t="inlineStr">
        <is>
          <t>Senior Specialist</t>
        </is>
      </c>
      <c r="F102" s="9" t="inlineStr">
        <is>
          <t>IC</t>
        </is>
      </c>
      <c r="G102" s="9" t="inlineStr">
        <is>
          <t>Lead Software Engineer – POD Lead · Senior Technical Specialist – POD Lead</t>
        </is>
      </c>
      <c r="H102" s="8" t="n">
        <v>2</v>
      </c>
      <c r="I102" s="9" t="inlineStr">
        <is>
          <t>CARBON 1 · iFile 1</t>
        </is>
      </c>
      <c r="J102" s="9" t="inlineStr">
        <is>
          <r>
            <rPr>
              <rFont val="Calibri"/>
              <sz val="10"/>
            </rPr>
            <t xml:space="preserve">Builds features end to end — back-end services/APIs plus UI screens. At B2: deep domain expertise, or one team.
</t>
          </r>
          <r>
            <rPr>
              <rFont val="Calibri"/>
              <b val="1"/>
              <sz val="10"/>
            </rPr>
            <t>Common themes in sub-family holders, all levels' answers:</t>
          </r>
          <r>
            <rPr>
              <rFont val="Calibri"/>
              <sz val="10"/>
            </rPr>
            <t xml:space="preserve"> software · develop · solutions · product · improve · business</t>
          </r>
        </is>
      </c>
      <c r="K102" s="9" t="inlineStr">
        <is>
          <r>
            <rPr>
              <rFont val="Calibri"/>
              <sz val="10"/>
            </rPr>
            <t xml:space="preserve">Builds features end to end — back-end services/APIs plus UI screens; Hardest problems in the domain; One team or a client portfolio
</t>
          </r>
          <r>
            <rPr>
              <rFont val="Calibri"/>
              <b val="1"/>
              <sz val="10"/>
            </rPr>
            <t>Common themes in sub-family holders, all levels' answers:</t>
          </r>
          <r>
            <rPr>
              <rFont val="Calibri"/>
              <sz val="10"/>
            </rPr>
            <t xml:space="preserve"> development · bug · fixing · feature · support · code</t>
          </r>
        </is>
      </c>
      <c r="L102" s="9" t="inlineStr">
        <is>
          <r>
            <rPr>
              <rFont val="Calibri"/>
              <sz val="10"/>
            </rPr>
            <t xml:space="preserve">One team or a client portfolio
</t>
          </r>
          <r>
            <rPr>
              <rFont val="Calibri"/>
              <b val="1"/>
              <sz val="10"/>
            </rPr>
            <t>Common themes in sub-family holders, all levels' answers:</t>
          </r>
          <r>
            <rPr>
              <rFont val="Calibri"/>
              <sz val="10"/>
            </rPr>
            <t xml:space="preserve"> features · software · fixes · bug · solutions · product</t>
          </r>
        </is>
      </c>
      <c r="M102" s="9" t="inlineStr">
        <is>
          <r>
            <rPr>
              <rFont val="Calibri"/>
              <sz val="10"/>
            </rPr>
            <t xml:space="preserve">One team or a client portfolio
</t>
          </r>
          <r>
            <rPr>
              <rFont val="Calibri"/>
              <b val="1"/>
              <sz val="10"/>
            </rPr>
            <t>Common themes in sub-family holders, all levels' answers:</t>
          </r>
          <r>
            <rPr>
              <rFont val="Calibri"/>
              <sz val="10"/>
            </rPr>
            <t xml:space="preserve"> accountable · production · development · quality · delivery · am</t>
          </r>
        </is>
      </c>
      <c r="N102" s="9" t="inlineStr">
        <is>
          <r>
            <rPr>
              <rFont val="Calibri"/>
              <sz val="10"/>
            </rPr>
            <t xml:space="preserve">Allocates people and sets team priorities
</t>
          </r>
          <r>
            <rPr>
              <rFont val="Calibri"/>
              <b val="1"/>
              <sz val="10"/>
            </rPr>
            <t>Common themes in sub-family holders, all levels' answers:</t>
          </r>
          <r>
            <rPr>
              <rFont val="Calibri"/>
              <sz val="10"/>
            </rPr>
            <t xml:space="preserve"> code · implementation · technical · approaches · independently · decisions</t>
          </r>
        </is>
      </c>
      <c r="O102" s="9" t="inlineStr">
        <is>
          <t>—</t>
        </is>
      </c>
      <c r="P102" s="9" t="inlineStr">
        <is>
          <t>Java · Angular · NET MVC · Debugging · React · SQL · NET MVC + Angular · Java + Angular</t>
        </is>
      </c>
      <c r="Q102" s="9" t="inlineStr">
        <is>
          <t>VS Code · Visual Studio · Postman · Git · GitHub Copilot · Angular · Tomcat · Maven</t>
        </is>
      </c>
      <c r="R102" s="9" t="inlineStr">
        <is>
          <t>Deep domain expertise, or one team</t>
        </is>
      </c>
      <c r="S102" s="9" t="inlineStr">
        <is>
          <t>Hardest problems in the domain</t>
        </is>
      </c>
      <c r="T102" s="9" t="inlineStr">
        <is>
          <t>Allocates people and sets team priorities</t>
        </is>
      </c>
      <c r="U102" s="9" t="inlineStr">
        <is>
          <t>One team or a client portfolio</t>
        </is>
      </c>
      <c r="V102" s="9" t="inlineStr">
        <is>
          <r>
            <rPr>
              <rFont val="Calibri"/>
              <b val="1"/>
              <sz val="10"/>
            </rPr>
            <t>IC:</t>
          </r>
          <r>
            <rPr>
              <rFont val="Calibri"/>
              <sz val="10"/>
            </rPr>
            <t xml:space="preserve"> guides others in the domain · People: manages a team of 6+</t>
          </r>
        </is>
      </c>
      <c r="W102" s="9" t="inlineStr">
        <is>
          <t>6–9 yrs</t>
        </is>
      </c>
      <c r="X102" s="9" t="inlineStr">
        <is>
          <t>Graduate or postgraduate; professional qualification preferred</t>
        </is>
      </c>
      <c r="Y102" s="9" t="inlineStr">
        <is>
          <t>Cloud / language certifications · optional; AWS / Azure architect · optional</t>
        </is>
      </c>
      <c r="Z102" s="9" t="inlineStr">
        <is>
          <r>
            <rPr>
              <rFont val="Calibri"/>
              <b val="1"/>
              <sz val="10"/>
            </rPr>
            <t>IC:</t>
          </r>
          <r>
            <rPr>
              <rFont val="Calibri"/>
              <sz val="10"/>
            </rPr>
            <t xml:space="preserve"> none · People: 6–8 knowledge work, 8–12 standardised delivery</t>
          </r>
        </is>
      </c>
      <c r="AA102" s="9" t="inlineStr">
        <is>
          <t>Core 3 · Future-ready 3 · Functional 4 · Leadership 2</t>
        </is>
      </c>
      <c r="AB102" s="9" t="inlineStr">
        <is>
          <t>Programming &amp; Tech-Stack Depth · System Design &amp; Architecture</t>
        </is>
      </c>
      <c r="AC102" s="9" t="inlineStr">
        <is>
          <t>Database, SQL &amp; Data Engineering · Cloud, DevOps &amp; CI/CD · AI, GenAI &amp; Prompt Engineering · Product, Platform &amp; Domain Knowledge</t>
        </is>
      </c>
      <c r="AD102" s="8" t="inlineStr">
        <is>
          <t>P4 / M3</t>
        </is>
      </c>
      <c r="AE102" s="8" t="inlineStr">
        <is>
          <t>4–5</t>
        </is>
      </c>
      <c r="AF102" s="9" t="inlineStr">
        <is>
          <r>
            <rPr>
              <rFont val="Calibri"/>
              <b val="1"/>
              <sz val="10"/>
            </rPr>
            <t>Workiva:</t>
          </r>
          <r>
            <rPr>
              <rFont val="Calibri"/>
              <sz val="10"/>
            </rPr>
            <t xml:space="preserve"> Senior SE · Broadridge India: Lead SE · Nasdaq / AxiomSL: Senior SE · Salesforce: SMTS</t>
          </r>
        </is>
      </c>
      <c r="AG102" s="9" t="inlineStr">
        <is>
          <t>SFIA 9 · software development, programming; OWASP secure coding; cloud vendor certifications</t>
        </is>
      </c>
      <c r="AH102" s="9" t="inlineStr">
        <is>
          <t>B3 · Lead Specialist</t>
        </is>
      </c>
      <c r="AI102" s="9" t="inlineStr">
        <is>
          <t>Technical depth &amp; architecture · AI / automation · Communication &amp; presentation · Broader exposure &amp; ownership</t>
        </is>
      </c>
      <c r="AJ102" s="9" t="inlineStr">
        <is>
          <t>Advanced Java; secure coding &amp; code-quality practices; unit/automated testing; system design fundamentals | strategic thinking, cross-functional influence</t>
        </is>
      </c>
      <c r="AK102" s="9" t="inlineStr">
        <is>
          <t>Mentoring / guidance from seniors · On-the-job / hands-on · Formal / classroom training · Online courses / self-learning · Certification · Knowledge transfer · KT</t>
        </is>
      </c>
      <c r="AL102" s="9" t="inlineStr">
        <is>
          <t>requirements · unclear · ai · credits · changing</t>
        </is>
      </c>
      <c r="AM102" s="9" t="inlineStr">
        <is>
          <t>requirements · clear · development · better · documentation</t>
        </is>
      </c>
      <c r="AN102" s="9" t="inlineStr">
        <is>
          <t>27 of 34 say the role is changing because of AI / automation</t>
        </is>
      </c>
      <c r="AO102" s="9" t="inlineStr">
        <is>
          <t>Build and operate software capabilities. Includes: Application code, data/ML engineering and product reliability. Excludes: Product investment decisions; internal IT service desk.</t>
        </is>
      </c>
      <c r="AP102" s="9" t="inlineStr">
        <is>
          <t>ENG02-3 · Senior Full Stack Engineer</t>
        </is>
      </c>
      <c r="AQ102" s="9" t="inlineStr">
        <is>
          <t>Own cross-layer performance, security and deployment choices.</t>
        </is>
      </c>
      <c r="AR102" s="9" t="inlineStr">
        <is>
          <t>Evidence of complex work, decisions and outcomes beyond routine delivery.</t>
        </is>
      </c>
      <c r="AS102" s="9" t="inlineStr">
        <is>
          <t>A working end-to-end journey with usability checks, test coverage and deployment evidence</t>
        </is>
      </c>
      <c r="AT102" s="9" t="inlineStr">
        <is>
          <r>
            <rPr>
              <rFont val="Calibri"/>
              <b val="1"/>
              <sz val="10"/>
            </rPr>
            <t>Regnology:</t>
          </r>
          <r>
            <rPr>
              <rFont val="Calibri"/>
              <sz val="10"/>
            </rPr>
            <t xml:space="preserve"> Senior Software Engineer, Pune · Selected role. Gap: Java role directly supports software delivery and mentoring; full-stack coverage is partial</t>
          </r>
        </is>
      </c>
      <c r="AU102" s="19" t="inlineStr">
        <is>
          <t>Framework + sub-family themes · 3+ answered</t>
        </is>
      </c>
      <c r="AV102" s="9" t="inlineStr">
        <is>
          <t>2 holders, 2 answered the survey; sub-family 35 answered</t>
        </is>
      </c>
    </row>
    <row r="103" ht="106" customHeight="1">
      <c r="A103" s="17" t="inlineStr">
        <is>
          <t>RC-088</t>
        </is>
      </c>
      <c r="B103" s="9" t="inlineStr">
        <is>
          <t>Engineering &amp; Development</t>
        </is>
      </c>
      <c r="C103" s="9" t="inlineStr">
        <is>
          <t>Full-Stack Development</t>
        </is>
      </c>
      <c r="D103" s="21" t="inlineStr">
        <is>
          <t>B2</t>
        </is>
      </c>
      <c r="E103" s="22" t="inlineStr">
        <is>
          <t>Manager</t>
        </is>
      </c>
      <c r="F103" s="9" t="inlineStr">
        <is>
          <t>Manager</t>
        </is>
      </c>
      <c r="G103" s="9" t="inlineStr">
        <is>
          <t>Engineering Manager</t>
        </is>
      </c>
      <c r="H103" s="8" t="n">
        <v>1</v>
      </c>
      <c r="I103" s="9" t="inlineStr">
        <is>
          <t>iFile 1</t>
        </is>
      </c>
      <c r="J103" s="9" t="inlineStr">
        <is>
          <r>
            <rPr>
              <rFont val="Calibri"/>
              <sz val="10"/>
            </rPr>
            <t xml:space="preserve">Builds features end to end — back-end services/APIs plus UI screens. At B2: deep domain expertise, or one team.
</t>
          </r>
          <r>
            <rPr>
              <rFont val="Calibri"/>
              <b val="1"/>
              <sz val="10"/>
            </rPr>
            <t>Common themes in sub-family holders, all levels' answers:</t>
          </r>
          <r>
            <rPr>
              <rFont val="Calibri"/>
              <sz val="10"/>
            </rPr>
            <t xml:space="preserve"> software · develop · solutions · product · improve · business</t>
          </r>
        </is>
      </c>
      <c r="K103" s="9" t="inlineStr">
        <is>
          <r>
            <rPr>
              <rFont val="Calibri"/>
              <sz val="10"/>
            </rPr>
            <t xml:space="preserve">Builds features end to end — back-end services/APIs plus UI screens; Hardest problems in the domain; One team or a client portfolio
</t>
          </r>
          <r>
            <rPr>
              <rFont val="Calibri"/>
              <b val="1"/>
              <sz val="10"/>
            </rPr>
            <t>Common themes in sub-family holders, all levels' answers:</t>
          </r>
          <r>
            <rPr>
              <rFont val="Calibri"/>
              <sz val="10"/>
            </rPr>
            <t xml:space="preserve"> development · bug · fixing · feature · support · code</t>
          </r>
        </is>
      </c>
      <c r="L103" s="9" t="inlineStr">
        <is>
          <r>
            <rPr>
              <rFont val="Calibri"/>
              <sz val="10"/>
            </rPr>
            <t xml:space="preserve">One team or a client portfolio
</t>
          </r>
          <r>
            <rPr>
              <rFont val="Calibri"/>
              <b val="1"/>
              <sz val="10"/>
            </rPr>
            <t>Common themes in sub-family holders, all levels' answers:</t>
          </r>
          <r>
            <rPr>
              <rFont val="Calibri"/>
              <sz val="10"/>
            </rPr>
            <t xml:space="preserve"> features · software · fixes · bug · solutions · product</t>
          </r>
        </is>
      </c>
      <c r="M103" s="9" t="inlineStr">
        <is>
          <r>
            <rPr>
              <rFont val="Calibri"/>
              <sz val="10"/>
            </rPr>
            <t xml:space="preserve">One team or a client portfolio
</t>
          </r>
          <r>
            <rPr>
              <rFont val="Calibri"/>
              <b val="1"/>
              <sz val="10"/>
            </rPr>
            <t>Common themes in sub-family holders, all levels' answers:</t>
          </r>
          <r>
            <rPr>
              <rFont val="Calibri"/>
              <sz val="10"/>
            </rPr>
            <t xml:space="preserve"> accountable · production · development · quality · delivery · am</t>
          </r>
        </is>
      </c>
      <c r="N103" s="9" t="inlineStr">
        <is>
          <r>
            <rPr>
              <rFont val="Calibri"/>
              <sz val="10"/>
            </rPr>
            <t xml:space="preserve">Allocates people and sets team priorities
</t>
          </r>
          <r>
            <rPr>
              <rFont val="Calibri"/>
              <b val="1"/>
              <sz val="10"/>
            </rPr>
            <t>Common themes in sub-family holders, all levels' answers:</t>
          </r>
          <r>
            <rPr>
              <rFont val="Calibri"/>
              <sz val="10"/>
            </rPr>
            <t xml:space="preserve"> code · implementation · technical · approaches · independently · decisions</t>
          </r>
        </is>
      </c>
      <c r="O103" s="9" t="inlineStr">
        <is>
          <t>—</t>
        </is>
      </c>
      <c r="P103" s="9" t="inlineStr">
        <is>
          <t>Java · Angular · NET MVC · Debugging · React · SQL · NET MVC + Angular · Java + Angular</t>
        </is>
      </c>
      <c r="Q103" s="9" t="inlineStr">
        <is>
          <t>VS Code · Visual Studio · Postman · Git · GitHub Copilot · Angular · Tomcat · Maven</t>
        </is>
      </c>
      <c r="R103" s="9" t="inlineStr">
        <is>
          <t>Deep domain expertise, or one team</t>
        </is>
      </c>
      <c r="S103" s="9" t="inlineStr">
        <is>
          <t>Hardest problems in the domain</t>
        </is>
      </c>
      <c r="T103" s="9" t="inlineStr">
        <is>
          <t>Allocates people and sets team priorities</t>
        </is>
      </c>
      <c r="U103" s="9" t="inlineStr">
        <is>
          <t>One team or a client portfolio</t>
        </is>
      </c>
      <c r="V103" s="9" t="inlineStr">
        <is>
          <r>
            <rPr>
              <rFont val="Calibri"/>
              <b val="1"/>
              <sz val="10"/>
            </rPr>
            <t>IC:</t>
          </r>
          <r>
            <rPr>
              <rFont val="Calibri"/>
              <sz val="10"/>
            </rPr>
            <t xml:space="preserve"> guides others in the domain · People: manages a team of 6+</t>
          </r>
        </is>
      </c>
      <c r="W103" s="9" t="inlineStr">
        <is>
          <t>6–9 yrs</t>
        </is>
      </c>
      <c r="X103" s="9" t="inlineStr">
        <is>
          <t>Graduate or postgraduate; professional qualification preferred</t>
        </is>
      </c>
      <c r="Y103" s="9" t="inlineStr">
        <is>
          <t>Cloud / language certifications · optional; AWS / Azure architect · optional</t>
        </is>
      </c>
      <c r="Z103" s="9" t="inlineStr">
        <is>
          <r>
            <rPr>
              <rFont val="Calibri"/>
              <b val="1"/>
              <sz val="10"/>
            </rPr>
            <t>IC:</t>
          </r>
          <r>
            <rPr>
              <rFont val="Calibri"/>
              <sz val="10"/>
            </rPr>
            <t xml:space="preserve"> none · People: 6–8 knowledge work, 8–12 standardised delivery</t>
          </r>
        </is>
      </c>
      <c r="AA103" s="9" t="inlineStr">
        <is>
          <t>Core 3 · Future-ready 3 · Functional 4 · Leadership 3</t>
        </is>
      </c>
      <c r="AB103" s="9" t="inlineStr">
        <is>
          <t>Programming &amp; Tech-Stack Depth · System Design &amp; Architecture</t>
        </is>
      </c>
      <c r="AC103" s="9" t="inlineStr">
        <is>
          <t>Database, SQL &amp; Data Engineering · Cloud, DevOps &amp; CI/CD · AI, GenAI &amp; Prompt Engineering · Product, Platform &amp; Domain Knowledge</t>
        </is>
      </c>
      <c r="AD103" s="8" t="inlineStr">
        <is>
          <t>P4 / M3</t>
        </is>
      </c>
      <c r="AE103" s="8" t="inlineStr">
        <is>
          <t>4–5</t>
        </is>
      </c>
      <c r="AF103" s="9" t="inlineStr">
        <is>
          <r>
            <rPr>
              <rFont val="Calibri"/>
              <b val="1"/>
              <sz val="10"/>
            </rPr>
            <t>Workiva:</t>
          </r>
          <r>
            <rPr>
              <rFont val="Calibri"/>
              <sz val="10"/>
            </rPr>
            <t xml:space="preserve"> Senior SE · Broadridge India: Lead SE · Nasdaq / AxiomSL: Senior SE · Salesforce: SMTS</t>
          </r>
        </is>
      </c>
      <c r="AG103" s="9" t="inlineStr">
        <is>
          <t>SFIA 9 · software development, programming; OWASP secure coding; cloud vendor certifications</t>
        </is>
      </c>
      <c r="AH103" s="9" t="inlineStr">
        <is>
          <t>B3 · Lead Specialist</t>
        </is>
      </c>
      <c r="AI103" s="9" t="inlineStr">
        <is>
          <t>Leadership &amp; people management · Technical depth &amp; architecture · Domain, regulatory &amp; XBRL · Client, sales &amp; stakeholders · Strategy &amp; business acumen</t>
        </is>
      </c>
      <c r="AJ103" s="9" t="inlineStr">
        <is>
          <t>Architecture &amp; Scalability/Spring AI/System Design &amp; Pattern</t>
        </is>
      </c>
      <c r="AK103" s="9" t="inlineStr">
        <is>
          <t>Mentoring / guidance from seniors · On-the-job / hands-on · Formal / classroom training · Online courses / self-learning · Certification · Knowledge transfer · KT</t>
        </is>
      </c>
      <c r="AL103" s="9" t="inlineStr">
        <is>
          <t>requirements · unclear · ai · credits · changing</t>
        </is>
      </c>
      <c r="AM103" s="9" t="inlineStr">
        <is>
          <t>requirements · clear · development · better · documentation</t>
        </is>
      </c>
      <c r="AN103" s="9" t="inlineStr">
        <is>
          <t>27 of 34 say the role is changing because of AI / automation</t>
        </is>
      </c>
      <c r="AO103" s="9" t="inlineStr">
        <is>
          <t>Build and operate software capabilities. Includes: Application code, data/ML engineering and product reliability. Excludes: Product investment decisions; internal IT service desk.</t>
        </is>
      </c>
      <c r="AP103" s="9" t="inlineStr">
        <is>
          <t>LD01-1 · Engineering Manager</t>
        </is>
      </c>
      <c r="AQ103" s="9" t="inlineStr">
        <is>
          <t>Own staffing decisions, performance support, service quality and delegated team resources</t>
        </is>
      </c>
      <c r="AR103" s="9" t="inlineStr">
        <is>
          <t>Do not manufacture three reporting layers. Choose roles the organisation needs. A specialist may remain on an equally valued expert path.</t>
        </is>
      </c>
      <c r="AS103" s="9" t="inlineStr">
        <is>
          <t>—</t>
        </is>
      </c>
      <c r="AT103" s="9" t="inlineStr">
        <is>
          <t>—</t>
        </is>
      </c>
      <c r="AU103" s="19" t="inlineStr">
        <is>
          <t>Framework + sub-family themes · 3+ answered</t>
        </is>
      </c>
      <c r="AV103" s="9" t="inlineStr">
        <is>
          <t>1 holder, 1 answered the survey; sub-family 35 answered</t>
        </is>
      </c>
    </row>
    <row r="104" ht="106" customHeight="1">
      <c r="A104" s="17" t="inlineStr">
        <is>
          <t>RC-089</t>
        </is>
      </c>
      <c r="B104" s="9" t="inlineStr">
        <is>
          <t>Engineering &amp; Development</t>
        </is>
      </c>
      <c r="C104" s="9" t="inlineStr">
        <is>
          <t>Full-Stack Development</t>
        </is>
      </c>
      <c r="D104" s="21" t="inlineStr">
        <is>
          <t>B3</t>
        </is>
      </c>
      <c r="E104" s="22" t="inlineStr">
        <is>
          <t>Lead Specialist</t>
        </is>
      </c>
      <c r="F104" s="9" t="inlineStr">
        <is>
          <t>IC</t>
        </is>
      </c>
      <c r="G104" s="9" t="inlineStr">
        <is>
          <t>Lead Software Engineer – POD Lead</t>
        </is>
      </c>
      <c r="H104" s="8" t="n">
        <v>1</v>
      </c>
      <c r="I104" s="9" t="inlineStr">
        <is>
          <t>iFile 1</t>
        </is>
      </c>
      <c r="J104" s="9" t="inlineStr">
        <is>
          <r>
            <rPr>
              <rFont val="Calibri"/>
              <sz val="10"/>
            </rPr>
            <t xml:space="preserve">Builds features end to end — back-end services/APIs plus UI screens. At B3: a practice, or several teams through team leads.
</t>
          </r>
          <r>
            <rPr>
              <rFont val="Calibri"/>
              <b val="1"/>
              <sz val="10"/>
            </rPr>
            <t>Common themes in sub-family holders, all levels' answers:</t>
          </r>
          <r>
            <rPr>
              <rFont val="Calibri"/>
              <sz val="10"/>
            </rPr>
            <t xml:space="preserve"> software · develop · solutions · product · improve · business</t>
          </r>
        </is>
      </c>
      <c r="K104" s="9" t="inlineStr">
        <is>
          <r>
            <rPr>
              <rFont val="Calibri"/>
              <sz val="10"/>
            </rPr>
            <t xml:space="preserve">Builds features end to end — back-end services/APIs plus UI screens; Sets standards for a practice; cross-team problems; Several teams or a practice
</t>
          </r>
          <r>
            <rPr>
              <rFont val="Calibri"/>
              <b val="1"/>
              <sz val="10"/>
            </rPr>
            <t>Common themes in sub-family holders, all levels' answers:</t>
          </r>
          <r>
            <rPr>
              <rFont val="Calibri"/>
              <sz val="10"/>
            </rPr>
            <t xml:space="preserve"> development · bug · fixing · feature · support · code</t>
          </r>
        </is>
      </c>
      <c r="L104" s="9" t="inlineStr">
        <is>
          <r>
            <rPr>
              <rFont val="Calibri"/>
              <sz val="10"/>
            </rPr>
            <t xml:space="preserve">Several teams or a practice
</t>
          </r>
          <r>
            <rPr>
              <rFont val="Calibri"/>
              <b val="1"/>
              <sz val="10"/>
            </rPr>
            <t>Common themes in sub-family holders, all levels' answers:</t>
          </r>
          <r>
            <rPr>
              <rFont val="Calibri"/>
              <sz val="10"/>
            </rPr>
            <t xml:space="preserve"> features · software · fixes · bug · solutions · product</t>
          </r>
        </is>
      </c>
      <c r="M104" s="9" t="inlineStr">
        <is>
          <r>
            <rPr>
              <rFont val="Calibri"/>
              <sz val="10"/>
            </rPr>
            <t xml:space="preserve">Several teams or a practice
</t>
          </r>
          <r>
            <rPr>
              <rFont val="Calibri"/>
              <b val="1"/>
              <sz val="10"/>
            </rPr>
            <t>Common themes in sub-family holders, all levels' answers:</t>
          </r>
          <r>
            <rPr>
              <rFont val="Calibri"/>
              <sz val="10"/>
            </rPr>
            <t xml:space="preserve"> accountable · production · development · quality · delivery · am</t>
          </r>
        </is>
      </c>
      <c r="N104" s="9" t="inlineStr">
        <is>
          <r>
            <rPr>
              <rFont val="Calibri"/>
              <sz val="10"/>
            </rPr>
            <t xml:space="preserve">Commercial / strategic calls for the unit
</t>
          </r>
          <r>
            <rPr>
              <rFont val="Calibri"/>
              <b val="1"/>
              <sz val="10"/>
            </rPr>
            <t>Common themes in sub-family holders, all levels' answers:</t>
          </r>
          <r>
            <rPr>
              <rFont val="Calibri"/>
              <sz val="10"/>
            </rPr>
            <t xml:space="preserve"> code · implementation · technical · approaches · independently · decisions</t>
          </r>
        </is>
      </c>
      <c r="O104" s="9" t="inlineStr">
        <is>
          <t>—</t>
        </is>
      </c>
      <c r="P104" s="9" t="inlineStr">
        <is>
          <t>Java · Angular · NET MVC · Debugging · React · SQL · NET MVC + Angular · Java + Angular</t>
        </is>
      </c>
      <c r="Q104" s="9" t="inlineStr">
        <is>
          <t>VS Code · Visual Studio · Postman · Git · GitHub Copilot · Angular · Tomcat · Maven</t>
        </is>
      </c>
      <c r="R104" s="9" t="inlineStr">
        <is>
          <t>A practice, or several teams through team leads</t>
        </is>
      </c>
      <c r="S104" s="9" t="inlineStr">
        <is>
          <t>Sets standards for a practice; cross-team problems</t>
        </is>
      </c>
      <c r="T104" s="9" t="inlineStr">
        <is>
          <t>Commercial / strategic calls for the unit</t>
        </is>
      </c>
      <c r="U104" s="9" t="inlineStr">
        <is>
          <t>Several teams or a practice</t>
        </is>
      </c>
      <c r="V104" s="9" t="inlineStr">
        <is>
          <r>
            <rPr>
              <rFont val="Calibri"/>
              <b val="1"/>
              <sz val="10"/>
            </rPr>
            <t>IC:</t>
          </r>
          <r>
            <rPr>
              <rFont val="Calibri"/>
              <sz val="10"/>
            </rPr>
            <t xml:space="preserve"> leads a practice · People: team leads / managers report in</t>
          </r>
        </is>
      </c>
      <c r="W104" s="9" t="inlineStr">
        <is>
          <t>8–12 yrs</t>
        </is>
      </c>
      <c r="X104" s="9" t="inlineStr">
        <is>
          <t>Postgraduate or professional qualification preferred</t>
        </is>
      </c>
      <c r="Y104" s="9" t="inlineStr">
        <is>
          <t>Cloud / language certifications · optional; AWS / Azure architect · optional</t>
        </is>
      </c>
      <c r="Z104" s="9" t="inlineStr">
        <is>
          <r>
            <rPr>
              <rFont val="Calibri"/>
              <b val="1"/>
              <sz val="10"/>
            </rPr>
            <t>IC:</t>
          </r>
          <r>
            <rPr>
              <rFont val="Calibri"/>
              <sz val="10"/>
            </rPr>
            <t xml:space="preserve"> none · People: 5–8 incl. team leads</t>
          </r>
        </is>
      </c>
      <c r="AA104" s="9" t="inlineStr">
        <is>
          <t>Core 4 · Future-ready 3 · Functional 4 · Leadership 3</t>
        </is>
      </c>
      <c r="AB104" s="9" t="inlineStr">
        <is>
          <t>Programming &amp; Tech-Stack Depth · System Design &amp; Architecture</t>
        </is>
      </c>
      <c r="AC104" s="9" t="inlineStr">
        <is>
          <t>Database, SQL &amp; Data Engineering · Cloud, DevOps &amp; CI/CD · AI, GenAI &amp; Prompt Engineering · Product, Platform &amp; Domain Knowledge</t>
        </is>
      </c>
      <c r="AD104" s="8" t="inlineStr">
        <is>
          <t>P5 / M4</t>
        </is>
      </c>
      <c r="AE104" s="8" t="inlineStr">
        <is>
          <t>5 Ensure, advise</t>
        </is>
      </c>
      <c r="AF104" s="9" t="inlineStr">
        <is>
          <r>
            <rPr>
              <rFont val="Calibri"/>
              <b val="1"/>
              <sz val="10"/>
            </rPr>
            <t>Workiva:</t>
          </r>
          <r>
            <rPr>
              <rFont val="Calibri"/>
              <sz val="10"/>
            </rPr>
            <t xml:space="preserve"> Staff SE · Broadridge India: Senior Lead SE · Nasdaq / AxiomSL: Lead SE · Salesforce: LMTS</t>
          </r>
        </is>
      </c>
      <c r="AG104" s="9" t="inlineStr">
        <is>
          <t>SFIA 9 · software development, programming; OWASP secure coding; cloud vendor certifications</t>
        </is>
      </c>
      <c r="AH104" s="9" t="inlineStr">
        <is>
          <t>C1 · Principal · or B+ · Player-Coach transition step if leading people hands-on</t>
        </is>
      </c>
      <c r="AI104" s="9" t="inlineStr">
        <is>
          <t>Certification / formal course</t>
        </is>
      </c>
      <c r="AJ104" s="9" t="inlineStr">
        <is>
          <t>AI Training</t>
        </is>
      </c>
      <c r="AK104" s="9" t="inlineStr">
        <is>
          <t>Mentoring / guidance from seniors · On-the-job / hands-on · Formal / classroom training · Online courses / self-learning · Certification · Knowledge transfer · KT</t>
        </is>
      </c>
      <c r="AL104" s="9" t="inlineStr">
        <is>
          <t>requirements · unclear · ai · credits · changing</t>
        </is>
      </c>
      <c r="AM104" s="9" t="inlineStr">
        <is>
          <t>requirements · clear · development · better · documentation</t>
        </is>
      </c>
      <c r="AN104" s="9" t="inlineStr">
        <is>
          <t>27 of 34 say the role is changing because of AI / automation</t>
        </is>
      </c>
      <c r="AO104" s="9" t="inlineStr">
        <is>
          <t>Build and operate software capabilities. Includes: Application code, data/ML engineering and product reliability. Excludes: Product investment decisions; internal IT service desk.</t>
        </is>
      </c>
      <c r="AP104" s="9" t="inlineStr">
        <is>
          <t>ENG02-4 · Staff Full Stack Engineer</t>
        </is>
      </c>
      <c r="AQ104" s="9" t="inlineStr">
        <is>
          <t>Reduce systemic coupling across products through reusable platform decisions.</t>
        </is>
      </c>
      <c r="AR104" s="9" t="inlineStr">
        <is>
          <t>Adoption beyond own work; recurring authority and measurable wider outcomes.</t>
        </is>
      </c>
      <c r="AS104" s="9" t="inlineStr">
        <is>
          <t>A working end-to-end journey with usability checks, test coverage and deployment evidence</t>
        </is>
      </c>
      <c r="AT104" s="9" t="inlineStr">
        <is>
          <r>
            <rPr>
              <rFont val="Calibri"/>
              <b val="1"/>
              <sz val="10"/>
            </rPr>
            <t>Regnology:</t>
          </r>
          <r>
            <rPr>
              <rFont val="Calibri"/>
              <sz val="10"/>
            </rPr>
            <t xml:space="preserve"> Senior Software Engineer, Pune · Selected role. Gap: Java role directly supports software delivery and mentoring; full-stack coverage is partial</t>
          </r>
        </is>
      </c>
      <c r="AU104" s="19" t="inlineStr">
        <is>
          <t>Framework + sub-family themes · 3+ answered</t>
        </is>
      </c>
      <c r="AV104" s="9" t="inlineStr">
        <is>
          <t>1 holder, 1 answered the survey; sub-family 35 answered</t>
        </is>
      </c>
    </row>
    <row r="105">
      <c r="A105" s="94" t="inlineStr">
        <is>
          <t>Executive Leadership — 5 roles · 11 people</t>
        </is>
      </c>
    </row>
    <row r="106" ht="80" customHeight="1">
      <c r="A106" s="17" t="inlineStr">
        <is>
          <t>RC-090</t>
        </is>
      </c>
      <c r="B106" s="9" t="inlineStr">
        <is>
          <t>Executive Leadership</t>
        </is>
      </c>
      <c r="C106" s="9" t="inlineStr">
        <is>
          <t>Business &amp; Functional Leadership</t>
        </is>
      </c>
      <c r="D106" s="33" t="inlineStr">
        <is>
          <t>D1</t>
        </is>
      </c>
      <c r="E106" s="34" t="inlineStr">
        <is>
          <t>Associate Vice President / Business Head</t>
        </is>
      </c>
      <c r="F106" s="9" t="inlineStr">
        <is>
          <t>Manager</t>
        </is>
      </c>
      <c r="G106" s="9" t="inlineStr">
        <is>
          <t>Senior Vice President – Customer Experience · Business Head – iDEAL</t>
        </is>
      </c>
      <c r="H106" s="8" t="n">
        <v>2</v>
      </c>
      <c r="I106" s="9" t="inlineStr">
        <is>
          <t>CARBON 1 · iDEAL 1</t>
        </is>
      </c>
      <c r="J106" s="9" t="inlineStr">
        <is>
          <t>Owns a business line or enterprise function end to end. At D1: a business line P&amp;L, region or enterprise function.</t>
        </is>
      </c>
      <c r="K106" s="9" t="inlineStr">
        <is>
          <t>Owns a business line or enterprise function end to end; Competing strategic, financial and regulatory priorities; Business-line P&amp;L and market position</t>
        </is>
      </c>
      <c r="L106" s="9" t="inlineStr">
        <is>
          <t>Business-line P&amp;L and market position</t>
        </is>
      </c>
      <c r="M106" s="9" t="inlineStr">
        <is>
          <t>Business-line P&amp;L and market position</t>
        </is>
      </c>
      <c r="N106" s="9" t="inlineStr">
        <is>
          <t>Sets business-line direction, pricing and investment</t>
        </is>
      </c>
      <c r="O106" s="9" t="inlineStr">
        <is>
          <t>—</t>
        </is>
      </c>
      <c r="P106" s="9" t="inlineStr">
        <is>
          <t>Product Management</t>
        </is>
      </c>
      <c r="Q106" s="9" t="inlineStr">
        <is>
          <t>—</t>
        </is>
      </c>
      <c r="R106" s="9" t="inlineStr">
        <is>
          <t>A business line P&amp;L, region or enterprise function</t>
        </is>
      </c>
      <c r="S106" s="9" t="inlineStr">
        <is>
          <t>Competing strategic, financial and regulatory priorities</t>
        </is>
      </c>
      <c r="T106" s="9" t="inlineStr">
        <is>
          <t>Sets business-line direction, pricing and investment</t>
        </is>
      </c>
      <c r="U106" s="9" t="inlineStr">
        <is>
          <t>Business-line P&amp;L and market position</t>
        </is>
      </c>
      <c r="V106" s="9" t="inlineStr">
        <is>
          <t>Defines business strategy; builds the leadership bench</t>
        </is>
      </c>
      <c r="W106" s="9" t="inlineStr">
        <is>
          <t>15–20 yrs</t>
        </is>
      </c>
      <c r="X106" s="9" t="inlineStr">
        <is>
          <t>Postgraduate / professional qualification preferred</t>
        </is>
      </c>
      <c r="Y106" s="9" t="inlineStr">
        <is>
          <t>MBA / PGDM · preferred at C+</t>
        </is>
      </c>
      <c r="Z106" s="9" t="inlineStr">
        <is>
          <t>5–8 heads</t>
        </is>
      </c>
      <c r="AA106" s="9" t="inlineStr">
        <is>
          <t>Core 5 · Future-ready 4 · Functional 4 · Leadership 5</t>
        </is>
      </c>
      <c r="AB106" s="9" t="inlineStr">
        <is>
          <t>Strategic Thinking &amp; Business Acumen · People Leadership &amp; Mentoring</t>
        </is>
      </c>
      <c r="AC106" s="9" t="inlineStr">
        <is>
          <t>Stakeholder &amp; Client Management · Product, Platform &amp; Domain Knowledge · Regulatory &amp; BFSI Domain · Communication &amp; Presentation</t>
        </is>
      </c>
      <c r="AD106" s="8" t="inlineStr">
        <is>
          <t>E1–E2</t>
        </is>
      </c>
      <c r="AE106" s="8" t="inlineStr">
        <is>
          <t>6–7</t>
        </is>
      </c>
      <c r="AF106" s="9" t="inlineStr">
        <is>
          <t>IRIS Vs Market Benchmark — Aon Radford / Mercer executive codes: E1–E2 VP / Business Head · IRIS Vs Competitor Benchmark — regtech / SaaS executive titles: General Manager / VP</t>
        </is>
      </c>
      <c r="AG106" s="9" t="inlineStr">
        <is>
          <t>Aon Radford executive levels E1–E6; Mercer ET1–ET3; Korn Ferry Leadership Architect</t>
        </is>
      </c>
      <c r="AH106" s="9" t="inlineStr">
        <is>
          <t>D2 · —</t>
        </is>
      </c>
      <c r="AI106" s="9" t="inlineStr">
        <is>
          <t>—</t>
        </is>
      </c>
      <c r="AJ106" s="9" t="inlineStr">
        <is>
          <t>Training on the effective utilization of AI tools.</t>
        </is>
      </c>
      <c r="AK106" s="9" t="inlineStr">
        <is>
          <t>—</t>
        </is>
      </c>
      <c r="AL106" s="9" t="inlineStr">
        <is>
          <t>—</t>
        </is>
      </c>
      <c r="AM106" s="9" t="inlineStr">
        <is>
          <t>—</t>
        </is>
      </c>
      <c r="AN106" s="9" t="inlineStr">
        <is>
          <t>—</t>
        </is>
      </c>
      <c r="AO106" s="9" t="inlineStr">
        <is>
          <t>Integrate enterprise or business outcomes. Includes: Business-unit, enterprise and exceptional expert mandates. Excludes: A generic promotion destination without a new accountable role.</t>
        </is>
      </c>
      <c r="AP106" s="9" t="inlineStr">
        <is>
          <t>EX01 · Business Unit Head / General Manager</t>
        </is>
      </c>
      <c r="AQ106" s="9" t="inlineStr">
        <is>
          <t>Own integrated commercial, operational, financial and risk outcomes for a defined business</t>
        </is>
      </c>
      <c r="AR106" s="9" t="inlineStr">
        <is>
          <t>A transition from functional leadership; size and delegated P&amp;L/resource mandate determine level.</t>
        </is>
      </c>
      <c r="AS106" s="9" t="inlineStr">
        <is>
          <t>—</t>
        </is>
      </c>
      <c r="AT106" s="9" t="inlineStr">
        <is>
          <t>—</t>
        </is>
      </c>
      <c r="AU106" s="57" t="inlineStr">
        <is>
          <t>Framework only · fewer than 3 answered</t>
        </is>
      </c>
      <c r="AV106" s="9" t="inlineStr">
        <is>
          <t>2 holders, 0 answered the survey; sub-family 0 answered</t>
        </is>
      </c>
    </row>
    <row r="107" ht="80" customHeight="1">
      <c r="A107" s="17" t="inlineStr">
        <is>
          <t>RC-091</t>
        </is>
      </c>
      <c r="B107" s="9" t="inlineStr">
        <is>
          <t>Executive Leadership</t>
        </is>
      </c>
      <c r="C107" s="9" t="inlineStr">
        <is>
          <t>Business &amp; Functional Leadership</t>
        </is>
      </c>
      <c r="D107" s="33" t="inlineStr">
        <is>
          <t>D2</t>
        </is>
      </c>
      <c r="E107" s="34" t="inlineStr">
        <is>
          <t>Vice President</t>
        </is>
      </c>
      <c r="F107" s="9" t="inlineStr">
        <is>
          <t>Manager</t>
        </is>
      </c>
      <c r="G107" s="9" t="inlineStr">
        <is>
          <t>Business Head · Business Head – SupTech &amp; Bank-RegTech · Business Head – DataTech</t>
        </is>
      </c>
      <c r="H107" s="8" t="n">
        <v>3</v>
      </c>
      <c r="I107" s="9" t="inlineStr">
        <is>
          <t>CARBON 1 · iFile 1 · Datatech 1</t>
        </is>
      </c>
      <c r="J107" s="9" t="inlineStr">
        <is>
          <t>Owns a business line or enterprise function end to end. At D2: several business lines or an executive-scope enterprise function.</t>
        </is>
      </c>
      <c r="K107" s="9" t="inlineStr">
        <is>
          <t>Owns a business line or enterprise function end to end; Portfolio-level strategic, financial and regulatory trade-offs; Multi-business results</t>
        </is>
      </c>
      <c r="L107" s="9" t="inlineStr">
        <is>
          <t>Multi-business results</t>
        </is>
      </c>
      <c r="M107" s="9" t="inlineStr">
        <is>
          <t>Multi-business results</t>
        </is>
      </c>
      <c r="N107" s="9" t="inlineStr">
        <is>
          <t>Sets direction across business lines</t>
        </is>
      </c>
      <c r="O107" s="9" t="inlineStr">
        <is>
          <t>—</t>
        </is>
      </c>
      <c r="P107" s="9" t="inlineStr">
        <is>
          <t>Product Management</t>
        </is>
      </c>
      <c r="Q107" s="9" t="inlineStr">
        <is>
          <t>—</t>
        </is>
      </c>
      <c r="R107" s="9" t="inlineStr">
        <is>
          <t>Several business lines or an executive-scope enterprise function</t>
        </is>
      </c>
      <c r="S107" s="9" t="inlineStr">
        <is>
          <t>Portfolio-level strategic, financial and regulatory trade-offs</t>
        </is>
      </c>
      <c r="T107" s="9" t="inlineStr">
        <is>
          <t>Sets direction across business lines</t>
        </is>
      </c>
      <c r="U107" s="9" t="inlineStr">
        <is>
          <t>Multi-business results</t>
        </is>
      </c>
      <c r="V107" s="9" t="inlineStr">
        <is>
          <t>Builds the leadership team across businesses</t>
        </is>
      </c>
      <c r="W107" s="9" t="inlineStr">
        <is>
          <t>18–24 yrs</t>
        </is>
      </c>
      <c r="X107" s="9" t="inlineStr">
        <is>
          <t>Postgraduate / professional qualification preferred</t>
        </is>
      </c>
      <c r="Y107" s="9" t="inlineStr">
        <is>
          <t>MBA / PGDM · preferred at C+</t>
        </is>
      </c>
      <c r="Z107" s="9" t="inlineStr">
        <is>
          <t>5–8 AVPs / heads</t>
        </is>
      </c>
      <c r="AA107" s="9" t="inlineStr">
        <is>
          <t>Core 5 · Future-ready 4 · Functional 4 · Leadership 5</t>
        </is>
      </c>
      <c r="AB107" s="9" t="inlineStr">
        <is>
          <t>Strategic Thinking &amp; Business Acumen · People Leadership &amp; Mentoring</t>
        </is>
      </c>
      <c r="AC107" s="9" t="inlineStr">
        <is>
          <t>Stakeholder &amp; Client Management · Product, Platform &amp; Domain Knowledge · Regulatory &amp; BFSI Domain · Communication &amp; Presentation</t>
        </is>
      </c>
      <c r="AD107" s="8" t="inlineStr">
        <is>
          <t>E3–E4</t>
        </is>
      </c>
      <c r="AE107" s="8" t="inlineStr">
        <is>
          <t>7 Set strategy</t>
        </is>
      </c>
      <c r="AF107" s="9" t="inlineStr">
        <is>
          <t>IRIS Vs Market Benchmark — Aon Radford / Mercer executive codes: E3–E4 SVP · IRIS Vs Competitor Benchmark — regtech / SaaS executive titles: SVP</t>
        </is>
      </c>
      <c r="AG107" s="9" t="inlineStr">
        <is>
          <t>Aon Radford executive levels E1–E6; Mercer ET1–ET3; Korn Ferry Leadership Architect</t>
        </is>
      </c>
      <c r="AH107" s="9" t="inlineStr">
        <is>
          <t>E1 · —</t>
        </is>
      </c>
      <c r="AI107" s="9" t="inlineStr">
        <is>
          <t>—</t>
        </is>
      </c>
      <c r="AJ107" s="9" t="inlineStr">
        <is>
          <t>Leaderdership coaching and stakeholder management, | leadership coaching</t>
        </is>
      </c>
      <c r="AK107" s="9" t="inlineStr">
        <is>
          <t>—</t>
        </is>
      </c>
      <c r="AL107" s="9" t="inlineStr">
        <is>
          <t>—</t>
        </is>
      </c>
      <c r="AM107" s="9" t="inlineStr">
        <is>
          <t>—</t>
        </is>
      </c>
      <c r="AN107" s="9" t="inlineStr">
        <is>
          <t>—</t>
        </is>
      </c>
      <c r="AO107" s="9" t="inlineStr">
        <is>
          <t>Integrate enterprise or business outcomes. Includes: Business-unit, enterprise and exceptional expert mandates. Excludes: A generic promotion destination without a new accountable role.</t>
        </is>
      </c>
      <c r="AP107" s="9" t="inlineStr">
        <is>
          <t>EX01 · Business Unit Head / General Manager</t>
        </is>
      </c>
      <c r="AQ107" s="9" t="inlineStr">
        <is>
          <t>Own integrated commercial, operational, financial and risk outcomes for a defined business</t>
        </is>
      </c>
      <c r="AR107" s="9" t="inlineStr">
        <is>
          <t>A transition from functional leadership; size and delegated P&amp;L/resource mandate determine level.</t>
        </is>
      </c>
      <c r="AS107" s="9" t="inlineStr">
        <is>
          <t>—</t>
        </is>
      </c>
      <c r="AT107" s="9" t="inlineStr">
        <is>
          <t>—</t>
        </is>
      </c>
      <c r="AU107" s="57" t="inlineStr">
        <is>
          <t>Framework only · fewer than 3 answered</t>
        </is>
      </c>
      <c r="AV107" s="9" t="inlineStr">
        <is>
          <t>3 holders, 0 answered the survey; sub-family 0 answered</t>
        </is>
      </c>
    </row>
    <row r="108" ht="80" customHeight="1">
      <c r="A108" s="17" t="inlineStr">
        <is>
          <t>RC-092</t>
        </is>
      </c>
      <c r="B108" s="9" t="inlineStr">
        <is>
          <t>Executive Leadership</t>
        </is>
      </c>
      <c r="C108" s="9" t="inlineStr">
        <is>
          <t>Enterprise Leadership</t>
        </is>
      </c>
      <c r="D108" s="36" t="inlineStr">
        <is>
          <t>E1</t>
        </is>
      </c>
      <c r="E108" s="37" t="inlineStr">
        <is>
          <t>CXO / President</t>
        </is>
      </c>
      <c r="F108" s="9" t="inlineStr">
        <is>
          <t>Manager</t>
        </is>
      </c>
      <c r="G108" s="9" t="inlineStr">
        <is>
          <t>Chief Revenue Officer · Chief Financial Officer · Chief Operating Officer · Chief Technology Officer</t>
        </is>
      </c>
      <c r="H108" s="8" t="n">
        <v>4</v>
      </c>
      <c r="I108" s="9" t="inlineStr">
        <is>
          <t>Corporate 3 · CARBON 1</t>
        </is>
      </c>
      <c r="J108" s="9" t="inlineStr">
        <is>
          <t>Sets enterprise strategy; leads the executive team. At E1: an enterprise-wide function.</t>
        </is>
      </c>
      <c r="K108" s="9" t="inlineStr">
        <is>
          <t>Sets enterprise strategy; leads the executive team; Enterprise-level functional strategy; Enterprise-wide functional results</t>
        </is>
      </c>
      <c r="L108" s="9" t="inlineStr">
        <is>
          <t>Enterprise-wide functional results</t>
        </is>
      </c>
      <c r="M108" s="9" t="inlineStr">
        <is>
          <t>Enterprise-wide functional results</t>
        </is>
      </c>
      <c r="N108" s="9" t="inlineStr">
        <is>
          <t>Sets enterprise priorities for the function</t>
        </is>
      </c>
      <c r="O108" s="9" t="inlineStr">
        <is>
          <t>—</t>
        </is>
      </c>
      <c r="P108" s="9" t="inlineStr">
        <is>
          <t>Management · Sales</t>
        </is>
      </c>
      <c r="Q108" s="9" t="inlineStr">
        <is>
          <t>—</t>
        </is>
      </c>
      <c r="R108" s="9" t="inlineStr">
        <is>
          <t>An enterprise-wide function</t>
        </is>
      </c>
      <c r="S108" s="9" t="inlineStr">
        <is>
          <t>Enterprise-level functional strategy</t>
        </is>
      </c>
      <c r="T108" s="9" t="inlineStr">
        <is>
          <t>Sets enterprise priorities for the function</t>
        </is>
      </c>
      <c r="U108" s="9" t="inlineStr">
        <is>
          <t>Enterprise-wide functional results</t>
        </is>
      </c>
      <c r="V108" s="9" t="inlineStr">
        <is>
          <t>Shapes enterprise strategy</t>
        </is>
      </c>
      <c r="W108" s="9" t="inlineStr">
        <is>
          <t>20+ yrs</t>
        </is>
      </c>
      <c r="X108" s="9" t="inlineStr">
        <is>
          <t>Postgraduate / professional qualification; business leadership record</t>
        </is>
      </c>
      <c r="Y108" s="9" t="inlineStr">
        <is>
          <t>MBA / PGDM · preferred at C+</t>
        </is>
      </c>
      <c r="Z108" s="9" t="inlineStr">
        <is>
          <t>5–8 function heads</t>
        </is>
      </c>
      <c r="AA108" s="9" t="inlineStr">
        <is>
          <t>Core 5 · Future-ready 5 · Functional 4 · Leadership 5</t>
        </is>
      </c>
      <c r="AB108" s="9" t="inlineStr">
        <is>
          <t>Strategic Thinking &amp; Business Acumen · People Leadership &amp; Mentoring</t>
        </is>
      </c>
      <c r="AC108" s="9" t="inlineStr">
        <is>
          <t>Stakeholder &amp; Client Management · Product, Platform &amp; Domain Knowledge · Regulatory &amp; BFSI Domain · Communication &amp; Presentation</t>
        </is>
      </c>
      <c r="AD108" s="8" t="inlineStr">
        <is>
          <t>E5</t>
        </is>
      </c>
      <c r="AE108" s="8" t="inlineStr">
        <is>
          <t>7</t>
        </is>
      </c>
      <c r="AF108" s="9" t="inlineStr">
        <is>
          <t>IRIS Vs Market Benchmark — Aon Radford / Mercer executive codes: E5 C-level · functional · IRIS Vs Competitor Benchmark — regtech / SaaS executive titles: CTO · CFO · CRO · CCO · COO</t>
        </is>
      </c>
      <c r="AG108" s="9" t="inlineStr">
        <is>
          <t>Aon Radford executive levels E1–E6; Mercer ET1–ET3; Korn Ferry Leadership Architect</t>
        </is>
      </c>
      <c r="AH108" s="9" t="inlineStr">
        <is>
          <t>E2 · —</t>
        </is>
      </c>
      <c r="AI108" s="9" t="inlineStr">
        <is>
          <t>—</t>
        </is>
      </c>
      <c r="AJ108" s="9" t="inlineStr">
        <is>
          <t>—</t>
        </is>
      </c>
      <c r="AK108" s="9" t="inlineStr">
        <is>
          <t>—</t>
        </is>
      </c>
      <c r="AL108" s="9" t="inlineStr">
        <is>
          <t>—</t>
        </is>
      </c>
      <c r="AM108" s="9" t="inlineStr">
        <is>
          <t>—</t>
        </is>
      </c>
      <c r="AN108" s="9" t="inlineStr">
        <is>
          <t>—</t>
        </is>
      </c>
      <c r="AO108" s="9" t="inlineStr">
        <is>
          <t>Integrate enterprise or business outcomes. Includes: Business-unit, enterprise and exceptional expert mandates. Excludes: A generic promotion destination without a new accountable role.</t>
        </is>
      </c>
      <c r="AP108" s="9" t="inlineStr">
        <is>
          <t>EX02 · President / Chief Operating Officer</t>
        </is>
      </c>
      <c r="AQ108" s="9" t="inlineStr">
        <is>
          <t>Own enterprise operating strategy and cross-functional resource trade-offs</t>
        </is>
      </c>
      <c r="AR108" s="9" t="inlineStr">
        <is>
          <t>CEO, president and COO are alternative mandates; no compulsory intermediate title.</t>
        </is>
      </c>
      <c r="AS108" s="9" t="inlineStr">
        <is>
          <t>—</t>
        </is>
      </c>
      <c r="AT108" s="9" t="inlineStr">
        <is>
          <t>—</t>
        </is>
      </c>
      <c r="AU108" s="57" t="inlineStr">
        <is>
          <t>Framework only · fewer than 3 answered</t>
        </is>
      </c>
      <c r="AV108" s="9" t="inlineStr">
        <is>
          <t>4 holders, 0 answered the survey; sub-family 0 answered</t>
        </is>
      </c>
    </row>
    <row r="109" ht="80" customHeight="1">
      <c r="A109" s="17" t="inlineStr">
        <is>
          <t>RC-093</t>
        </is>
      </c>
      <c r="B109" s="9" t="inlineStr">
        <is>
          <t>Executive Leadership</t>
        </is>
      </c>
      <c r="C109" s="9" t="inlineStr">
        <is>
          <t>Enterprise Leadership</t>
        </is>
      </c>
      <c r="D109" s="36" t="inlineStr">
        <is>
          <t>E2</t>
        </is>
      </c>
      <c r="E109" s="37" t="inlineStr">
        <is>
          <t>Chief Executive Officer</t>
        </is>
      </c>
      <c r="F109" s="9" t="inlineStr">
        <is>
          <t>Manager</t>
        </is>
      </c>
      <c r="G109" s="9" t="inlineStr">
        <is>
          <t>Chief Executive Officer</t>
        </is>
      </c>
      <c r="H109" s="8" t="n">
        <v>1</v>
      </c>
      <c r="I109" s="9" t="inlineStr">
        <is>
          <t>Corporate 1</t>
        </is>
      </c>
      <c r="J109" s="9" t="inlineStr">
        <is>
          <t>Sets enterprise strategy; leads the executive team. At E2: the enterprise.</t>
        </is>
      </c>
      <c r="K109" s="9" t="inlineStr">
        <is>
          <t>Sets enterprise strategy; leads the executive team; Enterprise-wide uncertainty, transformation and external forces; Enterprise results, risk, culture and long-term viability</t>
        </is>
      </c>
      <c r="L109" s="9" t="inlineStr">
        <is>
          <t>Enterprise results, risk, culture and long-term viability</t>
        </is>
      </c>
      <c r="M109" s="9" t="inlineStr">
        <is>
          <t>Enterprise results, risk, culture and long-term viability</t>
        </is>
      </c>
      <c r="N109" s="9" t="inlineStr">
        <is>
          <t>Accountable to the board</t>
        </is>
      </c>
      <c r="O109" s="9" t="inlineStr">
        <is>
          <t>—</t>
        </is>
      </c>
      <c r="P109" s="9" t="inlineStr">
        <is>
          <t>Management · Sales</t>
        </is>
      </c>
      <c r="Q109" s="9" t="inlineStr">
        <is>
          <t>—</t>
        </is>
      </c>
      <c r="R109" s="9" t="inlineStr">
        <is>
          <t>The enterprise</t>
        </is>
      </c>
      <c r="S109" s="9" t="inlineStr">
        <is>
          <t>Enterprise-wide uncertainty, transformation and external forces</t>
        </is>
      </c>
      <c r="T109" s="9" t="inlineStr">
        <is>
          <t>Accountable to the board</t>
        </is>
      </c>
      <c r="U109" s="9" t="inlineStr">
        <is>
          <t>Enterprise results, risk, culture and long-term viability</t>
        </is>
      </c>
      <c r="V109" s="9" t="inlineStr">
        <is>
          <t>Sets enterprise strategy; leads the executive team</t>
        </is>
      </c>
      <c r="W109" s="9" t="inlineStr">
        <is>
          <t>20+ yrs</t>
        </is>
      </c>
      <c r="X109" s="9" t="inlineStr">
        <is>
          <t>Postgraduate / professional qualification; proven business leadership</t>
        </is>
      </c>
      <c r="Y109" s="9" t="inlineStr">
        <is>
          <t>MBA / PGDM · preferred at C+</t>
        </is>
      </c>
      <c r="Z109" s="9" t="inlineStr">
        <is>
          <t>Executive team</t>
        </is>
      </c>
      <c r="AA109" s="9" t="inlineStr">
        <is>
          <t>Core 5 · Future-ready 5 · Functional 4 · Leadership 5</t>
        </is>
      </c>
      <c r="AB109" s="9" t="inlineStr">
        <is>
          <t>Strategic Thinking &amp; Business Acumen · People Leadership &amp; Mentoring</t>
        </is>
      </c>
      <c r="AC109" s="9" t="inlineStr">
        <is>
          <t>Stakeholder &amp; Client Management · Product, Platform &amp; Domain Knowledge · Regulatory &amp; BFSI Domain · Communication &amp; Presentation</t>
        </is>
      </c>
      <c r="AD109" s="8" t="inlineStr">
        <is>
          <t>E6</t>
        </is>
      </c>
      <c r="AE109" s="8" t="inlineStr">
        <is>
          <t>7</t>
        </is>
      </c>
      <c r="AF109" s="9" t="inlineStr">
        <is>
          <t>IRIS Vs Market Benchmark — Aon Radford / Mercer executive codes: E6 CEO · IRIS Vs Competitor Benchmark — regtech / SaaS executive titles: CEO</t>
        </is>
      </c>
      <c r="AG109" s="9" t="inlineStr">
        <is>
          <t>Aon Radford executive levels E1–E6; Mercer ET1–ET3; Korn Ferry Leadership Architect</t>
        </is>
      </c>
      <c r="AH109" s="9" t="inlineStr">
        <is>
          <t>—</t>
        </is>
      </c>
      <c r="AI109" s="9" t="inlineStr">
        <is>
          <t>—</t>
        </is>
      </c>
      <c r="AJ109" s="9" t="inlineStr">
        <is>
          <t>—</t>
        </is>
      </c>
      <c r="AK109" s="9" t="inlineStr">
        <is>
          <t>—</t>
        </is>
      </c>
      <c r="AL109" s="9" t="inlineStr">
        <is>
          <t>—</t>
        </is>
      </c>
      <c r="AM109" s="9" t="inlineStr">
        <is>
          <t>—</t>
        </is>
      </c>
      <c r="AN109" s="9" t="inlineStr">
        <is>
          <t>—</t>
        </is>
      </c>
      <c r="AO109" s="9" t="inlineStr">
        <is>
          <t>Integrate enterprise or business outcomes. Includes: Business-unit, enterprise and exceptional expert mandates. Excludes: A generic promotion destination without a new accountable role.</t>
        </is>
      </c>
      <c r="AP109" s="9" t="inlineStr">
        <is>
          <t>EX03 · Chief Executive Officer / Managing Director</t>
        </is>
      </c>
      <c r="AQ109" s="9" t="inlineStr">
        <is>
          <t>Own enterprise direction and outcomes under governing-body authority</t>
        </is>
      </c>
      <c r="AR109" s="9" t="inlineStr">
        <is>
          <t>The highest organisational office is not automatically the largest market job. Scale determines job size. Board roles are outside the employee ladder.</t>
        </is>
      </c>
      <c r="AS109" s="9" t="inlineStr">
        <is>
          <t>—</t>
        </is>
      </c>
      <c r="AT109" s="9" t="inlineStr">
        <is>
          <t>—</t>
        </is>
      </c>
      <c r="AU109" s="57" t="inlineStr">
        <is>
          <t>Framework only · fewer than 3 answered</t>
        </is>
      </c>
      <c r="AV109" s="9" t="inlineStr">
        <is>
          <t>1 holder, 0 answered the survey; sub-family 0 answered</t>
        </is>
      </c>
    </row>
    <row r="110" ht="80" customHeight="1">
      <c r="A110" s="17" t="inlineStr">
        <is>
          <t>RC-094</t>
        </is>
      </c>
      <c r="B110" s="9" t="inlineStr">
        <is>
          <t>Executive Leadership</t>
        </is>
      </c>
      <c r="C110" s="9" t="inlineStr">
        <is>
          <t>Enterprise Leadership</t>
        </is>
      </c>
      <c r="D110" s="39" t="inlineStr">
        <is>
          <t>X3</t>
        </is>
      </c>
      <c r="E110" s="40" t="inlineStr">
        <is>
          <t>Senior Consultant / Advisor</t>
        </is>
      </c>
      <c r="F110" s="9" t="inlineStr">
        <is>
          <t>IC</t>
        </is>
      </c>
      <c r="G110" s="9" t="inlineStr">
        <is>
          <t>Senior Consultant – Enterprise Leadership</t>
        </is>
      </c>
      <c r="H110" s="8" t="n">
        <v>1</v>
      </c>
      <c r="I110" s="9" t="inlineStr">
        <is>
          <t>iFile 1</t>
        </is>
      </c>
      <c r="J110" s="9" t="inlineStr">
        <is>
          <t>Sets enterprise strategy; leads the executive team. At X3: expert or advisory scope · ≈ B3–C2.</t>
        </is>
      </c>
      <c r="K110" s="9" t="inlineStr">
        <is>
          <t>Sets enterprise strategy; leads the executive team</t>
        </is>
      </c>
      <c r="L110" s="9" t="inlineStr">
        <is>
          <t>Sets enterprise strategy; leads the executive team.</t>
        </is>
      </c>
      <c r="M110" s="9" t="inlineStr">
        <is>
          <t>Deliverables under the statement of work</t>
        </is>
      </c>
      <c r="N110" s="9" t="inlineStr">
        <is>
          <t>Within the statement of work</t>
        </is>
      </c>
      <c r="O110" s="9" t="inlineStr">
        <is>
          <t>—</t>
        </is>
      </c>
      <c r="P110" s="9" t="inlineStr">
        <is>
          <t>Management · Sales</t>
        </is>
      </c>
      <c r="Q110" s="9" t="inlineStr">
        <is>
          <t>—</t>
        </is>
      </c>
      <c r="R110" s="9" t="inlineStr">
        <is>
          <t>Expert or advisory scope · ≈ B3–C2</t>
        </is>
      </c>
      <c r="S110" s="9" t="inlineStr">
        <is>
          <t>—</t>
        </is>
      </c>
      <c r="T110" s="9" t="inlineStr">
        <is>
          <t>—</t>
        </is>
      </c>
      <c r="U110" s="9" t="inlineStr">
        <is>
          <t>—</t>
        </is>
      </c>
      <c r="V110" s="9" t="inlineStr">
        <is>
          <t>—</t>
        </is>
      </c>
      <c r="W110" s="9" t="inlineStr">
        <is>
          <t>10+ yrs</t>
        </is>
      </c>
      <c r="X110" s="9" t="inlineStr">
        <is>
          <t>As for equivalent role</t>
        </is>
      </c>
      <c r="Y110" s="9" t="inlineStr">
        <is>
          <t>MBA / PGDM · preferred at C+</t>
        </is>
      </c>
      <c r="Z110" s="9" t="inlineStr">
        <is>
          <t>Not counted in spans</t>
        </is>
      </c>
      <c r="AA110" s="9" t="inlineStr">
        <is>
          <t>Per statement of work</t>
        </is>
      </c>
      <c r="AB110" s="9" t="inlineStr">
        <is>
          <t>Strategic Thinking &amp; Business Acumen · People Leadership &amp; Mentoring</t>
        </is>
      </c>
      <c r="AC110" s="9" t="inlineStr">
        <is>
          <t>Stakeholder &amp; Client Management · Product, Platform &amp; Domain Knowledge · Regulatory &amp; BFSI Domain · Communication &amp; Presentation</t>
        </is>
      </c>
      <c r="AD110" s="8" t="inlineStr">
        <is>
          <t>Contractor</t>
        </is>
      </c>
      <c r="AE110" s="8" t="inlineStr">
        <is>
          <t>—</t>
        </is>
      </c>
      <c r="AF110" s="9" t="inlineStr">
        <is>
          <t>—</t>
        </is>
      </c>
      <c r="AG110" s="9" t="inlineStr">
        <is>
          <t>Aon Radford executive levels E1–E6; Mercer ET1–ET3; Korn Ferry Leadership Architect</t>
        </is>
      </c>
      <c r="AH110" s="9" t="inlineStr">
        <is>
          <t>—</t>
        </is>
      </c>
      <c r="AI110" s="9" t="inlineStr">
        <is>
          <t>—</t>
        </is>
      </c>
      <c r="AJ110" s="9" t="inlineStr">
        <is>
          <t>—</t>
        </is>
      </c>
      <c r="AK110" s="9" t="inlineStr">
        <is>
          <t>—</t>
        </is>
      </c>
      <c r="AL110" s="9" t="inlineStr">
        <is>
          <t>—</t>
        </is>
      </c>
      <c r="AM110" s="9" t="inlineStr">
        <is>
          <t>—</t>
        </is>
      </c>
      <c r="AN110" s="9" t="inlineStr">
        <is>
          <t>—</t>
        </is>
      </c>
      <c r="AO110" s="9" t="inlineStr">
        <is>
          <t>Integrate enterprise or business outcomes. Includes: Business-unit, enterprise and exceptional expert mandates. Excludes: A generic promotion destination without a new accountable role.</t>
        </is>
      </c>
      <c r="AP110" s="9" t="inlineStr">
        <is>
          <t>—</t>
        </is>
      </c>
      <c r="AQ110" s="9" t="inlineStr">
        <is>
          <t>—</t>
        </is>
      </c>
      <c r="AR110" s="9" t="inlineStr">
        <is>
          <t>—</t>
        </is>
      </c>
      <c r="AS110" s="9" t="inlineStr">
        <is>
          <t>—</t>
        </is>
      </c>
      <c r="AT110" s="9" t="inlineStr">
        <is>
          <t>—</t>
        </is>
      </c>
      <c r="AU110" s="57" t="inlineStr">
        <is>
          <t>Framework only · fewer than 3 answered</t>
        </is>
      </c>
      <c r="AV110" s="9" t="inlineStr">
        <is>
          <t>1 holder, 0 answered the survey; sub-family 0 answered</t>
        </is>
      </c>
    </row>
    <row r="111">
      <c r="A111" s="94" t="inlineStr">
        <is>
          <t>Finance &amp; Accounts — 5 roles · 10 people</t>
        </is>
      </c>
    </row>
    <row r="112" ht="106" customHeight="1">
      <c r="A112" s="17" t="inlineStr">
        <is>
          <t>RC-095</t>
        </is>
      </c>
      <c r="B112" s="9" t="inlineStr">
        <is>
          <t>Finance &amp; Accounts</t>
        </is>
      </c>
      <c r="C112" s="9" t="inlineStr">
        <is>
          <t>Accounting &amp; Transaction Processing</t>
        </is>
      </c>
      <c r="D112" s="18" t="inlineStr">
        <is>
          <t>A3</t>
        </is>
      </c>
      <c r="E112" s="19" t="inlineStr">
        <is>
          <t>Senior Associate</t>
        </is>
      </c>
      <c r="F112" s="9" t="inlineStr">
        <is>
          <t>IC</t>
        </is>
      </c>
      <c r="G112" s="9" t="inlineStr">
        <is>
          <t>Senior Accounts Executive</t>
        </is>
      </c>
      <c r="H112" s="8" t="n">
        <v>2</v>
      </c>
      <c r="I112" s="9" t="inlineStr">
        <is>
          <t>Corporate 2</t>
        </is>
      </c>
      <c r="J112" s="9" t="inlineStr">
        <is>
          <r>
            <rPr>
              <rFont val="Calibri"/>
              <sz val="10"/>
            </rPr>
            <t xml:space="preserve">Processes payments, entries and reconciliations. At A3: varied work; reviews juniors; go-to for a process.
</t>
          </r>
          <r>
            <rPr>
              <rFont val="Calibri"/>
              <b val="1"/>
              <sz val="10"/>
            </rPr>
            <t>Common themes in sub-family holders, all levels' answers:</t>
          </r>
          <r>
            <rPr>
              <rFont val="Calibri"/>
              <sz val="10"/>
            </rPr>
            <t xml:space="preserve"> compliance · reporting · bank</t>
          </r>
        </is>
      </c>
      <c r="K112" s="9" t="inlineStr">
        <is>
          <r>
            <rPr>
              <rFont val="Calibri"/>
              <sz val="10"/>
            </rPr>
            <t xml:space="preserve">Processes payments, entries and reconciliations; Varied and non-standard work; handles exceptions; A module / process, or work with client or regulatory consequences
</t>
          </r>
          <r>
            <rPr>
              <rFont val="Calibri"/>
              <b val="1"/>
              <sz val="10"/>
            </rPr>
            <t>Common themes in sub-family holders, all levels' answers:</t>
          </r>
          <r>
            <rPr>
              <rFont val="Calibri"/>
              <sz val="10"/>
            </rPr>
            <t xml:space="preserve"> bank · employee · compliance · gst · sales · creation</t>
          </r>
        </is>
      </c>
      <c r="L112" s="9" t="inlineStr">
        <is>
          <r>
            <rPr>
              <rFont val="Calibri"/>
              <sz val="10"/>
            </rPr>
            <t xml:space="preserve">A module / process, or work with client or regulatory consequences
</t>
          </r>
          <r>
            <rPr>
              <rFont val="Calibri"/>
              <b val="1"/>
              <sz val="10"/>
            </rPr>
            <t>Common themes in sub-family holders, all levels' answers:</t>
          </r>
          <r>
            <rPr>
              <rFont val="Calibri"/>
              <sz val="10"/>
            </rPr>
            <t xml:space="preserve"> timely</t>
          </r>
        </is>
      </c>
      <c r="M112" s="9" t="inlineStr">
        <is>
          <r>
            <rPr>
              <rFont val="Calibri"/>
              <sz val="10"/>
            </rPr>
            <t xml:space="preserve">A module / process, or work with client or regulatory consequences
</t>
          </r>
          <r>
            <rPr>
              <rFont val="Calibri"/>
              <b val="1"/>
              <sz val="10"/>
            </rPr>
            <t>Common themes in sub-family holders, all levels' answers:</t>
          </r>
          <r>
            <rPr>
              <rFont val="Calibri"/>
              <sz val="10"/>
            </rPr>
            <t xml:space="preserve"> bank</t>
          </r>
        </is>
      </c>
      <c r="N112" s="9" t="inlineStr">
        <is>
          <r>
            <rPr>
              <rFont val="Calibri"/>
              <sz val="10"/>
            </rPr>
            <t xml:space="preserve">Technical / QC / client calls on own work
</t>
          </r>
          <r>
            <rPr>
              <rFont val="Calibri"/>
              <b val="1"/>
              <sz val="10"/>
            </rPr>
            <t>Common themes in sub-family holders, all levels' answers:</t>
          </r>
          <r>
            <rPr>
              <rFont val="Calibri"/>
              <sz val="10"/>
            </rPr>
            <t xml:space="preserve"> compliance</t>
          </r>
        </is>
      </c>
      <c r="O112" s="9" t="inlineStr">
        <is>
          <t>—</t>
        </is>
      </c>
      <c r="P112" s="9" t="inlineStr">
        <is>
          <t>accounting</t>
        </is>
      </c>
      <c r="Q112" s="9" t="inlineStr">
        <is>
          <t>—</t>
        </is>
      </c>
      <c r="R112" s="9" t="inlineStr">
        <is>
          <t>Varied work; reviews juniors; go-to for a process</t>
        </is>
      </c>
      <c r="S112" s="9" t="inlineStr">
        <is>
          <t>Varied and non-standard work; handles exceptions</t>
        </is>
      </c>
      <c r="T112" s="9" t="inlineStr">
        <is>
          <t>Technical / QC / client calls on own work</t>
        </is>
      </c>
      <c r="U112" s="9" t="inlineStr">
        <is>
          <t>A module / process, or work with client or regulatory consequences</t>
        </is>
      </c>
      <c r="V112" s="9" t="inlineStr">
        <is>
          <t>Not scored in Band A</t>
        </is>
      </c>
      <c r="W112" s="9" t="inlineStr">
        <is>
          <t>2–4 yrs</t>
        </is>
      </c>
      <c r="X112" s="9" t="inlineStr">
        <is>
          <t>Graduate; relevant certification preferred</t>
        </is>
      </c>
      <c r="Y112" s="9" t="inlineStr">
        <is>
          <t>CA / CMA / ACCA / CFA / IFRS certificate; MOS Excel · optional</t>
        </is>
      </c>
      <c r="Z112" s="9" t="inlineStr">
        <is>
          <t>None · guides 1–3 juniors informally</t>
        </is>
      </c>
      <c r="AA112" s="9" t="inlineStr">
        <is>
          <t>Core 2 · Future-ready 2 · Functional 3 · Leadership —</t>
        </is>
      </c>
      <c r="AB112" s="9" t="inlineStr">
        <is>
          <t>Accounting &amp; Reporting Standards · IFRS/US GAAP · Advanced Excel &amp; Productivity Tools</t>
        </is>
      </c>
      <c r="AC112" s="9" t="inlineStr">
        <is>
          <t>Regulatory &amp; BFSI Domain · Data Analytics, BI &amp; Visualisation · Process Improvement &amp; Quality Mindset · Strategic Thinking &amp; Business Acumen</t>
        </is>
      </c>
      <c r="AD112" s="8" t="inlineStr">
        <is>
          <t>P2</t>
        </is>
      </c>
      <c r="AE112" s="8" t="inlineStr">
        <is>
          <t>3 Apply</t>
        </is>
      </c>
      <c r="AF112" s="9" t="inlineStr">
        <is>
          <r>
            <rPr>
              <rFont val="Calibri"/>
              <b val="1"/>
              <sz val="10"/>
            </rPr>
            <t>Atlassian company-wide P-levels:</t>
          </r>
          <r>
            <rPr>
              <rFont val="Calibri"/>
              <sz val="10"/>
            </rPr>
            <t xml:space="preserve"> P40 · IRIS Vs Competitor Benchmark — finance ladder: Senior Accountant</t>
          </r>
        </is>
      </c>
      <c r="AG112" s="9" t="inlineStr">
        <is>
          <t>IMA Management Accounting Competency Framework; ICAI / CA; Ind AS</t>
        </is>
      </c>
      <c r="AH112" s="9" t="inlineStr">
        <is>
          <t>B1 · Specialist</t>
        </is>
      </c>
      <c r="AI112" s="9" t="inlineStr">
        <is>
          <t>Domain, regulatory &amp; XBRL · Broader exposure &amp; ownership</t>
        </is>
      </c>
      <c r="AJ112" s="9" t="inlineStr">
        <is>
          <t>—</t>
        </is>
      </c>
      <c r="AK112" s="9" t="inlineStr">
        <is>
          <t>Mentoring / guidance from seniors · On-the-job / hands-on · Online courses / self-learning · Formal / classroom training</t>
        </is>
      </c>
      <c r="AL112" s="9" t="inlineStr">
        <is>
          <t>details</t>
        </is>
      </c>
      <c r="AM112" s="9" t="inlineStr">
        <is>
          <t>timely</t>
        </is>
      </c>
      <c r="AN112" s="9" t="inlineStr">
        <is>
          <t>3 of 4 say the role is changing because of AI / automation</t>
        </is>
      </c>
      <c r="AO112" s="9" t="inlineStr">
        <is>
          <t>Steward financial reporting, resources and controls. Includes: Accounting, reporting, FP&amp;A, tax and treasury. Excludes: Independent internal audit; client financial-data production.</t>
        </is>
      </c>
      <c r="AP112" s="9" t="inlineStr">
        <is>
          <t>FIN02-2 · Accountant</t>
        </is>
      </c>
      <c r="AQ112" s="9" t="inlineStr">
        <is>
          <t>Process transactions and reconcile ledgers with exception logs.</t>
        </is>
      </c>
      <c r="AR112" s="9" t="inlineStr">
        <is>
          <t>Demonstrate routine delivery plus judgement in bounded exceptions.</t>
        </is>
      </c>
      <c r="AS112" s="9" t="inlineStr">
        <is>
          <t>A reconciled ledger and controlled transaction cycle with resolved exceptions</t>
        </is>
      </c>
      <c r="AT112" s="9" t="inlineStr">
        <is>
          <r>
            <rPr>
              <rFont val="Calibri"/>
              <b val="1"/>
              <sz val="10"/>
            </rPr>
            <t>Thomson Reuters:</t>
          </r>
          <r>
            <rPr>
              <rFont val="Calibri"/>
              <sz val="10"/>
            </rPr>
            <t xml:space="preserve"> Senior accountant · Adjacent sector, title only. Gap: Dynamic employer page could not be refreshed; only the recorded title is retained</t>
          </r>
        </is>
      </c>
      <c r="AU112" s="19" t="inlineStr">
        <is>
          <t>Framework + sub-family themes · 3+ answered</t>
        </is>
      </c>
      <c r="AV112" s="9" t="inlineStr">
        <is>
          <t>2 holders, 2 answered the survey; sub-family 4 answered</t>
        </is>
      </c>
    </row>
    <row r="113" ht="93" customHeight="1">
      <c r="A113" s="17" t="inlineStr">
        <is>
          <t>RC-096</t>
        </is>
      </c>
      <c r="B113" s="9" t="inlineStr">
        <is>
          <t>Finance &amp; Accounts</t>
        </is>
      </c>
      <c r="C113" s="9" t="inlineStr">
        <is>
          <t>Accounting &amp; Transaction Processing</t>
        </is>
      </c>
      <c r="D113" s="21" t="inlineStr">
        <is>
          <t>B1</t>
        </is>
      </c>
      <c r="E113" s="22" t="inlineStr">
        <is>
          <t>Specialist</t>
        </is>
      </c>
      <c r="F113" s="9" t="inlineStr">
        <is>
          <t>IC</t>
        </is>
      </c>
      <c r="G113" s="9" t="inlineStr">
        <is>
          <t>Accounts Specialist – POD Lead</t>
        </is>
      </c>
      <c r="H113" s="8" t="n">
        <v>2</v>
      </c>
      <c r="I113" s="9" t="inlineStr">
        <is>
          <t>Corporate 2</t>
        </is>
      </c>
      <c r="J113" s="9" t="inlineStr">
        <is>
          <r>
            <rPr>
              <rFont val="Calibri"/>
              <sz val="10"/>
            </rPr>
            <t xml:space="preserve">Processes payments, entries and reconciliations. At B1: a domain / module, or a small team.
</t>
          </r>
          <r>
            <rPr>
              <rFont val="Calibri"/>
              <b val="1"/>
              <sz val="10"/>
            </rPr>
            <t>Common themes in sub-family holders, all levels' answers:</t>
          </r>
          <r>
            <rPr>
              <rFont val="Calibri"/>
              <sz val="10"/>
            </rPr>
            <t xml:space="preserve"> compliance · reporting · bank</t>
          </r>
        </is>
      </c>
      <c r="K113" s="9" t="inlineStr">
        <is>
          <r>
            <rPr>
              <rFont val="Calibri"/>
              <sz val="10"/>
            </rPr>
            <t xml:space="preserve">Processes payments, entries and reconciliations; Domain specialist work; A domain or a small team
</t>
          </r>
          <r>
            <rPr>
              <rFont val="Calibri"/>
              <b val="1"/>
              <sz val="10"/>
            </rPr>
            <t>Common themes in sub-family holders, all levels' answers:</t>
          </r>
          <r>
            <rPr>
              <rFont val="Calibri"/>
              <sz val="10"/>
            </rPr>
            <t xml:space="preserve"> bank · employee · compliance · gst · sales · creation</t>
          </r>
        </is>
      </c>
      <c r="L113" s="9" t="inlineStr">
        <is>
          <r>
            <rPr>
              <rFont val="Calibri"/>
              <sz val="10"/>
            </rPr>
            <t xml:space="preserve">A domain or a small team
</t>
          </r>
          <r>
            <rPr>
              <rFont val="Calibri"/>
              <b val="1"/>
              <sz val="10"/>
            </rPr>
            <t>Common themes in sub-family holders, all levels' answers:</t>
          </r>
          <r>
            <rPr>
              <rFont val="Calibri"/>
              <sz val="10"/>
            </rPr>
            <t xml:space="preserve"> timely</t>
          </r>
        </is>
      </c>
      <c r="M113" s="9" t="inlineStr">
        <is>
          <r>
            <rPr>
              <rFont val="Calibri"/>
              <sz val="10"/>
            </rPr>
            <t xml:space="preserve">A domain or a small team
</t>
          </r>
          <r>
            <rPr>
              <rFont val="Calibri"/>
              <b val="1"/>
              <sz val="10"/>
            </rPr>
            <t>Common themes in sub-family holders, all levels' answers:</t>
          </r>
          <r>
            <rPr>
              <rFont val="Calibri"/>
              <sz val="10"/>
            </rPr>
            <t xml:space="preserve"> bank</t>
          </r>
        </is>
      </c>
      <c r="N113" s="9" t="inlineStr">
        <is>
          <r>
            <rPr>
              <rFont val="Calibri"/>
              <sz val="10"/>
            </rPr>
            <t xml:space="preserve">Technical / QC / client calls for the domain
</t>
          </r>
          <r>
            <rPr>
              <rFont val="Calibri"/>
              <b val="1"/>
              <sz val="10"/>
            </rPr>
            <t>Common themes in sub-family holders, all levels' answers:</t>
          </r>
          <r>
            <rPr>
              <rFont val="Calibri"/>
              <sz val="10"/>
            </rPr>
            <t xml:space="preserve"> compliance</t>
          </r>
        </is>
      </c>
      <c r="O113" s="9" t="inlineStr">
        <is>
          <t>—</t>
        </is>
      </c>
      <c r="P113" s="9" t="inlineStr">
        <is>
          <t>accounting</t>
        </is>
      </c>
      <c r="Q113" s="9" t="inlineStr">
        <is>
          <t>—</t>
        </is>
      </c>
      <c r="R113" s="9" t="inlineStr">
        <is>
          <t>A domain / module, or a small team</t>
        </is>
      </c>
      <c r="S113" s="9" t="inlineStr">
        <is>
          <t>Domain specialist work</t>
        </is>
      </c>
      <c r="T113" s="9" t="inlineStr">
        <is>
          <t>Technical / QC / client calls for the domain</t>
        </is>
      </c>
      <c r="U113" s="9" t="inlineStr">
        <is>
          <t>A domain or a small team</t>
        </is>
      </c>
      <c r="V113" s="9" t="inlineStr">
        <is>
          <r>
            <rPr>
              <rFont val="Calibri"/>
              <b val="1"/>
              <sz val="10"/>
            </rPr>
            <t>IC:</t>
          </r>
          <r>
            <rPr>
              <rFont val="Calibri"/>
              <sz val="10"/>
            </rPr>
            <t xml:space="preserve"> mentors and reviews · People: hands-on team lead of 3–5</t>
          </r>
        </is>
      </c>
      <c r="W113" s="9" t="inlineStr">
        <is>
          <t>4–7 yrs</t>
        </is>
      </c>
      <c r="X113" s="9" t="inlineStr">
        <is>
          <t>Graduate + relevant qualification or certification preferred</t>
        </is>
      </c>
      <c r="Y113" s="9" t="inlineStr">
        <is>
          <t>CA / CMA / ACCA / CFA / IFRS certificate; MOS Excel · optional</t>
        </is>
      </c>
      <c r="Z113" s="9" t="inlineStr">
        <is>
          <r>
            <rPr>
              <rFont val="Calibri"/>
              <b val="1"/>
              <sz val="10"/>
            </rPr>
            <t>IC:</t>
          </r>
          <r>
            <rPr>
              <rFont val="Calibri"/>
              <sz val="10"/>
            </rPr>
            <t xml:space="preserve"> none · Team Lead: 3–5</t>
          </r>
        </is>
      </c>
      <c r="AA113" s="9" t="inlineStr">
        <is>
          <t>Core 3 · Future-ready 3 · Functional 3 · Leadership 1</t>
        </is>
      </c>
      <c r="AB113" s="9" t="inlineStr">
        <is>
          <t>Accounting &amp; Reporting Standards · IFRS/US GAAP · Advanced Excel &amp; Productivity Tools</t>
        </is>
      </c>
      <c r="AC113" s="9" t="inlineStr">
        <is>
          <t>Regulatory &amp; BFSI Domain · Data Analytics, BI &amp; Visualisation · Process Improvement &amp; Quality Mindset · Strategic Thinking &amp; Business Acumen</t>
        </is>
      </c>
      <c r="AD113" s="8" t="inlineStr">
        <is>
          <t>P3 / M2</t>
        </is>
      </c>
      <c r="AE113" s="8" t="inlineStr">
        <is>
          <t>4 Enable</t>
        </is>
      </c>
      <c r="AF113" s="9" t="inlineStr">
        <is>
          <r>
            <rPr>
              <rFont val="Calibri"/>
              <b val="1"/>
              <sz val="10"/>
            </rPr>
            <t>Toppan Merrill:</t>
          </r>
          <r>
            <rPr>
              <rFont val="Calibri"/>
              <sz val="10"/>
            </rPr>
            <t xml:space="preserve"> Senior Accountant · IRIS Vs Competitor Benchmark — finance ladder: Finance Specialist / Asst. Manager</t>
          </r>
        </is>
      </c>
      <c r="AG113" s="9" t="inlineStr">
        <is>
          <t>IMA Management Accounting Competency Framework; ICAI / CA; Ind AS</t>
        </is>
      </c>
      <c r="AH113" s="9" t="inlineStr">
        <is>
          <t>B2 · Senior Specialist</t>
        </is>
      </c>
      <c r="AI113" s="9" t="inlineStr">
        <is>
          <t>Leadership &amp; people management</t>
        </is>
      </c>
      <c r="AJ113" s="9" t="inlineStr">
        <is>
          <t>—</t>
        </is>
      </c>
      <c r="AK113" s="9" t="inlineStr">
        <is>
          <t>Mentoring / guidance from seniors · On-the-job / hands-on · Online courses / self-learning · Formal / classroom training</t>
        </is>
      </c>
      <c r="AL113" s="9" t="inlineStr">
        <is>
          <t>details</t>
        </is>
      </c>
      <c r="AM113" s="9" t="inlineStr">
        <is>
          <t>timely</t>
        </is>
      </c>
      <c r="AN113" s="9" t="inlineStr">
        <is>
          <t>3 of 4 say the role is changing because of AI / automation</t>
        </is>
      </c>
      <c r="AO113" s="9" t="inlineStr">
        <is>
          <t>Steward financial reporting, resources and controls. Includes: Accounting, reporting, FP&amp;A, tax and treasury. Excludes: Independent internal audit; client financial-data production.</t>
        </is>
      </c>
      <c r="AP113" s="9" t="inlineStr">
        <is>
          <t>FIN02-3 · Senior Accountant</t>
        </is>
      </c>
      <c r="AQ113" s="9" t="inlineStr">
        <is>
          <t>Own difficult reconciliations and period-close accuracy.</t>
        </is>
      </c>
      <c r="AR113" s="9" t="inlineStr">
        <is>
          <t>Evidence of complex work, decisions and outcomes beyond routine delivery.</t>
        </is>
      </c>
      <c r="AS113" s="9" t="inlineStr">
        <is>
          <t>A reconciled ledger and controlled transaction cycle with resolved exceptions</t>
        </is>
      </c>
      <c r="AT113" s="9" t="inlineStr">
        <is>
          <r>
            <rPr>
              <rFont val="Calibri"/>
              <b val="1"/>
              <sz val="10"/>
            </rPr>
            <t>Thomson Reuters:</t>
          </r>
          <r>
            <rPr>
              <rFont val="Calibri"/>
              <sz val="10"/>
            </rPr>
            <t xml:space="preserve"> Senior accountant · Adjacent sector, title only. Gap: Dynamic employer page could not be refreshed; only the recorded title is retained</t>
          </r>
        </is>
      </c>
      <c r="AU113" s="19" t="inlineStr">
        <is>
          <t>Framework + sub-family themes · 3+ answered</t>
        </is>
      </c>
      <c r="AV113" s="9" t="inlineStr">
        <is>
          <t>2 holders, 2 answered the survey; sub-family 4 answered</t>
        </is>
      </c>
    </row>
    <row r="114" ht="80" customHeight="1">
      <c r="A114" s="17" t="inlineStr">
        <is>
          <t>RC-097</t>
        </is>
      </c>
      <c r="B114" s="9" t="inlineStr">
        <is>
          <t>Finance &amp; Accounts</t>
        </is>
      </c>
      <c r="C114" s="9" t="inlineStr">
        <is>
          <t>Finance Leadership</t>
        </is>
      </c>
      <c r="D114" s="27" t="inlineStr">
        <is>
          <t>C1</t>
        </is>
      </c>
      <c r="E114" s="28" t="inlineStr">
        <is>
          <t>Associate Head</t>
        </is>
      </c>
      <c r="F114" s="9" t="inlineStr">
        <is>
          <t>Manager</t>
        </is>
      </c>
      <c r="G114" s="9" t="inlineStr">
        <is>
          <t>Associate Head – Admin &amp; Internal Audit · Associate Head – Finance &amp; Accounts</t>
        </is>
      </c>
      <c r="H114" s="8" t="n">
        <v>2</v>
      </c>
      <c r="I114" s="9" t="inlineStr">
        <is>
          <t>Corporate 2</t>
        </is>
      </c>
      <c r="J114" s="9" t="inlineStr">
        <is>
          <t>Leads the finance &amp; accounts function. At C1: a sub-function, or principal authority across products.</t>
        </is>
      </c>
      <c r="K114" s="9" t="inlineStr">
        <is>
          <t>Leads the finance &amp; accounts function; Ambiguous, cross-product problems; Sub-function results or domain quality across products</t>
        </is>
      </c>
      <c r="L114" s="9" t="inlineStr">
        <is>
          <t>Sub-function results or domain quality across products</t>
        </is>
      </c>
      <c r="M114" s="9" t="inlineStr">
        <is>
          <t>Sub-function results or domain quality across products</t>
        </is>
      </c>
      <c r="N114" s="9" t="inlineStr">
        <is>
          <t>Sets direction for a sub-function or domain</t>
        </is>
      </c>
      <c r="O114" s="9" t="inlineStr">
        <is>
          <t>—</t>
        </is>
      </c>
      <c r="P114" s="9" t="inlineStr">
        <is>
          <t>Accounting</t>
        </is>
      </c>
      <c r="Q114" s="9" t="inlineStr">
        <is>
          <t>—</t>
        </is>
      </c>
      <c r="R114" s="9" t="inlineStr">
        <is>
          <t>A sub-function, or principal authority across products</t>
        </is>
      </c>
      <c r="S114" s="9" t="inlineStr">
        <is>
          <t>Ambiguous, cross-product problems</t>
        </is>
      </c>
      <c r="T114" s="9" t="inlineStr">
        <is>
          <t>Sets direction for a sub-function or domain</t>
        </is>
      </c>
      <c r="U114" s="9" t="inlineStr">
        <is>
          <t>Sub-function results or domain quality across products</t>
        </is>
      </c>
      <c r="V114" s="9" t="inlineStr">
        <is>
          <t>Leads managers or a community of practice</t>
        </is>
      </c>
      <c r="W114" s="9" t="inlineStr">
        <is>
          <t>10–14 yrs</t>
        </is>
      </c>
      <c r="X114" s="9" t="inlineStr">
        <is>
          <t>Postgraduate / professional qualification preferred</t>
        </is>
      </c>
      <c r="Y114" s="9" t="inlineStr">
        <is>
          <t>CA / CMA / ACCA / CFA / IFRS certificate; MOS Excel · optional</t>
        </is>
      </c>
      <c r="Z114" s="9" t="inlineStr">
        <is>
          <t>5–8, mostly managers</t>
        </is>
      </c>
      <c r="AA114" s="9" t="inlineStr">
        <is>
          <t>Core 4 · Future-ready 4 · Functional 4 · Leadership 4</t>
        </is>
      </c>
      <c r="AB114" s="9" t="inlineStr">
        <is>
          <t>Accounting &amp; Reporting Standards · IFRS/US GAAP · Advanced Excel &amp; Productivity Tools</t>
        </is>
      </c>
      <c r="AC114" s="9" t="inlineStr">
        <is>
          <t>Regulatory &amp; BFSI Domain · Data Analytics, BI &amp; Visualisation · Process Improvement &amp; Quality Mindset · Strategic Thinking &amp; Business Acumen</t>
        </is>
      </c>
      <c r="AD114" s="8" t="inlineStr">
        <is>
          <t>P6 / M5</t>
        </is>
      </c>
      <c r="AE114" s="8" t="inlineStr">
        <is>
          <t>5–6</t>
        </is>
      </c>
      <c r="AF114" s="9" t="inlineStr">
        <is>
          <r>
            <rPr>
              <rFont val="Calibri"/>
              <b val="1"/>
              <sz val="10"/>
            </rPr>
            <t>Atlassian company-wide P-levels:</t>
          </r>
          <r>
            <rPr>
              <rFont val="Calibri"/>
              <sz val="10"/>
            </rPr>
            <t xml:space="preserve"> P60 Accountant · Principal · IRIS Vs Competitor Benchmark — finance ladder: Associate Director Finance</t>
          </r>
        </is>
      </c>
      <c r="AG114" s="9" t="inlineStr">
        <is>
          <t>IMA Management Accounting Competency Framework; ICAI / CA; Ind AS</t>
        </is>
      </c>
      <c r="AH114" s="9" t="inlineStr">
        <is>
          <t>C2 · Senior Principal / Architect</t>
        </is>
      </c>
      <c r="AI114" s="9" t="inlineStr">
        <is>
          <t>—</t>
        </is>
      </c>
      <c r="AJ114" s="9" t="inlineStr">
        <is>
          <t>—</t>
        </is>
      </c>
      <c r="AK114" s="9" t="inlineStr">
        <is>
          <t>—</t>
        </is>
      </c>
      <c r="AL114" s="9" t="inlineStr">
        <is>
          <t>—</t>
        </is>
      </c>
      <c r="AM114" s="9" t="inlineStr">
        <is>
          <t>—</t>
        </is>
      </c>
      <c r="AN114" s="9" t="inlineStr">
        <is>
          <t>—</t>
        </is>
      </c>
      <c r="AO114" s="9" t="inlineStr">
        <is>
          <t>Steward financial reporting, resources and controls. Includes: Accounting, reporting, FP&amp;A, tax and treasury. Excludes: Independent internal audit; client financial-data production.</t>
        </is>
      </c>
      <c r="AP114" s="9" t="inlineStr">
        <is>
          <t>LD15-2 · Financial Controller / Finance Director</t>
        </is>
      </c>
      <c r="AQ114" s="9" t="inlineStr">
        <is>
          <t>Own integrated function strategy, capacity, controls and cross-team trade-offs</t>
        </is>
      </c>
      <c r="AR114" s="9" t="inlineStr">
        <is>
          <t>Do not manufacture three reporting layers. Choose roles the organisation needs. A specialist may remain on an equally valued expert path.</t>
        </is>
      </c>
      <c r="AS114" s="9" t="inlineStr">
        <is>
          <t>—</t>
        </is>
      </c>
      <c r="AT114" s="9" t="inlineStr">
        <is>
          <t>—</t>
        </is>
      </c>
      <c r="AU114" s="57" t="inlineStr">
        <is>
          <t>Framework only · fewer than 3 answered</t>
        </is>
      </c>
      <c r="AV114" s="9" t="inlineStr">
        <is>
          <t>2 holders, 0 answered the survey; sub-family 0 answered</t>
        </is>
      </c>
    </row>
    <row r="115" ht="93" customHeight="1">
      <c r="A115" s="17" t="inlineStr">
        <is>
          <t>RC-098</t>
        </is>
      </c>
      <c r="B115" s="9" t="inlineStr">
        <is>
          <t>Finance &amp; Accounts</t>
        </is>
      </c>
      <c r="C115" s="9" t="inlineStr">
        <is>
          <t>Financial Reporting, Compliance &amp; Audit</t>
        </is>
      </c>
      <c r="D115" s="21" t="inlineStr">
        <is>
          <t>B1</t>
        </is>
      </c>
      <c r="E115" s="22" t="inlineStr">
        <is>
          <t>Specialist</t>
        </is>
      </c>
      <c r="F115" s="9" t="inlineStr">
        <is>
          <t>IC</t>
        </is>
      </c>
      <c r="G115" s="9" t="inlineStr">
        <is>
          <t>Finance Specialist · Finance Specialist – POD Lead</t>
        </is>
      </c>
      <c r="H115" s="8" t="n">
        <v>3</v>
      </c>
      <c r="I115" s="9" t="inlineStr">
        <is>
          <t>Corporate 3</t>
        </is>
      </c>
      <c r="J115" s="9" t="inlineStr">
        <is>
          <r>
            <rPr>
              <rFont val="Calibri"/>
              <sz val="10"/>
            </rPr>
            <t xml:space="preserve">Prepares financial statements, subsidiary closings, statutory compliance, budgets and audits. At B1: a domain / module, or a small team.
</t>
          </r>
          <r>
            <rPr>
              <rFont val="Calibri"/>
              <b val="1"/>
              <sz val="10"/>
            </rPr>
            <t>Common themes in role-holders' answers:</t>
          </r>
          <r>
            <rPr>
              <rFont val="Calibri"/>
              <sz val="10"/>
            </rPr>
            <t xml:space="preserve"> business · financial · reason · management</t>
          </r>
        </is>
      </c>
      <c r="K115" s="9" t="inlineStr">
        <is>
          <r>
            <rPr>
              <rFont val="Calibri"/>
              <sz val="10"/>
            </rPr>
            <t xml:space="preserve">Prepares financial statements, subsidiary closings, statutory compliance, budgets and audits; Domain specialist work; A domain or a small team
</t>
          </r>
          <r>
            <rPr>
              <rFont val="Calibri"/>
              <b val="1"/>
              <sz val="10"/>
            </rPr>
            <t>Common themes in role-holders' answers:</t>
          </r>
          <r>
            <rPr>
              <rFont val="Calibri"/>
              <sz val="10"/>
            </rPr>
            <t xml:space="preserve"> order · business · sales · invoice</t>
          </r>
        </is>
      </c>
      <c r="L115" s="9" t="inlineStr">
        <is>
          <r>
            <rPr>
              <rFont val="Calibri"/>
              <sz val="10"/>
            </rPr>
            <t xml:space="preserve">A domain or a small team
</t>
          </r>
          <r>
            <rPr>
              <rFont val="Calibri"/>
              <b val="1"/>
              <sz val="10"/>
            </rPr>
            <t>Common themes in role-holders' answers:</t>
          </r>
          <r>
            <rPr>
              <rFont val="Calibri"/>
              <sz val="10"/>
            </rPr>
            <t xml:space="preserve"> financial statements</t>
          </r>
        </is>
      </c>
      <c r="M115" s="9" t="inlineStr">
        <is>
          <r>
            <rPr>
              <rFont val="Calibri"/>
              <sz val="10"/>
            </rPr>
            <t xml:space="preserve">A domain or a small team
</t>
          </r>
          <r>
            <rPr>
              <rFont val="Calibri"/>
              <b val="1"/>
              <sz val="10"/>
            </rPr>
            <t>Common themes in role-holders' answers:</t>
          </r>
          <r>
            <rPr>
              <rFont val="Calibri"/>
              <sz val="10"/>
            </rPr>
            <t xml:space="preserve"> order</t>
          </r>
        </is>
      </c>
      <c r="N115" s="9" t="inlineStr">
        <is>
          <t>Technical / QC / client calls for the domain</t>
        </is>
      </c>
      <c r="O115" s="9" t="inlineStr">
        <is>
          <t>—</t>
        </is>
      </c>
      <c r="P115" s="9" t="inlineStr">
        <is>
          <t>accounting · Finance</t>
        </is>
      </c>
      <c r="Q115" s="9" t="inlineStr">
        <is>
          <t>ERP</t>
        </is>
      </c>
      <c r="R115" s="9" t="inlineStr">
        <is>
          <t>A domain / module, or a small team</t>
        </is>
      </c>
      <c r="S115" s="9" t="inlineStr">
        <is>
          <t>Domain specialist work</t>
        </is>
      </c>
      <c r="T115" s="9" t="inlineStr">
        <is>
          <t>Technical / QC / client calls for the domain</t>
        </is>
      </c>
      <c r="U115" s="9" t="inlineStr">
        <is>
          <t>A domain or a small team</t>
        </is>
      </c>
      <c r="V115" s="9" t="inlineStr">
        <is>
          <r>
            <rPr>
              <rFont val="Calibri"/>
              <b val="1"/>
              <sz val="10"/>
            </rPr>
            <t>IC:</t>
          </r>
          <r>
            <rPr>
              <rFont val="Calibri"/>
              <sz val="10"/>
            </rPr>
            <t xml:space="preserve"> mentors and reviews · People: hands-on team lead of 3–5</t>
          </r>
        </is>
      </c>
      <c r="W115" s="9" t="inlineStr">
        <is>
          <t>4–7 yrs</t>
        </is>
      </c>
      <c r="X115" s="9" t="inlineStr">
        <is>
          <t>Graduate + relevant qualification or certification preferred</t>
        </is>
      </c>
      <c r="Y115" s="9" t="inlineStr">
        <is>
          <t>CA / CMA / ACCA / CFA / IFRS certificate; MOS Excel · optional</t>
        </is>
      </c>
      <c r="Z115" s="9" t="inlineStr">
        <is>
          <r>
            <rPr>
              <rFont val="Calibri"/>
              <b val="1"/>
              <sz val="10"/>
            </rPr>
            <t>IC:</t>
          </r>
          <r>
            <rPr>
              <rFont val="Calibri"/>
              <sz val="10"/>
            </rPr>
            <t xml:space="preserve"> none · Team Lead: 3–5</t>
          </r>
        </is>
      </c>
      <c r="AA115" s="9" t="inlineStr">
        <is>
          <t>Core 3 · Future-ready 3 · Functional 3 · Leadership 1</t>
        </is>
      </c>
      <c r="AB115" s="9" t="inlineStr">
        <is>
          <t>Accounting &amp; Reporting Standards · IFRS/US GAAP · Advanced Excel &amp; Productivity Tools</t>
        </is>
      </c>
      <c r="AC115" s="9" t="inlineStr">
        <is>
          <t>Regulatory &amp; BFSI Domain · Data Analytics, BI &amp; Visualisation · Process Improvement &amp; Quality Mindset · Strategic Thinking &amp; Business Acumen</t>
        </is>
      </c>
      <c r="AD115" s="8" t="inlineStr">
        <is>
          <t>P3 / M2</t>
        </is>
      </c>
      <c r="AE115" s="8" t="inlineStr">
        <is>
          <t>4 Enable</t>
        </is>
      </c>
      <c r="AF115" s="9" t="inlineStr">
        <is>
          <r>
            <rPr>
              <rFont val="Calibri"/>
              <b val="1"/>
              <sz val="10"/>
            </rPr>
            <t>Toppan Merrill:</t>
          </r>
          <r>
            <rPr>
              <rFont val="Calibri"/>
              <sz val="10"/>
            </rPr>
            <t xml:space="preserve"> Senior Accountant · IRIS Vs Competitor Benchmark — finance ladder: Finance Specialist / Asst. Manager</t>
          </r>
        </is>
      </c>
      <c r="AG115" s="9" t="inlineStr">
        <is>
          <t>IMA Management Accounting Competency Framework; ICAI / CA; Ind AS</t>
        </is>
      </c>
      <c r="AH115" s="9" t="inlineStr">
        <is>
          <t>B2 · Senior Specialist</t>
        </is>
      </c>
      <c r="AI115" s="9" t="inlineStr">
        <is>
          <t>Strategy &amp; business acumen · Certification / formal course · Broader exposure &amp; ownership</t>
        </is>
      </c>
      <c r="AJ115" s="9" t="inlineStr">
        <is>
          <t>—</t>
        </is>
      </c>
      <c r="AK115" s="9" t="inlineStr">
        <is>
          <t>Formal / classroom training</t>
        </is>
      </c>
      <c r="AL115" s="9" t="inlineStr">
        <is>
          <t>data · incomplete information</t>
        </is>
      </c>
      <c r="AM115" s="9" t="inlineStr">
        <is>
          <t>clear</t>
        </is>
      </c>
      <c r="AN115" s="9" t="inlineStr">
        <is>
          <t>0 of 2 say the role is changing because of AI / automation</t>
        </is>
      </c>
      <c r="AO115" s="9" t="inlineStr">
        <is>
          <t>Steward financial reporting, resources and controls. Includes: Accounting, reporting, FP&amp;A, tax and treasury. Excludes: Independent internal audit; client financial-data production.</t>
        </is>
      </c>
      <c r="AP115" s="9" t="inlineStr">
        <is>
          <t>FIN01-3 · Senior Financial Reporting Analyst</t>
        </is>
      </c>
      <c r="AQ115" s="9" t="inlineStr">
        <is>
          <t>Resolve complex accounting treatments and review reporting controls.</t>
        </is>
      </c>
      <c r="AR115" s="9" t="inlineStr">
        <is>
          <t>Evidence of complex work, decisions and outcomes beyond routine delivery.</t>
        </is>
      </c>
      <c r="AS115" s="9" t="inlineStr">
        <is>
          <t>A reconciled close or financial-reporting process with defensible accounting judgments</t>
        </is>
      </c>
      <c r="AT115" s="9" t="inlineStr">
        <is>
          <r>
            <rPr>
              <rFont val="Calibri"/>
              <b val="1"/>
              <sz val="10"/>
            </rPr>
            <t>Thomson Reuters:</t>
          </r>
          <r>
            <rPr>
              <rFont val="Calibri"/>
              <sz val="10"/>
            </rPr>
            <t xml:space="preserve"> Senior accountant · Adjacent sector, title only. Gap: Dynamic employer page could not be refreshed; only the recorded title is retained</t>
          </r>
        </is>
      </c>
      <c r="AU115" s="22" t="inlineStr">
        <is>
          <t>Framework + role-holders' themes · 3+ answered</t>
        </is>
      </c>
      <c r="AV115" s="9" t="inlineStr">
        <is>
          <t>3 holders, 3 answered the survey; sub-family 4 answered</t>
        </is>
      </c>
    </row>
    <row r="116" ht="93" customHeight="1">
      <c r="A116" s="17" t="inlineStr">
        <is>
          <t>RC-099</t>
        </is>
      </c>
      <c r="B116" s="9" t="inlineStr">
        <is>
          <t>Finance &amp; Accounts</t>
        </is>
      </c>
      <c r="C116" s="9" t="inlineStr">
        <is>
          <t>Financial Reporting, Compliance &amp; Audit</t>
        </is>
      </c>
      <c r="D116" s="21" t="inlineStr">
        <is>
          <t>B2</t>
        </is>
      </c>
      <c r="E116" s="22" t="inlineStr">
        <is>
          <t>Senior Specialist</t>
        </is>
      </c>
      <c r="F116" s="9" t="inlineStr">
        <is>
          <t>IC</t>
        </is>
      </c>
      <c r="G116" s="9" t="inlineStr">
        <is>
          <t>Senior Finance Specialist – POD Lead</t>
        </is>
      </c>
      <c r="H116" s="8" t="n">
        <v>1</v>
      </c>
      <c r="I116" s="9" t="inlineStr">
        <is>
          <t>Corporate 1</t>
        </is>
      </c>
      <c r="J116" s="9" t="inlineStr">
        <is>
          <r>
            <rPr>
              <rFont val="Calibri"/>
              <sz val="10"/>
            </rPr>
            <t xml:space="preserve">Prepares financial statements, subsidiary closings, statutory compliance, budgets and audits. At B2: deep domain expertise, or one team.
</t>
          </r>
          <r>
            <rPr>
              <rFont val="Calibri"/>
              <b val="1"/>
              <sz val="10"/>
            </rPr>
            <t>Common themes in sub-family holders, all levels' answers:</t>
          </r>
          <r>
            <rPr>
              <rFont val="Calibri"/>
              <sz val="10"/>
            </rPr>
            <t xml:space="preserve"> financial · company · business · reason · management</t>
          </r>
        </is>
      </c>
      <c r="K116" s="9" t="inlineStr">
        <is>
          <r>
            <rPr>
              <rFont val="Calibri"/>
              <sz val="10"/>
            </rPr>
            <t xml:space="preserve">Prepares financial statements, subsidiary closings, statutory compliance, budgets and audits; Hardest problems in the domain; One team or a client portfolio
</t>
          </r>
          <r>
            <rPr>
              <rFont val="Calibri"/>
              <b val="1"/>
              <sz val="10"/>
            </rPr>
            <t>Common themes in sub-family holders, all levels' answers:</t>
          </r>
          <r>
            <rPr>
              <rFont val="Calibri"/>
              <sz val="10"/>
            </rPr>
            <t xml:space="preserve"> order · approval · business · sales · invoice</t>
          </r>
        </is>
      </c>
      <c r="L116" s="9" t="inlineStr">
        <is>
          <r>
            <rPr>
              <rFont val="Calibri"/>
              <sz val="10"/>
            </rPr>
            <t xml:space="preserve">One team or a client portfolio
</t>
          </r>
          <r>
            <rPr>
              <rFont val="Calibri"/>
              <b val="1"/>
              <sz val="10"/>
            </rPr>
            <t>Common themes in sub-family holders, all levels' answers:</t>
          </r>
          <r>
            <rPr>
              <rFont val="Calibri"/>
              <sz val="10"/>
            </rPr>
            <t xml:space="preserve"> financial statements</t>
          </r>
        </is>
      </c>
      <c r="M116" s="9" t="inlineStr">
        <is>
          <r>
            <rPr>
              <rFont val="Calibri"/>
              <sz val="10"/>
            </rPr>
            <t xml:space="preserve">One team or a client portfolio
</t>
          </r>
          <r>
            <rPr>
              <rFont val="Calibri"/>
              <b val="1"/>
              <sz val="10"/>
            </rPr>
            <t>Common themes in sub-family holders, all levels' answers:</t>
          </r>
          <r>
            <rPr>
              <rFont val="Calibri"/>
              <sz val="10"/>
            </rPr>
            <t xml:space="preserve"> book · subsidiary · report · order</t>
          </r>
        </is>
      </c>
      <c r="N116" s="9" t="inlineStr">
        <is>
          <t>Allocates people and sets team priorities</t>
        </is>
      </c>
      <c r="O116" s="9" t="inlineStr">
        <is>
          <t>—</t>
        </is>
      </c>
      <c r="P116" s="9" t="inlineStr">
        <is>
          <t>accounting · finance · MS office · Excel</t>
        </is>
      </c>
      <c r="Q116" s="9" t="inlineStr">
        <is>
          <t>Excel · ERP</t>
        </is>
      </c>
      <c r="R116" s="9" t="inlineStr">
        <is>
          <t>Deep domain expertise, or one team</t>
        </is>
      </c>
      <c r="S116" s="9" t="inlineStr">
        <is>
          <t>Hardest problems in the domain</t>
        </is>
      </c>
      <c r="T116" s="9" t="inlineStr">
        <is>
          <t>Allocates people and sets team priorities</t>
        </is>
      </c>
      <c r="U116" s="9" t="inlineStr">
        <is>
          <t>One team or a client portfolio</t>
        </is>
      </c>
      <c r="V116" s="9" t="inlineStr">
        <is>
          <r>
            <rPr>
              <rFont val="Calibri"/>
              <b val="1"/>
              <sz val="10"/>
            </rPr>
            <t>IC:</t>
          </r>
          <r>
            <rPr>
              <rFont val="Calibri"/>
              <sz val="10"/>
            </rPr>
            <t xml:space="preserve"> guides others in the domain · People: manages a team of 6+</t>
          </r>
        </is>
      </c>
      <c r="W116" s="9" t="inlineStr">
        <is>
          <t>6–9 yrs</t>
        </is>
      </c>
      <c r="X116" s="9" t="inlineStr">
        <is>
          <t>Graduate or postgraduate; professional qualification preferred</t>
        </is>
      </c>
      <c r="Y116" s="9" t="inlineStr">
        <is>
          <t>CA / CMA / ACCA / CFA / IFRS certificate; MOS Excel · optional</t>
        </is>
      </c>
      <c r="Z116" s="9" t="inlineStr">
        <is>
          <r>
            <rPr>
              <rFont val="Calibri"/>
              <b val="1"/>
              <sz val="10"/>
            </rPr>
            <t>IC:</t>
          </r>
          <r>
            <rPr>
              <rFont val="Calibri"/>
              <sz val="10"/>
            </rPr>
            <t xml:space="preserve"> none · People: 6–8 knowledge work, 8–12 standardised delivery</t>
          </r>
        </is>
      </c>
      <c r="AA116" s="9" t="inlineStr">
        <is>
          <t>Core 3 · Future-ready 3 · Functional 4 · Leadership 2</t>
        </is>
      </c>
      <c r="AB116" s="9" t="inlineStr">
        <is>
          <t>Accounting &amp; Reporting Standards · IFRS/US GAAP · Advanced Excel &amp; Productivity Tools</t>
        </is>
      </c>
      <c r="AC116" s="9" t="inlineStr">
        <is>
          <t>Regulatory &amp; BFSI Domain · Data Analytics, BI &amp; Visualisation · Process Improvement &amp; Quality Mindset · Strategic Thinking &amp; Business Acumen</t>
        </is>
      </c>
      <c r="AD116" s="8" t="inlineStr">
        <is>
          <t>P4 / M3</t>
        </is>
      </c>
      <c r="AE116" s="8" t="inlineStr">
        <is>
          <t>4–5</t>
        </is>
      </c>
      <c r="AF116" s="9" t="inlineStr">
        <is>
          <r>
            <rPr>
              <rFont val="Calibri"/>
              <b val="1"/>
              <sz val="10"/>
            </rPr>
            <t>Atlassian company-wide P-levels:</t>
          </r>
          <r>
            <rPr>
              <rFont val="Calibri"/>
              <sz val="10"/>
            </rPr>
            <t xml:space="preserve"> P50 Senior · Toppan Merrill: Senior Financial Analyst · IRIS Vs Competitor Benchmark — finance ladder: Finance Manager</t>
          </r>
        </is>
      </c>
      <c r="AG116" s="9" t="inlineStr">
        <is>
          <t>IMA Management Accounting Competency Framework; ICAI / CA; Ind AS</t>
        </is>
      </c>
      <c r="AH116" s="9" t="inlineStr">
        <is>
          <t>B3 · Lead Specialist</t>
        </is>
      </c>
      <c r="AI116" s="9" t="inlineStr">
        <is>
          <t>Leadership &amp; people management</t>
        </is>
      </c>
      <c r="AJ116" s="9" t="inlineStr">
        <is>
          <t>—</t>
        </is>
      </c>
      <c r="AK116" s="9" t="inlineStr">
        <is>
          <t>Mentoring / guidance from seniors · Formal / classroom training</t>
        </is>
      </c>
      <c r="AL116" s="9" t="inlineStr">
        <is>
          <t>data · reply · incomplete information</t>
        </is>
      </c>
      <c r="AM116" s="9" t="inlineStr">
        <is>
          <t>area · clear</t>
        </is>
      </c>
      <c r="AN116" s="9" t="inlineStr">
        <is>
          <t>1 of 3 say the role is changing because of AI / automation</t>
        </is>
      </c>
      <c r="AO116" s="9" t="inlineStr">
        <is>
          <t>Steward financial reporting, resources and controls. Includes: Accounting, reporting, FP&amp;A, tax and treasury. Excludes: Independent internal audit; client financial-data production.</t>
        </is>
      </c>
      <c r="AP116" s="9" t="inlineStr">
        <is>
          <t>FIN01-3 · Senior Financial Reporting Analyst</t>
        </is>
      </c>
      <c r="AQ116" s="9" t="inlineStr">
        <is>
          <t>Resolve complex accounting treatments and review reporting controls.</t>
        </is>
      </c>
      <c r="AR116" s="9" t="inlineStr">
        <is>
          <t>Evidence of complex work, decisions and outcomes beyond routine delivery.</t>
        </is>
      </c>
      <c r="AS116" s="9" t="inlineStr">
        <is>
          <t>A reconciled close or financial-reporting process with defensible accounting judgments</t>
        </is>
      </c>
      <c r="AT116" s="9" t="inlineStr">
        <is>
          <r>
            <rPr>
              <rFont val="Calibri"/>
              <b val="1"/>
              <sz val="10"/>
            </rPr>
            <t>Thomson Reuters:</t>
          </r>
          <r>
            <rPr>
              <rFont val="Calibri"/>
              <sz val="10"/>
            </rPr>
            <t xml:space="preserve"> Senior accountant · Adjacent sector, title only. Gap: Dynamic employer page could not be refreshed; only the recorded title is retained</t>
          </r>
        </is>
      </c>
      <c r="AU116" s="19" t="inlineStr">
        <is>
          <t>Framework + sub-family themes · 3+ answered</t>
        </is>
      </c>
      <c r="AV116" s="9" t="inlineStr">
        <is>
          <t>1 holder, 1 answered the survey; sub-family 4 answered</t>
        </is>
      </c>
    </row>
    <row r="117">
      <c r="A117" s="94" t="inlineStr">
        <is>
          <t>Human Resources — 6 roles · 8 people</t>
        </is>
      </c>
    </row>
    <row r="118" ht="80" customHeight="1">
      <c r="A118" s="17" t="inlineStr">
        <is>
          <t>RC-100</t>
        </is>
      </c>
      <c r="B118" s="9" t="inlineStr">
        <is>
          <t>Human Resources</t>
        </is>
      </c>
      <c r="C118" s="9" t="inlineStr">
        <is>
          <t>HR Leadership</t>
        </is>
      </c>
      <c r="D118" s="33" t="inlineStr">
        <is>
          <t>D2</t>
        </is>
      </c>
      <c r="E118" s="34" t="inlineStr">
        <is>
          <t>Vice President</t>
        </is>
      </c>
      <c r="F118" s="9" t="inlineStr">
        <is>
          <t>Manager</t>
        </is>
      </c>
      <c r="G118" s="9" t="inlineStr">
        <is>
          <t>Vice President – Human Resources</t>
        </is>
      </c>
      <c r="H118" s="8" t="n">
        <v>1</v>
      </c>
      <c r="I118" s="9" t="inlineStr">
        <is>
          <t>Corporate 1</t>
        </is>
      </c>
      <c r="J118" s="9" t="inlineStr">
        <is>
          <t>Leads the human resources function. At D2: several business lines or an executive-scope enterprise function.</t>
        </is>
      </c>
      <c r="K118" s="9" t="inlineStr">
        <is>
          <t>Leads the human resources function; Portfolio-level strategic, financial and regulatory trade-offs; Multi-business results</t>
        </is>
      </c>
      <c r="L118" s="9" t="inlineStr">
        <is>
          <t>Multi-business results</t>
        </is>
      </c>
      <c r="M118" s="9" t="inlineStr">
        <is>
          <t>Multi-business results</t>
        </is>
      </c>
      <c r="N118" s="9" t="inlineStr">
        <is>
          <t>Sets direction across business lines</t>
        </is>
      </c>
      <c r="O118" s="9" t="inlineStr">
        <is>
          <t>—</t>
        </is>
      </c>
      <c r="P118" s="9" t="inlineStr">
        <is>
          <t>—</t>
        </is>
      </c>
      <c r="Q118" s="9" t="inlineStr">
        <is>
          <t>—</t>
        </is>
      </c>
      <c r="R118" s="9" t="inlineStr">
        <is>
          <t>Several business lines or an executive-scope enterprise function</t>
        </is>
      </c>
      <c r="S118" s="9" t="inlineStr">
        <is>
          <t>Portfolio-level strategic, financial and regulatory trade-offs</t>
        </is>
      </c>
      <c r="T118" s="9" t="inlineStr">
        <is>
          <t>Sets direction across business lines</t>
        </is>
      </c>
      <c r="U118" s="9" t="inlineStr">
        <is>
          <t>Multi-business results</t>
        </is>
      </c>
      <c r="V118" s="9" t="inlineStr">
        <is>
          <t>Builds the leadership team across businesses</t>
        </is>
      </c>
      <c r="W118" s="9" t="inlineStr">
        <is>
          <t>18–24 yrs</t>
        </is>
      </c>
      <c r="X118" s="9" t="inlineStr">
        <is>
          <t>Postgraduate / professional qualification preferred</t>
        </is>
      </c>
      <c r="Y118" s="9" t="inlineStr">
        <is>
          <t>—</t>
        </is>
      </c>
      <c r="Z118" s="9" t="inlineStr">
        <is>
          <t>5–8 AVPs / heads</t>
        </is>
      </c>
      <c r="AA118" s="9" t="inlineStr">
        <is>
          <t>Core 5 · Future-ready 4 · Functional 4 · Leadership 5</t>
        </is>
      </c>
      <c r="AB118" s="9" t="inlineStr">
        <is>
          <t>Stakeholder &amp; Client Management · Communication &amp; Presentation</t>
        </is>
      </c>
      <c r="AC118" s="9" t="inlineStr">
        <is>
          <t>Data Analytics, BI &amp; Visualisation · Process Improvement &amp; Quality Mindset · People Leadership &amp; Mentoring · Advanced Excel &amp; Productivity Tools</t>
        </is>
      </c>
      <c r="AD118" s="8" t="inlineStr">
        <is>
          <t>E3–E4</t>
        </is>
      </c>
      <c r="AE118" s="8" t="inlineStr">
        <is>
          <t>7 Set strategy</t>
        </is>
      </c>
      <c r="AF118" s="9" t="inlineStr">
        <is>
          <t>IRIS Vs Competitor Benchmark — HR ladder: VP HR</t>
        </is>
      </c>
      <c r="AG118" s="9" t="inlineStr">
        <is>
          <t>SHRM BASK · SHRM-CP → SHRM-SCP; CIPD Profession Map</t>
        </is>
      </c>
      <c r="AH118" s="9" t="inlineStr">
        <is>
          <t>E1 · —</t>
        </is>
      </c>
      <c r="AI118" s="9" t="inlineStr">
        <is>
          <t>—</t>
        </is>
      </c>
      <c r="AJ118" s="9" t="inlineStr">
        <is>
          <t>—</t>
        </is>
      </c>
      <c r="AK118" s="9" t="inlineStr">
        <is>
          <t>—</t>
        </is>
      </c>
      <c r="AL118" s="9" t="inlineStr">
        <is>
          <t>—</t>
        </is>
      </c>
      <c r="AM118" s="9" t="inlineStr">
        <is>
          <t>—</t>
        </is>
      </c>
      <c r="AN118" s="9" t="inlineStr">
        <is>
          <t>—</t>
        </is>
      </c>
      <c r="AO118" s="9" t="inlineStr">
        <is>
          <t>Enable workforce and organisational capability. Includes: HR operations, TA, OD, learning, reward, analytics and partnering. Excludes: Line-manager accountability for the operating business.</t>
        </is>
      </c>
      <c r="AP118" s="9" t="inlineStr">
        <is>
          <t>LD18-3 · Chief People Officer / CHRO</t>
        </is>
      </c>
      <c r="AQ118" s="9" t="inlineStr">
        <is>
          <t>Own broader enterprise strategy, risk and resources within a formal charter</t>
        </is>
      </c>
      <c r="AR118" s="9" t="inlineStr">
        <is>
          <t>Do not manufacture three reporting layers. Choose roles the organisation needs. A specialist may remain on an equally valued expert path.</t>
        </is>
      </c>
      <c r="AS118" s="9" t="inlineStr">
        <is>
          <t>—</t>
        </is>
      </c>
      <c r="AT118" s="9" t="inlineStr">
        <is>
          <t>—</t>
        </is>
      </c>
      <c r="AU118" s="57" t="inlineStr">
        <is>
          <t>Framework only · fewer than 3 answered</t>
        </is>
      </c>
      <c r="AV118" s="9" t="inlineStr">
        <is>
          <t>1 holder, 0 answered the survey; sub-family 0 answered</t>
        </is>
      </c>
    </row>
    <row r="119" ht="80" customHeight="1">
      <c r="A119" s="17" t="inlineStr">
        <is>
          <t>RC-101</t>
        </is>
      </c>
      <c r="B119" s="9" t="inlineStr">
        <is>
          <t>Human Resources</t>
        </is>
      </c>
      <c r="C119" s="9" t="inlineStr">
        <is>
          <t>HR Operations &amp; Payroll</t>
        </is>
      </c>
      <c r="D119" s="18" t="inlineStr">
        <is>
          <t>A2</t>
        </is>
      </c>
      <c r="E119" s="19" t="inlineStr">
        <is>
          <t>Associate</t>
        </is>
      </c>
      <c r="F119" s="9" t="inlineStr">
        <is>
          <t>IC</t>
        </is>
      </c>
      <c r="G119" s="9" t="inlineStr">
        <is>
          <t>HR Executive</t>
        </is>
      </c>
      <c r="H119" s="8" t="n">
        <v>1</v>
      </c>
      <c r="I119" s="9" t="inlineStr">
        <is>
          <t>Corporate 1</t>
        </is>
      </c>
      <c r="J119" s="9" t="inlineStr">
        <is>
          <r>
            <rPr>
              <rFont val="Calibri"/>
              <sz val="10"/>
            </rPr>
            <t xml:space="preserve">Runs payroll, HRIS, onboarding, engagement and exits. At A2: standard work delivered independently.
</t>
          </r>
          <r>
            <rPr>
              <rFont val="Calibri"/>
              <b val="1"/>
              <sz val="10"/>
            </rPr>
            <t>Common themes in sub-family holders, all levels' answers:</t>
          </r>
          <r>
            <rPr>
              <rFont val="Calibri"/>
              <sz val="10"/>
            </rPr>
            <t xml:space="preserve"> employees</t>
          </r>
        </is>
      </c>
      <c r="K119" s="9" t="inlineStr">
        <is>
          <r>
            <rPr>
              <rFont val="Calibri"/>
              <sz val="10"/>
            </rPr>
            <t xml:space="preserve">Runs payroll, HRIS, onboarding, engagement and exits; Standard work of the discipline; Own deliverables · accuracy, TAT
</t>
          </r>
          <r>
            <rPr>
              <rFont val="Calibri"/>
              <b val="1"/>
              <sz val="10"/>
            </rPr>
            <t>Common themes in sub-family holders, all levels' answers:</t>
          </r>
          <r>
            <rPr>
              <rFont val="Calibri"/>
              <sz val="10"/>
            </rPr>
            <t xml:space="preserve"> employee · onboarding · support</t>
          </r>
        </is>
      </c>
      <c r="L119" s="9" t="inlineStr">
        <is>
          <r>
            <rPr>
              <rFont val="Calibri"/>
              <sz val="10"/>
            </rPr>
            <t xml:space="preserve">Own deliverables · accuracy, TAT
</t>
          </r>
          <r>
            <rPr>
              <rFont val="Calibri"/>
              <b val="1"/>
              <sz val="10"/>
            </rPr>
            <t>Common themes in sub-family holders, all levels' answers:</t>
          </r>
          <r>
            <rPr>
              <rFont val="Calibri"/>
              <sz val="10"/>
            </rPr>
            <t xml:space="preserve"> experience · onboarding</t>
          </r>
        </is>
      </c>
      <c r="M119" s="9" t="inlineStr">
        <is>
          <r>
            <rPr>
              <rFont val="Calibri"/>
              <sz val="10"/>
            </rPr>
            <t xml:space="preserve">Own deliverables · accuracy, TAT
</t>
          </r>
          <r>
            <rPr>
              <rFont val="Calibri"/>
              <b val="1"/>
              <sz val="10"/>
            </rPr>
            <t>Common themes in sub-family holders, all levels' answers:</t>
          </r>
          <r>
            <rPr>
              <rFont val="Calibri"/>
              <sz val="10"/>
            </rPr>
            <t xml:space="preserve"> onboarding</t>
          </r>
        </is>
      </c>
      <c r="N119" s="9" t="inlineStr">
        <is>
          <r>
            <rPr>
              <rFont val="Calibri"/>
              <sz val="10"/>
            </rPr>
            <t xml:space="preserve">Chooses own approach within standards
</t>
          </r>
          <r>
            <rPr>
              <rFont val="Calibri"/>
              <b val="1"/>
              <sz val="10"/>
            </rPr>
            <t>Common themes in sub-family holders, all levels' answers:</t>
          </r>
          <r>
            <rPr>
              <rFont val="Calibri"/>
              <sz val="10"/>
            </rPr>
            <t xml:space="preserve"> engagement · employee · activities</t>
          </r>
        </is>
      </c>
      <c r="O119" s="9" t="inlineStr">
        <is>
          <t>—</t>
        </is>
      </c>
      <c r="P119" s="9" t="inlineStr">
        <is>
          <t>HR</t>
        </is>
      </c>
      <c r="Q119" s="9" t="inlineStr">
        <is>
          <t>MS Excel · Keka · Ongrid</t>
        </is>
      </c>
      <c r="R119" s="9" t="inlineStr">
        <is>
          <t>Standard work delivered independently</t>
        </is>
      </c>
      <c r="S119" s="9" t="inlineStr">
        <is>
          <t>Standard work of the discipline</t>
        </is>
      </c>
      <c r="T119" s="9" t="inlineStr">
        <is>
          <t>Chooses own approach within standards</t>
        </is>
      </c>
      <c r="U119" s="9" t="inlineStr">
        <is>
          <t>Own deliverables · accuracy, TAT</t>
        </is>
      </c>
      <c r="V119" s="9" t="inlineStr">
        <is>
          <t>Not scored in Band A</t>
        </is>
      </c>
      <c r="W119" s="9" t="inlineStr">
        <is>
          <t>0–2 yrs</t>
        </is>
      </c>
      <c r="X119" s="9" t="inlineStr">
        <is>
          <t>Graduate · or diploma with experience</t>
        </is>
      </c>
      <c r="Y119" s="9" t="inlineStr">
        <is>
          <t>—</t>
        </is>
      </c>
      <c r="Z119" s="9" t="inlineStr">
        <is>
          <t>No direct reports</t>
        </is>
      </c>
      <c r="AA119" s="9" t="inlineStr">
        <is>
          <t>Core 2 · Future-ready 2 · Functional 2 · Leadership —</t>
        </is>
      </c>
      <c r="AB119" s="9" t="inlineStr">
        <is>
          <t>Stakeholder &amp; Client Management · Communication &amp; Presentation</t>
        </is>
      </c>
      <c r="AC119" s="9" t="inlineStr">
        <is>
          <t>Data Analytics, BI &amp; Visualisation · Process Improvement &amp; Quality Mindset · People Leadership &amp; Mentoring · Advanced Excel &amp; Productivity Tools</t>
        </is>
      </c>
      <c r="AD119" s="8" t="inlineStr">
        <is>
          <t>P1–P2</t>
        </is>
      </c>
      <c r="AE119" s="8" t="inlineStr">
        <is>
          <t>2 Assist</t>
        </is>
      </c>
      <c r="AF119" s="9" t="inlineStr">
        <is>
          <t>IRIS Vs Competitor Benchmark — HR ladder: HR Executive</t>
        </is>
      </c>
      <c r="AG119" s="9" t="inlineStr">
        <is>
          <t>SHRM BASK · SHRM-CP → SHRM-SCP; CIPD Profession Map</t>
        </is>
      </c>
      <c r="AH119" s="9" t="inlineStr">
        <is>
          <t>A3 · Senior Associate</t>
        </is>
      </c>
      <c r="AI119" s="9" t="inlineStr">
        <is>
          <t>Broader exposure &amp; ownership</t>
        </is>
      </c>
      <c r="AJ119" s="9" t="inlineStr">
        <is>
          <t>—</t>
        </is>
      </c>
      <c r="AK119" s="9" t="inlineStr">
        <is>
          <t>On-the-job / hands-on · Mentoring / guidance from seniors</t>
        </is>
      </c>
      <c r="AL119" s="9" t="inlineStr">
        <is>
          <t>No common theme</t>
        </is>
      </c>
      <c r="AM119" s="9" t="inlineStr">
        <is>
          <t>better</t>
        </is>
      </c>
      <c r="AN119" s="9" t="inlineStr">
        <is>
          <t>0 of 2 say the role is changing because of AI / automation</t>
        </is>
      </c>
      <c r="AO119" s="9" t="inlineStr">
        <is>
          <t>Enable workforce and organisational capability. Includes: HR operations, TA, OD, learning, reward, analytics and partnering. Excludes: Line-manager accountability for the operating business.</t>
        </is>
      </c>
      <c r="AP119" s="9" t="inlineStr">
        <is>
          <t>HR01-1 · HR Operations Associate</t>
        </is>
      </c>
      <c r="AQ119" s="9" t="inlineStr">
        <is>
          <r>
            <rPr>
              <rFont val="Calibri"/>
              <b val="1"/>
              <sz val="10"/>
            </rPr>
            <t>Complete defined parts under review:</t>
          </r>
          <r>
            <rPr>
              <rFont val="Calibri"/>
              <sz val="10"/>
            </rPr>
            <t xml:space="preserve"> administer accurate employee/payroll records and reconciliations.</t>
          </r>
        </is>
      </c>
      <c r="AR119" s="9" t="inlineStr">
        <is>
          <t>Repeatable correct delivery, safe escalation and required entry eligibility.</t>
        </is>
      </c>
      <c r="AS119" s="9" t="inlineStr">
        <is>
          <t>A controlled people or payroll cycle with reconciliations and resolved service exceptions</t>
        </is>
      </c>
      <c r="AT119" s="9" t="inlineStr">
        <is>
          <r>
            <rPr>
              <rFont val="Calibri"/>
              <b val="1"/>
              <sz val="10"/>
            </rPr>
            <t>Workiva:</t>
          </r>
          <r>
            <rPr>
              <rFont val="Calibri"/>
              <sz val="10"/>
            </rPr>
            <t xml:space="preserve"> Senior People Business Partner · Related work. Gap: HRBP collaborates with specialities; not direct payroll, recruiter or rewards evidence</t>
          </r>
        </is>
      </c>
      <c r="AU119" s="19" t="inlineStr">
        <is>
          <t>Framework + sub-family themes · 3+ answered</t>
        </is>
      </c>
      <c r="AV119" s="9" t="inlineStr">
        <is>
          <t>1 holder, 1 answered the survey; sub-family 3 answered</t>
        </is>
      </c>
    </row>
    <row r="120" ht="80" customHeight="1">
      <c r="A120" s="17" t="inlineStr">
        <is>
          <t>RC-102</t>
        </is>
      </c>
      <c r="B120" s="9" t="inlineStr">
        <is>
          <t>Human Resources</t>
        </is>
      </c>
      <c r="C120" s="9" t="inlineStr">
        <is>
          <t>HR Operations &amp; Payroll</t>
        </is>
      </c>
      <c r="D120" s="21" t="inlineStr">
        <is>
          <t>B1</t>
        </is>
      </c>
      <c r="E120" s="22" t="inlineStr">
        <is>
          <t>Specialist</t>
        </is>
      </c>
      <c r="F120" s="9" t="inlineStr">
        <is>
          <t>IC</t>
        </is>
      </c>
      <c r="G120" s="9" t="inlineStr">
        <is>
          <t>HR Specialist · HR Specialist – POD Lead</t>
        </is>
      </c>
      <c r="H120" s="8" t="n">
        <v>2</v>
      </c>
      <c r="I120" s="9" t="inlineStr">
        <is>
          <t>Corporate 2</t>
        </is>
      </c>
      <c r="J120" s="9" t="inlineStr">
        <is>
          <r>
            <rPr>
              <rFont val="Calibri"/>
              <sz val="10"/>
            </rPr>
            <t xml:space="preserve">Runs payroll, HRIS, onboarding, engagement and exits. At B1: a domain / module, or a small team.
</t>
          </r>
          <r>
            <rPr>
              <rFont val="Calibri"/>
              <b val="1"/>
              <sz val="10"/>
            </rPr>
            <t>Common themes in sub-family holders, all levels' answers:</t>
          </r>
          <r>
            <rPr>
              <rFont val="Calibri"/>
              <sz val="10"/>
            </rPr>
            <t xml:space="preserve"> employees</t>
          </r>
        </is>
      </c>
      <c r="K120" s="9" t="inlineStr">
        <is>
          <r>
            <rPr>
              <rFont val="Calibri"/>
              <sz val="10"/>
            </rPr>
            <t xml:space="preserve">Runs payroll, HRIS, onboarding, engagement and exits; Domain specialist work; A domain or a small team
</t>
          </r>
          <r>
            <rPr>
              <rFont val="Calibri"/>
              <b val="1"/>
              <sz val="10"/>
            </rPr>
            <t>Common themes in sub-family holders, all levels' answers:</t>
          </r>
          <r>
            <rPr>
              <rFont val="Calibri"/>
              <sz val="10"/>
            </rPr>
            <t xml:space="preserve"> employee · onboarding · support</t>
          </r>
        </is>
      </c>
      <c r="L120" s="9" t="inlineStr">
        <is>
          <r>
            <rPr>
              <rFont val="Calibri"/>
              <sz val="10"/>
            </rPr>
            <t xml:space="preserve">A domain or a small team
</t>
          </r>
          <r>
            <rPr>
              <rFont val="Calibri"/>
              <b val="1"/>
              <sz val="10"/>
            </rPr>
            <t>Common themes in sub-family holders, all levels' answers:</t>
          </r>
          <r>
            <rPr>
              <rFont val="Calibri"/>
              <sz val="10"/>
            </rPr>
            <t xml:space="preserve"> experience · onboarding</t>
          </r>
        </is>
      </c>
      <c r="M120" s="9" t="inlineStr">
        <is>
          <r>
            <rPr>
              <rFont val="Calibri"/>
              <sz val="10"/>
            </rPr>
            <t xml:space="preserve">A domain or a small team
</t>
          </r>
          <r>
            <rPr>
              <rFont val="Calibri"/>
              <b val="1"/>
              <sz val="10"/>
            </rPr>
            <t>Common themes in sub-family holders, all levels' answers:</t>
          </r>
          <r>
            <rPr>
              <rFont val="Calibri"/>
              <sz val="10"/>
            </rPr>
            <t xml:space="preserve"> onboarding</t>
          </r>
        </is>
      </c>
      <c r="N120" s="9" t="inlineStr">
        <is>
          <r>
            <rPr>
              <rFont val="Calibri"/>
              <sz val="10"/>
            </rPr>
            <t xml:space="preserve">Technical / QC / client calls for the domain
</t>
          </r>
          <r>
            <rPr>
              <rFont val="Calibri"/>
              <b val="1"/>
              <sz val="10"/>
            </rPr>
            <t>Common themes in sub-family holders, all levels' answers:</t>
          </r>
          <r>
            <rPr>
              <rFont val="Calibri"/>
              <sz val="10"/>
            </rPr>
            <t xml:space="preserve"> engagement · employee · activities</t>
          </r>
        </is>
      </c>
      <c r="O120" s="9" t="inlineStr">
        <is>
          <t>—</t>
        </is>
      </c>
      <c r="P120" s="9" t="inlineStr">
        <is>
          <t>HR</t>
        </is>
      </c>
      <c r="Q120" s="9" t="inlineStr">
        <is>
          <t>MS Excel · Keka · Ongrid</t>
        </is>
      </c>
      <c r="R120" s="9" t="inlineStr">
        <is>
          <t>A domain / module, or a small team</t>
        </is>
      </c>
      <c r="S120" s="9" t="inlineStr">
        <is>
          <t>Domain specialist work</t>
        </is>
      </c>
      <c r="T120" s="9" t="inlineStr">
        <is>
          <t>Technical / QC / client calls for the domain</t>
        </is>
      </c>
      <c r="U120" s="9" t="inlineStr">
        <is>
          <t>A domain or a small team</t>
        </is>
      </c>
      <c r="V120" s="9" t="inlineStr">
        <is>
          <r>
            <rPr>
              <rFont val="Calibri"/>
              <b val="1"/>
              <sz val="10"/>
            </rPr>
            <t>IC:</t>
          </r>
          <r>
            <rPr>
              <rFont val="Calibri"/>
              <sz val="10"/>
            </rPr>
            <t xml:space="preserve"> mentors and reviews · People: hands-on team lead of 3–5</t>
          </r>
        </is>
      </c>
      <c r="W120" s="9" t="inlineStr">
        <is>
          <t>4–7 yrs</t>
        </is>
      </c>
      <c r="X120" s="9" t="inlineStr">
        <is>
          <t>Graduate + relevant qualification or certification preferred</t>
        </is>
      </c>
      <c r="Y120" s="9" t="inlineStr">
        <is>
          <t>—</t>
        </is>
      </c>
      <c r="Z120" s="9" t="inlineStr">
        <is>
          <r>
            <rPr>
              <rFont val="Calibri"/>
              <b val="1"/>
              <sz val="10"/>
            </rPr>
            <t>IC:</t>
          </r>
          <r>
            <rPr>
              <rFont val="Calibri"/>
              <sz val="10"/>
            </rPr>
            <t xml:space="preserve"> none · Team Lead: 3–5</t>
          </r>
        </is>
      </c>
      <c r="AA120" s="9" t="inlineStr">
        <is>
          <t>Core 3 · Future-ready 3 · Functional 3 · Leadership 1</t>
        </is>
      </c>
      <c r="AB120" s="9" t="inlineStr">
        <is>
          <t>Stakeholder &amp; Client Management · Communication &amp; Presentation</t>
        </is>
      </c>
      <c r="AC120" s="9" t="inlineStr">
        <is>
          <t>Data Analytics, BI &amp; Visualisation · Process Improvement &amp; Quality Mindset · People Leadership &amp; Mentoring · Advanced Excel &amp; Productivity Tools</t>
        </is>
      </c>
      <c r="AD120" s="8" t="inlineStr">
        <is>
          <t>P3 / M2</t>
        </is>
      </c>
      <c r="AE120" s="8" t="inlineStr">
        <is>
          <t>4 Enable</t>
        </is>
      </c>
      <c r="AF120" s="9" t="inlineStr">
        <is>
          <t>IRIS Vs Competitor Benchmark — HR ladder: HR Specialist / HRBP</t>
        </is>
      </c>
      <c r="AG120" s="9" t="inlineStr">
        <is>
          <t>SHRM BASK · SHRM-CP → SHRM-SCP; CIPD Profession Map</t>
        </is>
      </c>
      <c r="AH120" s="9" t="inlineStr">
        <is>
          <t>B2 · Senior Specialist</t>
        </is>
      </c>
      <c r="AI120" s="9" t="inlineStr">
        <is>
          <t>Data, SQL &amp; analytics · AI / automation · Product &amp; tool knowledge · Strategy &amp; business acumen · Broader exposure &amp; ownership</t>
        </is>
      </c>
      <c r="AJ120" s="9" t="inlineStr">
        <is>
          <t>—</t>
        </is>
      </c>
      <c r="AK120" s="9" t="inlineStr">
        <is>
          <t>On-the-job / hands-on · Mentoring / guidance from seniors</t>
        </is>
      </c>
      <c r="AL120" s="9" t="inlineStr">
        <is>
          <t>No common theme</t>
        </is>
      </c>
      <c r="AM120" s="9" t="inlineStr">
        <is>
          <t>better</t>
        </is>
      </c>
      <c r="AN120" s="9" t="inlineStr">
        <is>
          <t>0 of 2 say the role is changing because of AI / automation</t>
        </is>
      </c>
      <c r="AO120" s="9" t="inlineStr">
        <is>
          <t>Enable workforce and organisational capability. Includes: HR operations, TA, OD, learning, reward, analytics and partnering. Excludes: Line-manager accountability for the operating business.</t>
        </is>
      </c>
      <c r="AP120" s="9" t="inlineStr">
        <is>
          <t>HR01-3 · Senior HR Operations Specialist</t>
        </is>
      </c>
      <c r="AQ120" s="9" t="inlineStr">
        <is>
          <t>Resolve complex service exceptions and improve process controls.</t>
        </is>
      </c>
      <c r="AR120" s="9" t="inlineStr">
        <is>
          <t>Evidence of complex work, decisions and outcomes beyond routine delivery.</t>
        </is>
      </c>
      <c r="AS120" s="9" t="inlineStr">
        <is>
          <t>A controlled people or payroll cycle with reconciliations and resolved service exceptions</t>
        </is>
      </c>
      <c r="AT120" s="9" t="inlineStr">
        <is>
          <r>
            <rPr>
              <rFont val="Calibri"/>
              <b val="1"/>
              <sz val="10"/>
            </rPr>
            <t>Workiva:</t>
          </r>
          <r>
            <rPr>
              <rFont val="Calibri"/>
              <sz val="10"/>
            </rPr>
            <t xml:space="preserve"> Senior People Business Partner · Related work. Gap: HRBP collaborates with specialities; not direct payroll, recruiter or rewards evidence</t>
          </r>
        </is>
      </c>
      <c r="AU120" s="19" t="inlineStr">
        <is>
          <t>Framework + sub-family themes · 3+ answered</t>
        </is>
      </c>
      <c r="AV120" s="9" t="inlineStr">
        <is>
          <t>2 holders, 2 answered the survey; sub-family 3 answered</t>
        </is>
      </c>
    </row>
    <row r="121" ht="80" customHeight="1">
      <c r="A121" s="17" t="inlineStr">
        <is>
          <t>RC-103</t>
        </is>
      </c>
      <c r="B121" s="9" t="inlineStr">
        <is>
          <t>Human Resources</t>
        </is>
      </c>
      <c r="C121" s="9" t="inlineStr">
        <is>
          <t>HR Transformation &amp; OD</t>
        </is>
      </c>
      <c r="D121" s="21" t="inlineStr">
        <is>
          <t>B3</t>
        </is>
      </c>
      <c r="E121" s="22" t="inlineStr">
        <is>
          <t>Lead Specialist</t>
        </is>
      </c>
      <c r="F121" s="9" t="inlineStr">
        <is>
          <t>IC</t>
        </is>
      </c>
      <c r="G121" s="9" t="inlineStr">
        <is>
          <t>Lead HR Specialist – Transformation &amp; OD</t>
        </is>
      </c>
      <c r="H121" s="8" t="n">
        <v>1</v>
      </c>
      <c r="I121" s="9" t="inlineStr">
        <is>
          <t>Corporate 1</t>
        </is>
      </c>
      <c r="J121" s="9" t="inlineStr">
        <is>
          <t>Designs HR transformation, capability and OD programmes. At B3: a practice, or several teams through team leads.</t>
        </is>
      </c>
      <c r="K121" s="9" t="inlineStr">
        <is>
          <t>Designs HR transformation, capability and OD programmes; Sets standards for a practice; cross-team problems; Several teams or a practice</t>
        </is>
      </c>
      <c r="L121" s="9" t="inlineStr">
        <is>
          <t>Several teams or a practice</t>
        </is>
      </c>
      <c r="M121" s="9" t="inlineStr">
        <is>
          <t>Several teams or a practice</t>
        </is>
      </c>
      <c r="N121" s="9" t="inlineStr">
        <is>
          <t>Commercial / strategic calls for the unit</t>
        </is>
      </c>
      <c r="O121" s="9" t="inlineStr">
        <is>
          <t>—</t>
        </is>
      </c>
      <c r="P121" s="9" t="inlineStr">
        <is>
          <t>—</t>
        </is>
      </c>
      <c r="Q121" s="9" t="inlineStr">
        <is>
          <t>—</t>
        </is>
      </c>
      <c r="R121" s="9" t="inlineStr">
        <is>
          <t>A practice, or several teams through team leads</t>
        </is>
      </c>
      <c r="S121" s="9" t="inlineStr">
        <is>
          <t>Sets standards for a practice; cross-team problems</t>
        </is>
      </c>
      <c r="T121" s="9" t="inlineStr">
        <is>
          <t>Commercial / strategic calls for the unit</t>
        </is>
      </c>
      <c r="U121" s="9" t="inlineStr">
        <is>
          <t>Several teams or a practice</t>
        </is>
      </c>
      <c r="V121" s="9" t="inlineStr">
        <is>
          <r>
            <rPr>
              <rFont val="Calibri"/>
              <b val="1"/>
              <sz val="10"/>
            </rPr>
            <t>IC:</t>
          </r>
          <r>
            <rPr>
              <rFont val="Calibri"/>
              <sz val="10"/>
            </rPr>
            <t xml:space="preserve"> leads a practice · People: team leads / managers report in</t>
          </r>
        </is>
      </c>
      <c r="W121" s="9" t="inlineStr">
        <is>
          <t>8–12 yrs</t>
        </is>
      </c>
      <c r="X121" s="9" t="inlineStr">
        <is>
          <t>Postgraduate or professional qualification preferred</t>
        </is>
      </c>
      <c r="Y121" s="9" t="inlineStr">
        <is>
          <t>—</t>
        </is>
      </c>
      <c r="Z121" s="9" t="inlineStr">
        <is>
          <r>
            <rPr>
              <rFont val="Calibri"/>
              <b val="1"/>
              <sz val="10"/>
            </rPr>
            <t>IC:</t>
          </r>
          <r>
            <rPr>
              <rFont val="Calibri"/>
              <sz val="10"/>
            </rPr>
            <t xml:space="preserve"> none · People: 5–8 incl. team leads</t>
          </r>
        </is>
      </c>
      <c r="AA121" s="9" t="inlineStr">
        <is>
          <t>Core 4 · Future-ready 3 · Functional 4 · Leadership 3</t>
        </is>
      </c>
      <c r="AB121" s="9" t="inlineStr">
        <is>
          <t>Stakeholder &amp; Client Management · Communication &amp; Presentation</t>
        </is>
      </c>
      <c r="AC121" s="9" t="inlineStr">
        <is>
          <t>Data Analytics, BI &amp; Visualisation · Process Improvement &amp; Quality Mindset · People Leadership &amp; Mentoring · Advanced Excel &amp; Productivity Tools</t>
        </is>
      </c>
      <c r="AD121" s="8" t="inlineStr">
        <is>
          <t>P5 / M4</t>
        </is>
      </c>
      <c r="AE121" s="8" t="inlineStr">
        <is>
          <t>5 Ensure, advise</t>
        </is>
      </c>
      <c r="AF121" s="9" t="inlineStr">
        <is>
          <t>IRIS Vs Competitor Benchmark — HR ladder: Senior HR Manager · SHRM-SCP</t>
        </is>
      </c>
      <c r="AG121" s="9" t="inlineStr">
        <is>
          <t>SHRM BASK · SHRM-CP → SHRM-SCP; CIPD Profession Map</t>
        </is>
      </c>
      <c r="AH121" s="9" t="inlineStr">
        <is>
          <t>C1 · Principal · or B+ · Player-Coach transition step if leading people hands-on</t>
        </is>
      </c>
      <c r="AI121" s="9" t="inlineStr">
        <is>
          <t>—</t>
        </is>
      </c>
      <c r="AJ121" s="9" t="inlineStr">
        <is>
          <t>—</t>
        </is>
      </c>
      <c r="AK121" s="9" t="inlineStr">
        <is>
          <t>—</t>
        </is>
      </c>
      <c r="AL121" s="9" t="inlineStr">
        <is>
          <t>—</t>
        </is>
      </c>
      <c r="AM121" s="9" t="inlineStr">
        <is>
          <t>—</t>
        </is>
      </c>
      <c r="AN121" s="9" t="inlineStr">
        <is>
          <t>—</t>
        </is>
      </c>
      <c r="AO121" s="9" t="inlineStr">
        <is>
          <t>Enable workforce and organisational capability. Includes: HR operations, TA, OD, learning, reward, analytics and partnering. Excludes: Line-manager accountability for the operating business.</t>
        </is>
      </c>
      <c r="AP121" s="9" t="inlineStr">
        <is>
          <t>HR03-4 · OD Consultant</t>
        </is>
      </c>
      <c r="AQ121" s="9" t="inlineStr">
        <is>
          <t>Advise enterprise leaders on organisation effectiveness and operating models.</t>
        </is>
      </c>
      <c r="AR121" s="9" t="inlineStr">
        <is>
          <t>Adoption beyond own work; recurring authority and measurable wider outcomes.</t>
        </is>
      </c>
      <c r="AS121" s="9" t="inlineStr">
        <is>
          <t>An organisation-change case with role clarity, stakeholder adoption and measured effectiveness</t>
        </is>
      </c>
      <c r="AT121" s="9" t="inlineStr">
        <is>
          <r>
            <rPr>
              <rFont val="Calibri"/>
              <b val="1"/>
              <sz val="10"/>
            </rPr>
            <t>Workiva:</t>
          </r>
          <r>
            <rPr>
              <rFont val="Calibri"/>
              <sz val="10"/>
            </rPr>
            <t xml:space="preserve"> Senior People Business Partner · Selected / closely related role. Gap: HRBP duties inform OD scope, but the two purposes remain distinct</t>
          </r>
        </is>
      </c>
      <c r="AU121" s="57" t="inlineStr">
        <is>
          <t>Framework only · fewer than 3 answered</t>
        </is>
      </c>
      <c r="AV121" s="9" t="inlineStr">
        <is>
          <t>1 holder, 0 answered the survey; sub-family 0 answered</t>
        </is>
      </c>
    </row>
    <row r="122" ht="80" customHeight="1">
      <c r="A122" s="17" t="inlineStr">
        <is>
          <t>RC-104</t>
        </is>
      </c>
      <c r="B122" s="9" t="inlineStr">
        <is>
          <t>Human Resources</t>
        </is>
      </c>
      <c r="C122" s="9" t="inlineStr">
        <is>
          <t>Talent Acquisition</t>
        </is>
      </c>
      <c r="D122" s="18" t="inlineStr">
        <is>
          <t>A3</t>
        </is>
      </c>
      <c r="E122" s="19" t="inlineStr">
        <is>
          <t>Senior Associate</t>
        </is>
      </c>
      <c r="F122" s="9" t="inlineStr">
        <is>
          <t>IC</t>
        </is>
      </c>
      <c r="G122" s="9" t="inlineStr">
        <is>
          <t>Senior Talent Acquisition Executive</t>
        </is>
      </c>
      <c r="H122" s="8" t="n">
        <v>2</v>
      </c>
      <c r="I122" s="9" t="inlineStr">
        <is>
          <t>Corporate 2</t>
        </is>
      </c>
      <c r="J122" s="9" t="inlineStr">
        <is>
          <r>
            <rPr>
              <rFont val="Calibri"/>
              <sz val="10"/>
            </rPr>
            <t xml:space="preserve">Sources, screens and hires talent. At A3: varied work; reviews juniors; go-to for a process.
</t>
          </r>
          <r>
            <rPr>
              <rFont val="Calibri"/>
              <b val="1"/>
              <sz val="10"/>
            </rPr>
            <t>Common themes in sub-family holders, all levels' answers:</t>
          </r>
          <r>
            <rPr>
              <rFont val="Calibri"/>
              <sz val="10"/>
            </rPr>
            <t xml:space="preserve"> hiring · right · stakeholders · talent · end recruitment · requirements</t>
          </r>
        </is>
      </c>
      <c r="K122" s="9" t="inlineStr">
        <is>
          <r>
            <rPr>
              <rFont val="Calibri"/>
              <sz val="10"/>
            </rPr>
            <t xml:space="preserve">Sources, screens and hires talent; Varied and non-standard work; handles exceptions; A module / process, or work with client or regulatory consequences
</t>
          </r>
          <r>
            <rPr>
              <rFont val="Calibri"/>
              <b val="1"/>
              <sz val="10"/>
            </rPr>
            <t>Common themes in sub-family holders, all levels' answers:</t>
          </r>
          <r>
            <rPr>
              <rFont val="Calibri"/>
              <sz val="10"/>
            </rPr>
            <t xml:space="preserve"> end end</t>
          </r>
        </is>
      </c>
      <c r="L122" s="9" t="inlineStr">
        <is>
          <r>
            <rPr>
              <rFont val="Calibri"/>
              <sz val="10"/>
            </rPr>
            <t xml:space="preserve">A module / process, or work with client or regulatory consequences
</t>
          </r>
          <r>
            <rPr>
              <rFont val="Calibri"/>
              <b val="1"/>
              <sz val="10"/>
            </rPr>
            <t>Common themes in sub-family holders, all levels' answers:</t>
          </r>
          <r>
            <rPr>
              <rFont val="Calibri"/>
              <sz val="10"/>
            </rPr>
            <t xml:space="preserve"> hiring</t>
          </r>
        </is>
      </c>
      <c r="M122" s="9" t="inlineStr">
        <is>
          <t>A module / process, or work with client or regulatory consequences</t>
        </is>
      </c>
      <c r="N122" s="9" t="inlineStr">
        <is>
          <t>Technical / QC / client calls on own work</t>
        </is>
      </c>
      <c r="O122" s="9" t="inlineStr">
        <is>
          <t>—</t>
        </is>
      </c>
      <c r="P122" s="9" t="inlineStr">
        <is>
          <t>HR · Stakeholder Management</t>
        </is>
      </c>
      <c r="Q122" s="9" t="inlineStr">
        <is>
          <t>Naukri · Keka Hiro</t>
        </is>
      </c>
      <c r="R122" s="9" t="inlineStr">
        <is>
          <t>Varied work; reviews juniors; go-to for a process</t>
        </is>
      </c>
      <c r="S122" s="9" t="inlineStr">
        <is>
          <t>Varied and non-standard work; handles exceptions</t>
        </is>
      </c>
      <c r="T122" s="9" t="inlineStr">
        <is>
          <t>Technical / QC / client calls on own work</t>
        </is>
      </c>
      <c r="U122" s="9" t="inlineStr">
        <is>
          <t>A module / process, or work with client or regulatory consequences</t>
        </is>
      </c>
      <c r="V122" s="9" t="inlineStr">
        <is>
          <t>Not scored in Band A</t>
        </is>
      </c>
      <c r="W122" s="9" t="inlineStr">
        <is>
          <t>2–4 yrs</t>
        </is>
      </c>
      <c r="X122" s="9" t="inlineStr">
        <is>
          <t>Graduate; relevant certification preferred</t>
        </is>
      </c>
      <c r="Y122" s="9" t="inlineStr">
        <is>
          <t>—</t>
        </is>
      </c>
      <c r="Z122" s="9" t="inlineStr">
        <is>
          <t>None · guides 1–3 juniors informally</t>
        </is>
      </c>
      <c r="AA122" s="9" t="inlineStr">
        <is>
          <t>Core 2 · Future-ready 2 · Functional 3 · Leadership —</t>
        </is>
      </c>
      <c r="AB122" s="9" t="inlineStr">
        <is>
          <t>Stakeholder &amp; Client Management · Communication &amp; Presentation</t>
        </is>
      </c>
      <c r="AC122" s="9" t="inlineStr">
        <is>
          <t>Data Analytics, BI &amp; Visualisation · Process Improvement &amp; Quality Mindset · People Leadership &amp; Mentoring · Advanced Excel &amp; Productivity Tools</t>
        </is>
      </c>
      <c r="AD122" s="8" t="inlineStr">
        <is>
          <t>P2</t>
        </is>
      </c>
      <c r="AE122" s="8" t="inlineStr">
        <is>
          <t>3 Apply</t>
        </is>
      </c>
      <c r="AF122" s="9" t="inlineStr">
        <is>
          <t>IRIS Vs Competitor Benchmark — HR ladder: Senior HR Executive · SHRM-CP</t>
        </is>
      </c>
      <c r="AG122" s="9" t="inlineStr">
        <is>
          <t>SHRM BASK · SHRM-CP → SHRM-SCP; CIPD Profession Map</t>
        </is>
      </c>
      <c r="AH122" s="9" t="inlineStr">
        <is>
          <t>B1 · Specialist</t>
        </is>
      </c>
      <c r="AI122" s="9" t="inlineStr">
        <is>
          <t>Data, SQL &amp; analytics · Leadership &amp; people management · Strategy &amp; business acumen</t>
        </is>
      </c>
      <c r="AJ122" s="9" t="inlineStr">
        <is>
          <t>—</t>
        </is>
      </c>
      <c r="AK122" s="9" t="inlineStr">
        <is>
          <t>Mentoring / guidance from seniors · On-the-job / hands-on</t>
        </is>
      </c>
      <c r="AL122" s="9" t="inlineStr">
        <is>
          <t>panel · availability</t>
        </is>
      </c>
      <c r="AM122" s="9" t="inlineStr">
        <is>
          <t>interviewer · requirements</t>
        </is>
      </c>
      <c r="AN122" s="9" t="inlineStr">
        <is>
          <t>2 of 2 say the role is changing because of AI / automation</t>
        </is>
      </c>
      <c r="AO122" s="9" t="inlineStr">
        <is>
          <t>Enable workforce and organisational capability. Includes: HR operations, TA, OD, learning, reward, analytics and partnering. Excludes: Line-manager accountability for the operating business.</t>
        </is>
      </c>
      <c r="AP122" s="9" t="inlineStr">
        <is>
          <t>HR02-2 · Talent Acquisition Specialist</t>
        </is>
      </c>
      <c r="AQ122" s="9" t="inlineStr">
        <is>
          <t>Run structured sourcing and selection coordination.</t>
        </is>
      </c>
      <c r="AR122" s="9" t="inlineStr">
        <is>
          <t>Demonstrate routine delivery plus judgement in bounded exceptions.</t>
        </is>
      </c>
      <c r="AS122" s="9" t="inlineStr">
        <is>
          <t>A hiring process with role-based criteria, consistent assessment and quality outcomes</t>
        </is>
      </c>
      <c r="AT122" s="9" t="inlineStr">
        <is>
          <r>
            <rPr>
              <rFont val="Calibri"/>
              <b val="1"/>
              <sz val="10"/>
            </rPr>
            <t>Workiva:</t>
          </r>
          <r>
            <rPr>
              <rFont val="Calibri"/>
              <sz val="10"/>
            </rPr>
            <t xml:space="preserve"> Senior People Business Partner · Related work. Gap: HRBP collaborates with specialities; not direct payroll, recruiter or rewards evidence</t>
          </r>
        </is>
      </c>
      <c r="AU122" s="19" t="inlineStr">
        <is>
          <t>Framework + sub-family themes · 3+ answered</t>
        </is>
      </c>
      <c r="AV122" s="9" t="inlineStr">
        <is>
          <t>2 holders, 2 answered the survey; sub-family 3 answered</t>
        </is>
      </c>
    </row>
    <row r="123" ht="80" customHeight="1">
      <c r="A123" s="17" t="inlineStr">
        <is>
          <t>RC-105</t>
        </is>
      </c>
      <c r="B123" s="9" t="inlineStr">
        <is>
          <t>Human Resources</t>
        </is>
      </c>
      <c r="C123" s="9" t="inlineStr">
        <is>
          <t>Talent Acquisition</t>
        </is>
      </c>
      <c r="D123" s="21" t="inlineStr">
        <is>
          <t>B2</t>
        </is>
      </c>
      <c r="E123" s="22" t="inlineStr">
        <is>
          <t>Senior Specialist</t>
        </is>
      </c>
      <c r="F123" s="9" t="inlineStr">
        <is>
          <t>IC</t>
        </is>
      </c>
      <c r="G123" s="9" t="inlineStr">
        <is>
          <t>Senior Talent Acquisition Specialist</t>
        </is>
      </c>
      <c r="H123" s="8" t="n">
        <v>1</v>
      </c>
      <c r="I123" s="9" t="inlineStr">
        <is>
          <t>Corporate 1</t>
        </is>
      </c>
      <c r="J123" s="9" t="inlineStr">
        <is>
          <r>
            <rPr>
              <rFont val="Calibri"/>
              <sz val="10"/>
            </rPr>
            <t xml:space="preserve">Sources, screens and hires talent. At B2: deep domain expertise, or one team.
</t>
          </r>
          <r>
            <rPr>
              <rFont val="Calibri"/>
              <b val="1"/>
              <sz val="10"/>
            </rPr>
            <t>Common themes in sub-family holders, all levels' answers:</t>
          </r>
          <r>
            <rPr>
              <rFont val="Calibri"/>
              <sz val="10"/>
            </rPr>
            <t xml:space="preserve"> hiring · right · stakeholders · talent · end recruitment · requirements</t>
          </r>
        </is>
      </c>
      <c r="K123" s="9" t="inlineStr">
        <is>
          <r>
            <rPr>
              <rFont val="Calibri"/>
              <sz val="10"/>
            </rPr>
            <t xml:space="preserve">Sources, screens and hires talent; Hardest problems in the domain; One team or a client portfolio
</t>
          </r>
          <r>
            <rPr>
              <rFont val="Calibri"/>
              <b val="1"/>
              <sz val="10"/>
            </rPr>
            <t>Common themes in sub-family holders, all levels' answers:</t>
          </r>
          <r>
            <rPr>
              <rFont val="Calibri"/>
              <sz val="10"/>
            </rPr>
            <t xml:space="preserve"> end end</t>
          </r>
        </is>
      </c>
      <c r="L123" s="9" t="inlineStr">
        <is>
          <r>
            <rPr>
              <rFont val="Calibri"/>
              <sz val="10"/>
            </rPr>
            <t xml:space="preserve">One team or a client portfolio
</t>
          </r>
          <r>
            <rPr>
              <rFont val="Calibri"/>
              <b val="1"/>
              <sz val="10"/>
            </rPr>
            <t>Common themes in sub-family holders, all levels' answers:</t>
          </r>
          <r>
            <rPr>
              <rFont val="Calibri"/>
              <sz val="10"/>
            </rPr>
            <t xml:space="preserve"> hiring</t>
          </r>
        </is>
      </c>
      <c r="M123" s="9" t="inlineStr">
        <is>
          <t>One team or a client portfolio</t>
        </is>
      </c>
      <c r="N123" s="9" t="inlineStr">
        <is>
          <t>Allocates people and sets team priorities</t>
        </is>
      </c>
      <c r="O123" s="9" t="inlineStr">
        <is>
          <t>—</t>
        </is>
      </c>
      <c r="P123" s="9" t="inlineStr">
        <is>
          <t>HR · Stakeholder Management</t>
        </is>
      </c>
      <c r="Q123" s="9" t="inlineStr">
        <is>
          <t>Naukri · Keka Hiro</t>
        </is>
      </c>
      <c r="R123" s="9" t="inlineStr">
        <is>
          <t>Deep domain expertise, or one team</t>
        </is>
      </c>
      <c r="S123" s="9" t="inlineStr">
        <is>
          <t>Hardest problems in the domain</t>
        </is>
      </c>
      <c r="T123" s="9" t="inlineStr">
        <is>
          <t>Allocates people and sets team priorities</t>
        </is>
      </c>
      <c r="U123" s="9" t="inlineStr">
        <is>
          <t>One team or a client portfolio</t>
        </is>
      </c>
      <c r="V123" s="9" t="inlineStr">
        <is>
          <r>
            <rPr>
              <rFont val="Calibri"/>
              <b val="1"/>
              <sz val="10"/>
            </rPr>
            <t>IC:</t>
          </r>
          <r>
            <rPr>
              <rFont val="Calibri"/>
              <sz val="10"/>
            </rPr>
            <t xml:space="preserve"> guides others in the domain · People: manages a team of 6+</t>
          </r>
        </is>
      </c>
      <c r="W123" s="9" t="inlineStr">
        <is>
          <t>6–9 yrs</t>
        </is>
      </c>
      <c r="X123" s="9" t="inlineStr">
        <is>
          <t>Graduate or postgraduate; professional qualification preferred</t>
        </is>
      </c>
      <c r="Y123" s="9" t="inlineStr">
        <is>
          <t>—</t>
        </is>
      </c>
      <c r="Z123" s="9" t="inlineStr">
        <is>
          <r>
            <rPr>
              <rFont val="Calibri"/>
              <b val="1"/>
              <sz val="10"/>
            </rPr>
            <t>IC:</t>
          </r>
          <r>
            <rPr>
              <rFont val="Calibri"/>
              <sz val="10"/>
            </rPr>
            <t xml:space="preserve"> none · People: 6–8 knowledge work, 8–12 standardised delivery</t>
          </r>
        </is>
      </c>
      <c r="AA123" s="9" t="inlineStr">
        <is>
          <t>Core 3 · Future-ready 3 · Functional 4 · Leadership 2</t>
        </is>
      </c>
      <c r="AB123" s="9" t="inlineStr">
        <is>
          <t>Stakeholder &amp; Client Management · Communication &amp; Presentation</t>
        </is>
      </c>
      <c r="AC123" s="9" t="inlineStr">
        <is>
          <t>Data Analytics, BI &amp; Visualisation · Process Improvement &amp; Quality Mindset · People Leadership &amp; Mentoring · Advanced Excel &amp; Productivity Tools</t>
        </is>
      </c>
      <c r="AD123" s="8" t="inlineStr">
        <is>
          <t>P4 / M3</t>
        </is>
      </c>
      <c r="AE123" s="8" t="inlineStr">
        <is>
          <t>4–5</t>
        </is>
      </c>
      <c r="AF123" s="9" t="inlineStr">
        <is>
          <t>IRIS Vs Competitor Benchmark — HR ladder: HR Manager / Senior HRBP</t>
        </is>
      </c>
      <c r="AG123" s="9" t="inlineStr">
        <is>
          <t>SHRM BASK · SHRM-CP → SHRM-SCP; CIPD Profession Map</t>
        </is>
      </c>
      <c r="AH123" s="9" t="inlineStr">
        <is>
          <t>B3 · Lead Specialist</t>
        </is>
      </c>
      <c r="AI123" s="9" t="inlineStr">
        <is>
          <t>Leadership &amp; people management</t>
        </is>
      </c>
      <c r="AJ123" s="9" t="inlineStr">
        <is>
          <t>—</t>
        </is>
      </c>
      <c r="AK123" s="9" t="inlineStr">
        <is>
          <t>Mentoring / guidance from seniors · On-the-job / hands-on</t>
        </is>
      </c>
      <c r="AL123" s="9" t="inlineStr">
        <is>
          <t>panel · availability</t>
        </is>
      </c>
      <c r="AM123" s="9" t="inlineStr">
        <is>
          <t>interviewer · requirements</t>
        </is>
      </c>
      <c r="AN123" s="9" t="inlineStr">
        <is>
          <t>2 of 2 say the role is changing because of AI / automation</t>
        </is>
      </c>
      <c r="AO123" s="9" t="inlineStr">
        <is>
          <t>Enable workforce and organisational capability. Includes: HR operations, TA, OD, learning, reward, analytics and partnering. Excludes: Line-manager accountability for the operating business.</t>
        </is>
      </c>
      <c r="AP123" s="9" t="inlineStr">
        <is>
          <t>HR02-3 · Senior Recruiter</t>
        </is>
      </c>
      <c r="AQ123" s="9" t="inlineStr">
        <is>
          <t>Own difficult searches and advise on selection quality.</t>
        </is>
      </c>
      <c r="AR123" s="9" t="inlineStr">
        <is>
          <t>Evidence of complex work, decisions and outcomes beyond routine delivery.</t>
        </is>
      </c>
      <c r="AS123" s="9" t="inlineStr">
        <is>
          <t>A hiring process with role-based criteria, consistent assessment and quality outcomes</t>
        </is>
      </c>
      <c r="AT123" s="9" t="inlineStr">
        <is>
          <r>
            <rPr>
              <rFont val="Calibri"/>
              <b val="1"/>
              <sz val="10"/>
            </rPr>
            <t>Workiva:</t>
          </r>
          <r>
            <rPr>
              <rFont val="Calibri"/>
              <sz val="10"/>
            </rPr>
            <t xml:space="preserve"> Senior People Business Partner · Related work. Gap: HRBP collaborates with specialities; not direct payroll, recruiter or rewards evidence</t>
          </r>
        </is>
      </c>
      <c r="AU123" s="19" t="inlineStr">
        <is>
          <t>Framework + sub-family themes · 3+ answered</t>
        </is>
      </c>
      <c r="AV123" s="9" t="inlineStr">
        <is>
          <t>1 holder, 1 answered the survey; sub-family 3 answered</t>
        </is>
      </c>
    </row>
    <row r="124">
      <c r="A124" s="94" t="inlineStr">
        <is>
          <t>IT &amp; Infrastructure — 5 roles · 13 people</t>
        </is>
      </c>
    </row>
    <row r="125" ht="80" customHeight="1">
      <c r="A125" s="17" t="inlineStr">
        <is>
          <t>RC-106</t>
        </is>
      </c>
      <c r="B125" s="9" t="inlineStr">
        <is>
          <t>IT &amp; Infrastructure</t>
        </is>
      </c>
      <c r="C125" s="9" t="inlineStr">
        <is>
          <t>End-User Support</t>
        </is>
      </c>
      <c r="D125" s="18" t="inlineStr">
        <is>
          <t>A3</t>
        </is>
      </c>
      <c r="E125" s="19" t="inlineStr">
        <is>
          <t>Senior Associate</t>
        </is>
      </c>
      <c r="F125" s="9" t="inlineStr">
        <is>
          <t>IC</t>
        </is>
      </c>
      <c r="G125" s="9" t="inlineStr">
        <is>
          <t>Senior Desktop Support Engineer</t>
        </is>
      </c>
      <c r="H125" s="8" t="n">
        <v>1</v>
      </c>
      <c r="I125" s="9" t="inlineStr">
        <is>
          <t>Corporate 1</t>
        </is>
      </c>
      <c r="J125" s="9" t="inlineStr">
        <is>
          <r>
            <rPr>
              <rFont val="Calibri"/>
              <b val="1"/>
              <sz val="10"/>
            </rPr>
            <t>At A3:</t>
          </r>
          <r>
            <rPr>
              <rFont val="Calibri"/>
              <sz val="10"/>
            </rPr>
            <t xml:space="preserve"> varied work; reviews juniors; go-to for a process.</t>
          </r>
        </is>
      </c>
      <c r="K125" s="9" t="inlineStr">
        <is>
          <t>Varied and non-standard work; handles exceptions; A module / process, or work with client or regulatory consequences</t>
        </is>
      </c>
      <c r="L125" s="9" t="inlineStr">
        <is>
          <t>A module / process, or work with client or regulatory consequences</t>
        </is>
      </c>
      <c r="M125" s="9" t="inlineStr">
        <is>
          <t>A module / process, or work with client or regulatory consequences</t>
        </is>
      </c>
      <c r="N125" s="9" t="inlineStr">
        <is>
          <t>Technical / QC / client calls on own work</t>
        </is>
      </c>
      <c r="O125" s="9" t="inlineStr">
        <is>
          <t>—</t>
        </is>
      </c>
      <c r="P125" s="9" t="inlineStr">
        <is>
          <t>—</t>
        </is>
      </c>
      <c r="Q125" s="9" t="inlineStr">
        <is>
          <t>—</t>
        </is>
      </c>
      <c r="R125" s="9" t="inlineStr">
        <is>
          <t>Varied work; reviews juniors; go-to for a process</t>
        </is>
      </c>
      <c r="S125" s="9" t="inlineStr">
        <is>
          <t>Varied and non-standard work; handles exceptions</t>
        </is>
      </c>
      <c r="T125" s="9" t="inlineStr">
        <is>
          <t>Technical / QC / client calls on own work</t>
        </is>
      </c>
      <c r="U125" s="9" t="inlineStr">
        <is>
          <t>A module / process, or work with client or regulatory consequences</t>
        </is>
      </c>
      <c r="V125" s="9" t="inlineStr">
        <is>
          <t>Not scored in Band A</t>
        </is>
      </c>
      <c r="W125" s="9" t="inlineStr">
        <is>
          <t>2–4 yrs</t>
        </is>
      </c>
      <c r="X125" s="9" t="inlineStr">
        <is>
          <t>Graduate; relevant certification preferred</t>
        </is>
      </c>
      <c r="Y125" s="9" t="inlineStr">
        <is>
          <t>Microsoft / CCNA / ISO 27001 / ITIL; AWS / Azure / Kubernetes certifications</t>
        </is>
      </c>
      <c r="Z125" s="9" t="inlineStr">
        <is>
          <t>None · guides 1–3 juniors informally</t>
        </is>
      </c>
      <c r="AA125" s="9" t="inlineStr">
        <is>
          <t>Core 2 · Future-ready 2 · Functional 3 · Leadership —</t>
        </is>
      </c>
      <c r="AB125" s="9" t="inlineStr">
        <is>
          <t>Cybersecurity &amp; Infrastructure · Cloud, DevOps &amp; CI/CD</t>
        </is>
      </c>
      <c r="AC125" s="9" t="inlineStr">
        <is>
          <t>Process Improvement &amp; Quality Mindset · Stakeholder &amp; Client Management · Time, Priority &amp; Self-Management · AI, GenAI &amp; Prompt Engineering</t>
        </is>
      </c>
      <c r="AD125" s="8" t="inlineStr">
        <is>
          <t>P2</t>
        </is>
      </c>
      <c r="AE125" s="8" t="inlineStr">
        <is>
          <t>3 Apply</t>
        </is>
      </c>
      <c r="AF125" s="9" t="inlineStr">
        <is>
          <r>
            <rPr>
              <rFont val="Calibri"/>
              <b val="1"/>
              <sz val="10"/>
            </rPr>
            <t>Atlassian company-wide P-levels:</t>
          </r>
          <r>
            <rPr>
              <rFont val="Calibri"/>
              <sz val="10"/>
            </rPr>
            <t xml:space="preserve"> P40 · IRIS Vs Competitor Benchmark — infrastructure ladder: System Administrator</t>
          </r>
        </is>
      </c>
      <c r="AG125" s="9" t="inlineStr">
        <is>
          <t>ITIL 4; ISO/IEC 27001:2022; SFIA infrastructure</t>
        </is>
      </c>
      <c r="AH125" s="9" t="inlineStr">
        <is>
          <t>B1 · Specialist</t>
        </is>
      </c>
      <c r="AI125" s="9" t="inlineStr">
        <is>
          <t>AI / automation · Technical depth &amp; architecture · Broader exposure &amp; ownership</t>
        </is>
      </c>
      <c r="AJ125" s="9" t="inlineStr">
        <is>
          <t>—</t>
        </is>
      </c>
      <c r="AK125" s="9" t="inlineStr">
        <is>
          <t>—</t>
        </is>
      </c>
      <c r="AL125" s="9" t="inlineStr">
        <is>
          <t>—</t>
        </is>
      </c>
      <c r="AM125" s="9" t="inlineStr">
        <is>
          <t>—</t>
        </is>
      </c>
      <c r="AN125" s="9" t="inlineStr">
        <is>
          <t>—</t>
        </is>
      </c>
      <c r="AO125" s="9" t="inlineStr">
        <is>
          <t>Provide secure organisational technology services. Includes: Internal infrastructure, employee technology and enterprise security. Excludes: Customer product support; application development.</t>
        </is>
      </c>
      <c r="AP125" s="9" t="inlineStr">
        <is>
          <t>IT02-2 · IT Support Analyst</t>
        </is>
      </c>
      <c r="AQ125" s="9" t="inlineStr">
        <is>
          <t>Resolve employee incidents and administer approved access requests.</t>
        </is>
      </c>
      <c r="AR125" s="9" t="inlineStr">
        <is>
          <t>Demonstrate routine delivery plus judgement in bounded exceptions.</t>
        </is>
      </c>
      <c r="AS125" s="9" t="inlineStr">
        <is>
          <t>A resolved service set with secure access practices and accurate asset records</t>
        </is>
      </c>
      <c r="AT125" s="9" t="inlineStr">
        <is>
          <r>
            <rPr>
              <rFont val="Calibri"/>
              <b val="1"/>
              <sz val="10"/>
            </rPr>
            <t>Workiva:</t>
          </r>
          <r>
            <rPr>
              <rFont val="Calibri"/>
              <sz val="10"/>
            </rPr>
            <t xml:space="preserve"> Senior AV Engineer · Selected adjacent specialism. Gap: AV support is a workplace IT example, not a full service-desk ladder</t>
          </r>
        </is>
      </c>
      <c r="AU125" s="57" t="inlineStr">
        <is>
          <t>Framework only · fewer than 3 answered</t>
        </is>
      </c>
      <c r="AV125" s="9" t="inlineStr">
        <is>
          <t>1 holder, 1 answered the survey; sub-family 1 answered</t>
        </is>
      </c>
    </row>
    <row r="126" ht="80" customHeight="1">
      <c r="A126" s="17" t="inlineStr">
        <is>
          <t>RC-107</t>
        </is>
      </c>
      <c r="B126" s="9" t="inlineStr">
        <is>
          <t>IT &amp; Infrastructure</t>
        </is>
      </c>
      <c r="C126" s="9" t="inlineStr">
        <is>
          <t>IT Infrastructure Leadership</t>
        </is>
      </c>
      <c r="D126" s="21" t="inlineStr">
        <is>
          <t>B2</t>
        </is>
      </c>
      <c r="E126" s="22" t="inlineStr">
        <is>
          <t>Manager</t>
        </is>
      </c>
      <c r="F126" s="9" t="inlineStr">
        <is>
          <t>Manager</t>
        </is>
      </c>
      <c r="G126" s="9" t="inlineStr">
        <is>
          <t>Senior IT Manager</t>
        </is>
      </c>
      <c r="H126" s="8" t="n">
        <v>1</v>
      </c>
      <c r="I126" s="9" t="inlineStr">
        <is>
          <t>Corporate 1</t>
        </is>
      </c>
      <c r="J126" s="9" t="inlineStr">
        <is>
          <t>Leads infrastructure operations, ISO governance and IT vendors. At B2: deep domain expertise, or one team.</t>
        </is>
      </c>
      <c r="K126" s="9" t="inlineStr">
        <is>
          <t>Leads infrastructure operations, ISO governance and IT vendors; Hardest problems in the domain; One team or a client portfolio</t>
        </is>
      </c>
      <c r="L126" s="9" t="inlineStr">
        <is>
          <t>One team or a client portfolio</t>
        </is>
      </c>
      <c r="M126" s="9" t="inlineStr">
        <is>
          <t>One team or a client portfolio</t>
        </is>
      </c>
      <c r="N126" s="9" t="inlineStr">
        <is>
          <t>Allocates people and sets team priorities</t>
        </is>
      </c>
      <c r="O126" s="9" t="inlineStr">
        <is>
          <t>—</t>
        </is>
      </c>
      <c r="P126" s="9" t="inlineStr">
        <is>
          <t>—</t>
        </is>
      </c>
      <c r="Q126" s="9" t="inlineStr">
        <is>
          <t>—</t>
        </is>
      </c>
      <c r="R126" s="9" t="inlineStr">
        <is>
          <t>Deep domain expertise, or one team</t>
        </is>
      </c>
      <c r="S126" s="9" t="inlineStr">
        <is>
          <t>Hardest problems in the domain</t>
        </is>
      </c>
      <c r="T126" s="9" t="inlineStr">
        <is>
          <t>Allocates people and sets team priorities</t>
        </is>
      </c>
      <c r="U126" s="9" t="inlineStr">
        <is>
          <t>One team or a client portfolio</t>
        </is>
      </c>
      <c r="V126" s="9" t="inlineStr">
        <is>
          <r>
            <rPr>
              <rFont val="Calibri"/>
              <b val="1"/>
              <sz val="10"/>
            </rPr>
            <t>IC:</t>
          </r>
          <r>
            <rPr>
              <rFont val="Calibri"/>
              <sz val="10"/>
            </rPr>
            <t xml:space="preserve"> guides others in the domain · People: manages a team of 6+</t>
          </r>
        </is>
      </c>
      <c r="W126" s="9" t="inlineStr">
        <is>
          <t>6–9 yrs</t>
        </is>
      </c>
      <c r="X126" s="9" t="inlineStr">
        <is>
          <t>Graduate or postgraduate; professional qualification preferred</t>
        </is>
      </c>
      <c r="Y126" s="9" t="inlineStr">
        <is>
          <t>Microsoft / CCNA / ISO 27001 / ITIL; AWS / Azure / Kubernetes certifications</t>
        </is>
      </c>
      <c r="Z126" s="9" t="inlineStr">
        <is>
          <r>
            <rPr>
              <rFont val="Calibri"/>
              <b val="1"/>
              <sz val="10"/>
            </rPr>
            <t>IC:</t>
          </r>
          <r>
            <rPr>
              <rFont val="Calibri"/>
              <sz val="10"/>
            </rPr>
            <t xml:space="preserve"> none · People: 6–8 knowledge work, 8–12 standardised delivery</t>
          </r>
        </is>
      </c>
      <c r="AA126" s="9" t="inlineStr">
        <is>
          <t>Core 3 · Future-ready 3 · Functional 4 · Leadership 3</t>
        </is>
      </c>
      <c r="AB126" s="9" t="inlineStr">
        <is>
          <t>Cybersecurity &amp; Infrastructure · Cloud, DevOps &amp; CI/CD</t>
        </is>
      </c>
      <c r="AC126" s="9" t="inlineStr">
        <is>
          <t>Process Improvement &amp; Quality Mindset · Stakeholder &amp; Client Management · Time, Priority &amp; Self-Management · AI, GenAI &amp; Prompt Engineering</t>
        </is>
      </c>
      <c r="AD126" s="8" t="inlineStr">
        <is>
          <t>P4 / M3</t>
        </is>
      </c>
      <c r="AE126" s="8" t="inlineStr">
        <is>
          <t>4–5</t>
        </is>
      </c>
      <c r="AF126" s="9" t="inlineStr">
        <is>
          <r>
            <rPr>
              <rFont val="Calibri"/>
              <b val="1"/>
              <sz val="10"/>
            </rPr>
            <t>Atlassian company-wide P-levels:</t>
          </r>
          <r>
            <rPr>
              <rFont val="Calibri"/>
              <sz val="10"/>
            </rPr>
            <t xml:space="preserve"> P50 Senior · IRIS Vs Competitor Benchmark — infrastructure ladder: Infrastructure Lead</t>
          </r>
        </is>
      </c>
      <c r="AG126" s="9" t="inlineStr">
        <is>
          <t>ITIL 4; ISO/IEC 27001:2022; SFIA infrastructure</t>
        </is>
      </c>
      <c r="AH126" s="9" t="inlineStr">
        <is>
          <t>B3 · Lead Specialist</t>
        </is>
      </c>
      <c r="AI126" s="9" t="inlineStr">
        <is>
          <t>Project / programme management</t>
        </is>
      </c>
      <c r="AJ126" s="9" t="inlineStr">
        <is>
          <t>—</t>
        </is>
      </c>
      <c r="AK126" s="9" t="inlineStr">
        <is>
          <t>—</t>
        </is>
      </c>
      <c r="AL126" s="9" t="inlineStr">
        <is>
          <t>—</t>
        </is>
      </c>
      <c r="AM126" s="9" t="inlineStr">
        <is>
          <t>—</t>
        </is>
      </c>
      <c r="AN126" s="9" t="inlineStr">
        <is>
          <t>—</t>
        </is>
      </c>
      <c r="AO126" s="9" t="inlineStr">
        <is>
          <t>Provide secure organisational technology services. Includes: Internal infrastructure, employee technology and enterprise security. Excludes: Customer product support; application development.</t>
        </is>
      </c>
      <c r="AP126" s="9" t="inlineStr">
        <is>
          <t>LD13-1 · IT Operations / Security Manager</t>
        </is>
      </c>
      <c r="AQ126" s="9" t="inlineStr">
        <is>
          <t>Own staffing decisions, performance support, service quality and delegated team resources</t>
        </is>
      </c>
      <c r="AR126" s="9" t="inlineStr">
        <is>
          <t>Do not manufacture three reporting layers. Choose roles the organisation needs. A specialist may remain on an equally valued expert path.</t>
        </is>
      </c>
      <c r="AS126" s="9" t="inlineStr">
        <is>
          <t>—</t>
        </is>
      </c>
      <c r="AT126" s="9" t="inlineStr">
        <is>
          <t>—</t>
        </is>
      </c>
      <c r="AU126" s="57" t="inlineStr">
        <is>
          <t>Framework only · fewer than 3 answered</t>
        </is>
      </c>
      <c r="AV126" s="9" t="inlineStr">
        <is>
          <t>1 holder, 1 answered the survey; sub-family 1 answered</t>
        </is>
      </c>
    </row>
    <row r="127" ht="106" customHeight="1">
      <c r="A127" s="17" t="inlineStr">
        <is>
          <t>RC-108</t>
        </is>
      </c>
      <c r="B127" s="9" t="inlineStr">
        <is>
          <t>IT &amp; Infrastructure</t>
        </is>
      </c>
      <c r="C127" s="9" t="inlineStr">
        <is>
          <t>Infrastructure &amp; Cloud Operations</t>
        </is>
      </c>
      <c r="D127" s="18" t="inlineStr">
        <is>
          <t>A3</t>
        </is>
      </c>
      <c r="E127" s="19" t="inlineStr">
        <is>
          <t>Senior Associate</t>
        </is>
      </c>
      <c r="F127" s="9" t="inlineStr">
        <is>
          <t>IC</t>
        </is>
      </c>
      <c r="G127" s="9" t="inlineStr">
        <is>
          <t>Senior System Administrator · Infrastructure Specialist</t>
        </is>
      </c>
      <c r="H127" s="8" t="n">
        <v>8</v>
      </c>
      <c r="I127" s="9" t="inlineStr">
        <is>
          <t>Corporate 8</t>
        </is>
      </c>
      <c r="J127" s="9" t="inlineStr">
        <is>
          <r>
            <rPr>
              <rFont val="Calibri"/>
              <sz val="10"/>
            </rPr>
            <t xml:space="preserve">Runs servers, AD/DNS, network, cloud, hosting, backup and DR. At A3: varied work; reviews juniors; go-to for a process.
</t>
          </r>
          <r>
            <rPr>
              <rFont val="Calibri"/>
              <b val="1"/>
              <sz val="10"/>
            </rPr>
            <t>Common themes in role-holders' answers:</t>
          </r>
          <r>
            <rPr>
              <rFont val="Calibri"/>
              <sz val="10"/>
            </rPr>
            <t xml:space="preserve"> server · support · security · windows · infrastructure · system</t>
          </r>
        </is>
      </c>
      <c r="K127" s="9" t="inlineStr">
        <is>
          <r>
            <rPr>
              <rFont val="Calibri"/>
              <sz val="10"/>
            </rPr>
            <t xml:space="preserve">Runs servers, AD/DNS, network, cloud, hosting, backup and DR; Varied and non-standard work; handles exceptions; A module / process, or work with client or regulatory consequences
</t>
          </r>
          <r>
            <rPr>
              <rFont val="Calibri"/>
              <b val="1"/>
              <sz val="10"/>
            </rPr>
            <t>Common themes in role-holders' answers:</t>
          </r>
          <r>
            <rPr>
              <rFont val="Calibri"/>
              <sz val="10"/>
            </rPr>
            <t xml:space="preserve"> server · dns · security · cloud · monitoring · administration</t>
          </r>
        </is>
      </c>
      <c r="L127" s="9" t="inlineStr">
        <is>
          <r>
            <rPr>
              <rFont val="Calibri"/>
              <sz val="10"/>
            </rPr>
            <t xml:space="preserve">A module / process, or work with client or regulatory consequences
</t>
          </r>
          <r>
            <rPr>
              <rFont val="Calibri"/>
              <b val="1"/>
              <sz val="10"/>
            </rPr>
            <t>Common themes in role-holders' answers:</t>
          </r>
          <r>
            <rPr>
              <rFont val="Calibri"/>
              <sz val="10"/>
            </rPr>
            <t xml:space="preserve"> system · infrastructure · secure · availability · monitoring · disaster</t>
          </r>
        </is>
      </c>
      <c r="M127" s="9" t="inlineStr">
        <is>
          <r>
            <rPr>
              <rFont val="Calibri"/>
              <sz val="10"/>
            </rPr>
            <t xml:space="preserve">A module / process, or work with client or regulatory consequences
</t>
          </r>
          <r>
            <rPr>
              <rFont val="Calibri"/>
              <b val="1"/>
              <sz val="10"/>
            </rPr>
            <t>Common themes in role-holders' answers:</t>
          </r>
          <r>
            <rPr>
              <rFont val="Calibri"/>
              <sz val="10"/>
            </rPr>
            <t xml:space="preserve"> availability · am · accountable · uptime · security · server</t>
          </r>
        </is>
      </c>
      <c r="N127" s="9" t="inlineStr">
        <is>
          <r>
            <rPr>
              <rFont val="Calibri"/>
              <sz val="10"/>
            </rPr>
            <t xml:space="preserve">Technical / QC / client calls on own work
</t>
          </r>
          <r>
            <rPr>
              <rFont val="Calibri"/>
              <b val="1"/>
              <sz val="10"/>
            </rPr>
            <t>Common themes in role-holders' answers:</t>
          </r>
          <r>
            <rPr>
              <rFont val="Calibri"/>
              <sz val="10"/>
            </rPr>
            <t xml:space="preserve"> backup · optimize · monitor · resolve</t>
          </r>
        </is>
      </c>
      <c r="O127" s="9" t="inlineStr">
        <is>
          <t>—</t>
        </is>
      </c>
      <c r="P127" s="9" t="inlineStr">
        <is>
          <t>Infra</t>
        </is>
      </c>
      <c r="Q127" s="9" t="inlineStr">
        <is>
          <t>—</t>
        </is>
      </c>
      <c r="R127" s="9" t="inlineStr">
        <is>
          <t>Varied work; reviews juniors; go-to for a process</t>
        </is>
      </c>
      <c r="S127" s="9" t="inlineStr">
        <is>
          <t>Varied and non-standard work; handles exceptions</t>
        </is>
      </c>
      <c r="T127" s="9" t="inlineStr">
        <is>
          <t>Technical / QC / client calls on own work</t>
        </is>
      </c>
      <c r="U127" s="9" t="inlineStr">
        <is>
          <t>A module / process, or work with client or regulatory consequences</t>
        </is>
      </c>
      <c r="V127" s="9" t="inlineStr">
        <is>
          <t>Not scored in Band A</t>
        </is>
      </c>
      <c r="W127" s="9" t="inlineStr">
        <is>
          <t>2–4 yrs</t>
        </is>
      </c>
      <c r="X127" s="9" t="inlineStr">
        <is>
          <t>Graduate; relevant certification preferred</t>
        </is>
      </c>
      <c r="Y127" s="9" t="inlineStr">
        <is>
          <t>Microsoft / CCNA / ISO 27001 / ITIL; AWS / Azure / Kubernetes certifications</t>
        </is>
      </c>
      <c r="Z127" s="9" t="inlineStr">
        <is>
          <t>None · guides 1–3 juniors informally</t>
        </is>
      </c>
      <c r="AA127" s="9" t="inlineStr">
        <is>
          <t>Core 2 · Future-ready 2 · Functional 3 · Leadership —</t>
        </is>
      </c>
      <c r="AB127" s="9" t="inlineStr">
        <is>
          <t>Cybersecurity &amp; Infrastructure · Cloud, DevOps &amp; CI/CD</t>
        </is>
      </c>
      <c r="AC127" s="9" t="inlineStr">
        <is>
          <t>Process Improvement &amp; Quality Mindset · Stakeholder &amp; Client Management · Time, Priority &amp; Self-Management · AI, GenAI &amp; Prompt Engineering</t>
        </is>
      </c>
      <c r="AD127" s="8" t="inlineStr">
        <is>
          <t>P2</t>
        </is>
      </c>
      <c r="AE127" s="8" t="inlineStr">
        <is>
          <t>3 Apply</t>
        </is>
      </c>
      <c r="AF127" s="9" t="inlineStr">
        <is>
          <r>
            <rPr>
              <rFont val="Calibri"/>
              <b val="1"/>
              <sz val="10"/>
            </rPr>
            <t>Atlassian company-wide P-levels:</t>
          </r>
          <r>
            <rPr>
              <rFont val="Calibri"/>
              <sz val="10"/>
            </rPr>
            <t xml:space="preserve"> P40 · IRIS Vs Competitor Benchmark — infrastructure ladder: System Administrator</t>
          </r>
        </is>
      </c>
      <c r="AG127" s="9" t="inlineStr">
        <is>
          <t>ITIL 4; ISO/IEC 27001:2022; SFIA infrastructure</t>
        </is>
      </c>
      <c r="AH127" s="9" t="inlineStr">
        <is>
          <t>B1 · Specialist</t>
        </is>
      </c>
      <c r="AI127" s="9" t="inlineStr">
        <is>
          <t>Technical depth &amp; architecture · Leadership &amp; people management · Project / programme management · Data, SQL &amp; analytics · Strategy &amp; business acumen</t>
        </is>
      </c>
      <c r="AJ127" s="9" t="inlineStr">
        <is>
          <t>—</t>
        </is>
      </c>
      <c r="AK127" s="9" t="inlineStr">
        <is>
          <t>On-the-job / hands-on · Formal / classroom training · Mentoring / guidance from seniors · Certification</t>
        </is>
      </c>
      <c r="AL127" s="9" t="inlineStr">
        <is>
          <t>delays · dependency · approval</t>
        </is>
      </c>
      <c r="AM127" s="9" t="inlineStr">
        <is>
          <t>faster · monitoring · support · improve · clearer</t>
        </is>
      </c>
      <c r="AN127" s="9" t="inlineStr">
        <is>
          <t>3 of 6 say the role is changing because of AI / automation</t>
        </is>
      </c>
      <c r="AO127" s="9" t="inlineStr">
        <is>
          <t>Provide secure organisational technology services. Includes: Internal infrastructure, employee technology and enterprise security. Excludes: Customer product support; application development.</t>
        </is>
      </c>
      <c r="AP127" s="9" t="inlineStr">
        <is>
          <t>IT01-2 · Cloud Infrastructure Engineer</t>
        </is>
      </c>
      <c r="AQ127" s="9" t="inlineStr">
        <is>
          <t>Operate secure infrastructure and verify restoration.</t>
        </is>
      </c>
      <c r="AR127" s="9" t="inlineStr">
        <is>
          <t>Demonstrate routine delivery plus judgement in bounded exceptions.</t>
        </is>
      </c>
      <c r="AS127" s="9" t="inlineStr">
        <is>
          <t>A supported environment with secure configuration and tested restoration</t>
        </is>
      </c>
      <c r="AT127" s="9" t="inlineStr">
        <is>
          <r>
            <rPr>
              <rFont val="Calibri"/>
              <b val="1"/>
              <sz val="10"/>
            </rPr>
            <t>Workiva:</t>
          </r>
          <r>
            <rPr>
              <rFont val="Calibri"/>
              <sz val="10"/>
            </rPr>
            <t xml:space="preserve"> Principal Security Engineer · Related work. Gap: Security architecture context does not establish infrastructure operations grades</t>
          </r>
        </is>
      </c>
      <c r="AU127" s="22" t="inlineStr">
        <is>
          <t>Framework + role-holders' themes · 3+ answered</t>
        </is>
      </c>
      <c r="AV127" s="9" t="inlineStr">
        <is>
          <t>8 holders, 6 answered the survey; sub-family 9 answered</t>
        </is>
      </c>
    </row>
    <row r="128" ht="93" customHeight="1">
      <c r="A128" s="17" t="inlineStr">
        <is>
          <t>RC-109</t>
        </is>
      </c>
      <c r="B128" s="9" t="inlineStr">
        <is>
          <t>IT &amp; Infrastructure</t>
        </is>
      </c>
      <c r="C128" s="9" t="inlineStr">
        <is>
          <t>Infrastructure &amp; Cloud Operations</t>
        </is>
      </c>
      <c r="D128" s="21" t="inlineStr">
        <is>
          <t>B1</t>
        </is>
      </c>
      <c r="E128" s="22" t="inlineStr">
        <is>
          <t>Specialist</t>
        </is>
      </c>
      <c r="F128" s="9" t="inlineStr">
        <is>
          <t>IC</t>
        </is>
      </c>
      <c r="G128" s="9" t="inlineStr">
        <is>
          <t>Infrastructure Specialist · Infrastructure Specialist – POD Lead</t>
        </is>
      </c>
      <c r="H128" s="8" t="n">
        <v>2</v>
      </c>
      <c r="I128" s="9" t="inlineStr">
        <is>
          <t>Corporate 2</t>
        </is>
      </c>
      <c r="J128" s="9" t="inlineStr">
        <is>
          <r>
            <rPr>
              <rFont val="Calibri"/>
              <sz val="10"/>
            </rPr>
            <t xml:space="preserve">Runs servers, AD/DNS, network, cloud, hosting, backup and DR. At B1: a domain / module, or a small team.
</t>
          </r>
          <r>
            <rPr>
              <rFont val="Calibri"/>
              <b val="1"/>
              <sz val="10"/>
            </rPr>
            <t>Common themes in sub-family holders, all levels' answers:</t>
          </r>
          <r>
            <rPr>
              <rFont val="Calibri"/>
              <sz val="10"/>
            </rPr>
            <t xml:space="preserve"> support · infra · services · secure · availability · windows</t>
          </r>
        </is>
      </c>
      <c r="K128" s="9" t="inlineStr">
        <is>
          <r>
            <rPr>
              <rFont val="Calibri"/>
              <sz val="10"/>
            </rPr>
            <t xml:space="preserve">Runs servers, AD/DNS, network, cloud, hosting, backup and DR; Domain specialist work; A domain or a small team
</t>
          </r>
          <r>
            <rPr>
              <rFont val="Calibri"/>
              <b val="1"/>
              <sz val="10"/>
            </rPr>
            <t>Common themes in sub-family holders, all levels' answers:</t>
          </r>
          <r>
            <rPr>
              <rFont val="Calibri"/>
              <sz val="10"/>
            </rPr>
            <t xml:space="preserve"> management · server · cloud · administration · dns · incident</t>
          </r>
        </is>
      </c>
      <c r="L128" s="9" t="inlineStr">
        <is>
          <r>
            <rPr>
              <rFont val="Calibri"/>
              <sz val="10"/>
            </rPr>
            <t xml:space="preserve">A domain or a small team
</t>
          </r>
          <r>
            <rPr>
              <rFont val="Calibri"/>
              <b val="1"/>
              <sz val="10"/>
            </rPr>
            <t>Common themes in sub-family holders, all levels' answers:</t>
          </r>
          <r>
            <rPr>
              <rFont val="Calibri"/>
              <sz val="10"/>
            </rPr>
            <t xml:space="preserve"> secure · system · infrastructure · server · support · availability</t>
          </r>
        </is>
      </c>
      <c r="M128" s="9" t="inlineStr">
        <is>
          <r>
            <rPr>
              <rFont val="Calibri"/>
              <sz val="10"/>
            </rPr>
            <t xml:space="preserve">A domain or a small team
</t>
          </r>
          <r>
            <rPr>
              <rFont val="Calibri"/>
              <b val="1"/>
              <sz val="10"/>
            </rPr>
            <t>Common themes in sub-family holders, all levels' answers:</t>
          </r>
          <r>
            <rPr>
              <rFont val="Calibri"/>
              <sz val="10"/>
            </rPr>
            <t xml:space="preserve"> availability · security · accountable · am · performance · infrastructure</t>
          </r>
        </is>
      </c>
      <c r="N128" s="9" t="inlineStr">
        <is>
          <r>
            <rPr>
              <rFont val="Calibri"/>
              <sz val="10"/>
            </rPr>
            <t xml:space="preserve">Technical / QC / client calls for the domain
</t>
          </r>
          <r>
            <rPr>
              <rFont val="Calibri"/>
              <b val="1"/>
              <sz val="10"/>
            </rPr>
            <t>Common themes in sub-family holders, all levels' answers:</t>
          </r>
          <r>
            <rPr>
              <rFont val="Calibri"/>
              <sz val="10"/>
            </rPr>
            <t xml:space="preserve"> backup · tuning · incident · failed · performance · optimize</t>
          </r>
        </is>
      </c>
      <c r="O128" s="9" t="inlineStr">
        <is>
          <t>—</t>
        </is>
      </c>
      <c r="P128" s="9" t="inlineStr">
        <is>
          <t>Infra</t>
        </is>
      </c>
      <c r="Q128" s="9" t="inlineStr">
        <is>
          <t>AWS</t>
        </is>
      </c>
      <c r="R128" s="9" t="inlineStr">
        <is>
          <t>A domain / module, or a small team</t>
        </is>
      </c>
      <c r="S128" s="9" t="inlineStr">
        <is>
          <t>Domain specialist work</t>
        </is>
      </c>
      <c r="T128" s="9" t="inlineStr">
        <is>
          <t>Technical / QC / client calls for the domain</t>
        </is>
      </c>
      <c r="U128" s="9" t="inlineStr">
        <is>
          <t>A domain or a small team</t>
        </is>
      </c>
      <c r="V128" s="9" t="inlineStr">
        <is>
          <r>
            <rPr>
              <rFont val="Calibri"/>
              <b val="1"/>
              <sz val="10"/>
            </rPr>
            <t>IC:</t>
          </r>
          <r>
            <rPr>
              <rFont val="Calibri"/>
              <sz val="10"/>
            </rPr>
            <t xml:space="preserve"> mentors and reviews · People: hands-on team lead of 3–5</t>
          </r>
        </is>
      </c>
      <c r="W128" s="9" t="inlineStr">
        <is>
          <t>4–7 yrs</t>
        </is>
      </c>
      <c r="X128" s="9" t="inlineStr">
        <is>
          <t>Graduate + relevant qualification or certification preferred</t>
        </is>
      </c>
      <c r="Y128" s="9" t="inlineStr">
        <is>
          <t>Microsoft / CCNA / ISO 27001 / ITIL; AWS / Azure / Kubernetes certifications</t>
        </is>
      </c>
      <c r="Z128" s="9" t="inlineStr">
        <is>
          <r>
            <rPr>
              <rFont val="Calibri"/>
              <b val="1"/>
              <sz val="10"/>
            </rPr>
            <t>IC:</t>
          </r>
          <r>
            <rPr>
              <rFont val="Calibri"/>
              <sz val="10"/>
            </rPr>
            <t xml:space="preserve"> none · Team Lead: 3–5</t>
          </r>
        </is>
      </c>
      <c r="AA128" s="9" t="inlineStr">
        <is>
          <t>Core 3 · Future-ready 3 · Functional 3 · Leadership 1</t>
        </is>
      </c>
      <c r="AB128" s="9" t="inlineStr">
        <is>
          <t>Cybersecurity &amp; Infrastructure · Cloud, DevOps &amp; CI/CD</t>
        </is>
      </c>
      <c r="AC128" s="9" t="inlineStr">
        <is>
          <t>Process Improvement &amp; Quality Mindset · Stakeholder &amp; Client Management · Time, Priority &amp; Self-Management · AI, GenAI &amp; Prompt Engineering</t>
        </is>
      </c>
      <c r="AD128" s="8" t="inlineStr">
        <is>
          <t>P3 / M2</t>
        </is>
      </c>
      <c r="AE128" s="8" t="inlineStr">
        <is>
          <t>4 Enable</t>
        </is>
      </c>
      <c r="AF128" s="9" t="inlineStr">
        <is>
          <r>
            <rPr>
              <rFont val="Calibri"/>
              <b val="1"/>
              <sz val="10"/>
            </rPr>
            <t>Atlassian company-wide P-levels:</t>
          </r>
          <r>
            <rPr>
              <rFont val="Calibri"/>
              <sz val="10"/>
            </rPr>
            <t xml:space="preserve"> P40 · IRIS Vs Competitor Benchmark — infrastructure ladder: Senior SysAdmin</t>
          </r>
        </is>
      </c>
      <c r="AG128" s="9" t="inlineStr">
        <is>
          <t>ITIL 4; ISO/IEC 27001:2022; SFIA infrastructure</t>
        </is>
      </c>
      <c r="AH128" s="9" t="inlineStr">
        <is>
          <t>B2 · Senior Specialist</t>
        </is>
      </c>
      <c r="AI128" s="9" t="inlineStr">
        <is>
          <t>Technical depth &amp; architecture · Leadership &amp; people management · Domain, regulatory &amp; XBRL · Strategy &amp; business acumen</t>
        </is>
      </c>
      <c r="AJ128" s="9" t="inlineStr">
        <is>
          <t>—</t>
        </is>
      </c>
      <c r="AK128" s="9" t="inlineStr">
        <is>
          <t>On-the-job / hands-on · Formal / classroom training · Mentoring / guidance from seniors · Certification</t>
        </is>
      </c>
      <c r="AL128" s="9" t="inlineStr">
        <is>
          <t>delays · approval · dependencies · dependency · unplanned</t>
        </is>
      </c>
      <c r="AM128" s="9" t="inlineStr">
        <is>
          <t>faster · monitoring · support · improve · strengthen</t>
        </is>
      </c>
      <c r="AN128" s="9" t="inlineStr">
        <is>
          <t>6 of 9 say the role is changing because of AI / automation</t>
        </is>
      </c>
      <c r="AO128" s="9" t="inlineStr">
        <is>
          <t>Provide secure organisational technology services. Includes: Internal infrastructure, employee technology and enterprise security. Excludes: Customer product support; application development.</t>
        </is>
      </c>
      <c r="AP128" s="9" t="inlineStr">
        <is>
          <t>IT01-3 · Senior Infrastructure Engineer</t>
        </is>
      </c>
      <c r="AQ128" s="9" t="inlineStr">
        <is>
          <t>Own availability, identity and complex infrastructure changes.</t>
        </is>
      </c>
      <c r="AR128" s="9" t="inlineStr">
        <is>
          <t>Evidence of complex work, decisions and outcomes beyond routine delivery.</t>
        </is>
      </c>
      <c r="AS128" s="9" t="inlineStr">
        <is>
          <t>A supported environment with secure configuration and tested restoration</t>
        </is>
      </c>
      <c r="AT128" s="9" t="inlineStr">
        <is>
          <r>
            <rPr>
              <rFont val="Calibri"/>
              <b val="1"/>
              <sz val="10"/>
            </rPr>
            <t>Workiva:</t>
          </r>
          <r>
            <rPr>
              <rFont val="Calibri"/>
              <sz val="10"/>
            </rPr>
            <t xml:space="preserve"> Principal Security Engineer · Related work. Gap: Security architecture context does not establish infrastructure operations grades</t>
          </r>
        </is>
      </c>
      <c r="AU128" s="19" t="inlineStr">
        <is>
          <t>Framework + sub-family themes · 3+ answered</t>
        </is>
      </c>
      <c r="AV128" s="9" t="inlineStr">
        <is>
          <t>2 holders, 2 answered the survey; sub-family 9 answered</t>
        </is>
      </c>
    </row>
    <row r="129" ht="93" customHeight="1">
      <c r="A129" s="17" t="inlineStr">
        <is>
          <t>RC-110</t>
        </is>
      </c>
      <c r="B129" s="9" t="inlineStr">
        <is>
          <t>IT &amp; Infrastructure</t>
        </is>
      </c>
      <c r="C129" s="9" t="inlineStr">
        <is>
          <t>Infrastructure &amp; Cloud Operations</t>
        </is>
      </c>
      <c r="D129" s="21" t="inlineStr">
        <is>
          <t>B1</t>
        </is>
      </c>
      <c r="E129" s="22" t="inlineStr">
        <is>
          <t>Team Lead</t>
        </is>
      </c>
      <c r="F129" s="9" t="inlineStr">
        <is>
          <t>Manager</t>
        </is>
      </c>
      <c r="G129" s="9" t="inlineStr">
        <is>
          <t>IT Infrastructure Manager</t>
        </is>
      </c>
      <c r="H129" s="8" t="n">
        <v>1</v>
      </c>
      <c r="I129" s="9" t="inlineStr">
        <is>
          <t>Corporate 1</t>
        </is>
      </c>
      <c r="J129" s="9" t="inlineStr">
        <is>
          <r>
            <rPr>
              <rFont val="Calibri"/>
              <sz val="10"/>
            </rPr>
            <t xml:space="preserve">Runs servers, AD/DNS, network, cloud, hosting, backup and DR. At B1: a domain / module, or a small team.
</t>
          </r>
          <r>
            <rPr>
              <rFont val="Calibri"/>
              <b val="1"/>
              <sz val="10"/>
            </rPr>
            <t>Common themes in sub-family holders, all levels' answers:</t>
          </r>
          <r>
            <rPr>
              <rFont val="Calibri"/>
              <sz val="10"/>
            </rPr>
            <t xml:space="preserve"> support · infra · services · secure · availability · windows</t>
          </r>
        </is>
      </c>
      <c r="K129" s="9" t="inlineStr">
        <is>
          <r>
            <rPr>
              <rFont val="Calibri"/>
              <sz val="10"/>
            </rPr>
            <t xml:space="preserve">Runs servers, AD/DNS, network, cloud, hosting, backup and DR; Domain specialist work; A domain or a small team
</t>
          </r>
          <r>
            <rPr>
              <rFont val="Calibri"/>
              <b val="1"/>
              <sz val="10"/>
            </rPr>
            <t>Common themes in sub-family holders, all levels' answers:</t>
          </r>
          <r>
            <rPr>
              <rFont val="Calibri"/>
              <sz val="10"/>
            </rPr>
            <t xml:space="preserve"> management · server · cloud · administration · dns · incident</t>
          </r>
        </is>
      </c>
      <c r="L129" s="9" t="inlineStr">
        <is>
          <r>
            <rPr>
              <rFont val="Calibri"/>
              <sz val="10"/>
            </rPr>
            <t xml:space="preserve">A domain or a small team
</t>
          </r>
          <r>
            <rPr>
              <rFont val="Calibri"/>
              <b val="1"/>
              <sz val="10"/>
            </rPr>
            <t>Common themes in sub-family holders, all levels' answers:</t>
          </r>
          <r>
            <rPr>
              <rFont val="Calibri"/>
              <sz val="10"/>
            </rPr>
            <t xml:space="preserve"> secure · system · infrastructure · server · support · availability</t>
          </r>
        </is>
      </c>
      <c r="M129" s="9" t="inlineStr">
        <is>
          <r>
            <rPr>
              <rFont val="Calibri"/>
              <sz val="10"/>
            </rPr>
            <t xml:space="preserve">A domain or a small team
</t>
          </r>
          <r>
            <rPr>
              <rFont val="Calibri"/>
              <b val="1"/>
              <sz val="10"/>
            </rPr>
            <t>Common themes in sub-family holders, all levels' answers:</t>
          </r>
          <r>
            <rPr>
              <rFont val="Calibri"/>
              <sz val="10"/>
            </rPr>
            <t xml:space="preserve"> availability · security · accountable · am · performance · infrastructure</t>
          </r>
        </is>
      </c>
      <c r="N129" s="9" t="inlineStr">
        <is>
          <r>
            <rPr>
              <rFont val="Calibri"/>
              <sz val="10"/>
            </rPr>
            <t xml:space="preserve">Technical / QC / client calls for the domain
</t>
          </r>
          <r>
            <rPr>
              <rFont val="Calibri"/>
              <b val="1"/>
              <sz val="10"/>
            </rPr>
            <t>Common themes in sub-family holders, all levels' answers:</t>
          </r>
          <r>
            <rPr>
              <rFont val="Calibri"/>
              <sz val="10"/>
            </rPr>
            <t xml:space="preserve"> backup · tuning · incident · failed · performance · optimize</t>
          </r>
        </is>
      </c>
      <c r="O129" s="9" t="inlineStr">
        <is>
          <t>—</t>
        </is>
      </c>
      <c r="P129" s="9" t="inlineStr">
        <is>
          <t>Infra</t>
        </is>
      </c>
      <c r="Q129" s="9" t="inlineStr">
        <is>
          <t>AWS</t>
        </is>
      </c>
      <c r="R129" s="9" t="inlineStr">
        <is>
          <t>A domain / module, or a small team</t>
        </is>
      </c>
      <c r="S129" s="9" t="inlineStr">
        <is>
          <t>Domain specialist work</t>
        </is>
      </c>
      <c r="T129" s="9" t="inlineStr">
        <is>
          <t>Technical / QC / client calls for the domain</t>
        </is>
      </c>
      <c r="U129" s="9" t="inlineStr">
        <is>
          <t>A domain or a small team</t>
        </is>
      </c>
      <c r="V129" s="9" t="inlineStr">
        <is>
          <r>
            <rPr>
              <rFont val="Calibri"/>
              <b val="1"/>
              <sz val="10"/>
            </rPr>
            <t>IC:</t>
          </r>
          <r>
            <rPr>
              <rFont val="Calibri"/>
              <sz val="10"/>
            </rPr>
            <t xml:space="preserve"> mentors and reviews · People: hands-on team lead of 3–5</t>
          </r>
        </is>
      </c>
      <c r="W129" s="9" t="inlineStr">
        <is>
          <t>4–7 yrs</t>
        </is>
      </c>
      <c r="X129" s="9" t="inlineStr">
        <is>
          <t>Graduate + relevant qualification or certification preferred</t>
        </is>
      </c>
      <c r="Y129" s="9" t="inlineStr">
        <is>
          <t>Microsoft / CCNA / ISO 27001 / ITIL; AWS / Azure / Kubernetes certifications</t>
        </is>
      </c>
      <c r="Z129" s="9" t="inlineStr">
        <is>
          <r>
            <rPr>
              <rFont val="Calibri"/>
              <b val="1"/>
              <sz val="10"/>
            </rPr>
            <t>IC:</t>
          </r>
          <r>
            <rPr>
              <rFont val="Calibri"/>
              <sz val="10"/>
            </rPr>
            <t xml:space="preserve"> none · Team Lead: 3–5</t>
          </r>
        </is>
      </c>
      <c r="AA129" s="9" t="inlineStr">
        <is>
          <t>Core 3 · Future-ready 3 · Functional 3 · Leadership 2</t>
        </is>
      </c>
      <c r="AB129" s="9" t="inlineStr">
        <is>
          <t>Cybersecurity &amp; Infrastructure · Cloud, DevOps &amp; CI/CD</t>
        </is>
      </c>
      <c r="AC129" s="9" t="inlineStr">
        <is>
          <t>Process Improvement &amp; Quality Mindset · Stakeholder &amp; Client Management · Time, Priority &amp; Self-Management · AI, GenAI &amp; Prompt Engineering</t>
        </is>
      </c>
      <c r="AD129" s="8" t="inlineStr">
        <is>
          <t>P3 / M2</t>
        </is>
      </c>
      <c r="AE129" s="8" t="inlineStr">
        <is>
          <t>4 Enable</t>
        </is>
      </c>
      <c r="AF129" s="9" t="inlineStr">
        <is>
          <r>
            <rPr>
              <rFont val="Calibri"/>
              <b val="1"/>
              <sz val="10"/>
            </rPr>
            <t>Atlassian company-wide P-levels:</t>
          </r>
          <r>
            <rPr>
              <rFont val="Calibri"/>
              <sz val="10"/>
            </rPr>
            <t xml:space="preserve"> P40 · IRIS Vs Competitor Benchmark — infrastructure ladder: Senior SysAdmin</t>
          </r>
        </is>
      </c>
      <c r="AG129" s="9" t="inlineStr">
        <is>
          <t>ITIL 4; ISO/IEC 27001:2022; SFIA infrastructure</t>
        </is>
      </c>
      <c r="AH129" s="9" t="inlineStr">
        <is>
          <t>B2 · Senior Specialist</t>
        </is>
      </c>
      <c r="AI129" s="9" t="inlineStr">
        <is>
          <t>AI / automation · Leadership &amp; people management · Technical depth &amp; architecture</t>
        </is>
      </c>
      <c r="AJ129" s="9" t="inlineStr">
        <is>
          <t>—</t>
        </is>
      </c>
      <c r="AK129" s="9" t="inlineStr">
        <is>
          <t>On-the-job / hands-on · Formal / classroom training · Mentoring / guidance from seniors · Certification</t>
        </is>
      </c>
      <c r="AL129" s="9" t="inlineStr">
        <is>
          <t>delays · approval · dependencies · dependency · unplanned</t>
        </is>
      </c>
      <c r="AM129" s="9" t="inlineStr">
        <is>
          <t>faster · monitoring · support · improve · strengthen</t>
        </is>
      </c>
      <c r="AN129" s="9" t="inlineStr">
        <is>
          <t>6 of 9 say the role is changing because of AI / automation</t>
        </is>
      </c>
      <c r="AO129" s="9" t="inlineStr">
        <is>
          <t>Provide secure organisational technology services. Includes: Internal infrastructure, employee technology and enterprise security. Excludes: Customer product support; application development.</t>
        </is>
      </c>
      <c r="AP129" s="9" t="inlineStr">
        <is>
          <t>LD13-1 · IT Operations / Security Manager</t>
        </is>
      </c>
      <c r="AQ129" s="9" t="inlineStr">
        <is>
          <t>Own staffing decisions, performance support, service quality and delegated team resources</t>
        </is>
      </c>
      <c r="AR129" s="9" t="inlineStr">
        <is>
          <t>Do not manufacture three reporting layers. Choose roles the organisation needs. A specialist may remain on an equally valued expert path.</t>
        </is>
      </c>
      <c r="AS129" s="9" t="inlineStr">
        <is>
          <t>—</t>
        </is>
      </c>
      <c r="AT129" s="9" t="inlineStr">
        <is>
          <t>—</t>
        </is>
      </c>
      <c r="AU129" s="19" t="inlineStr">
        <is>
          <t>Framework + sub-family themes · 3+ answered</t>
        </is>
      </c>
      <c r="AV129" s="9" t="inlineStr">
        <is>
          <t>1 holder, 1 answered the survey; sub-family 9 answered</t>
        </is>
      </c>
    </row>
    <row r="130">
      <c r="A130" s="94" t="inlineStr">
        <is>
          <t>Marketing &amp; Communications — 13 roles · 23 people</t>
        </is>
      </c>
    </row>
    <row r="131" ht="80" customHeight="1">
      <c r="A131" s="17" t="inlineStr">
        <is>
          <t>RC-111</t>
        </is>
      </c>
      <c r="B131" s="9" t="inlineStr">
        <is>
          <t>Marketing &amp; Communications</t>
        </is>
      </c>
      <c r="C131" s="9" t="inlineStr">
        <is>
          <t>Content Marketing</t>
        </is>
      </c>
      <c r="D131" s="18" t="inlineStr">
        <is>
          <t>A2</t>
        </is>
      </c>
      <c r="E131" s="19" t="inlineStr">
        <is>
          <t>Associate</t>
        </is>
      </c>
      <c r="F131" s="9" t="inlineStr">
        <is>
          <t>IC</t>
        </is>
      </c>
      <c r="G131" s="9" t="inlineStr">
        <is>
          <t>Content Marketing Associate</t>
        </is>
      </c>
      <c r="H131" s="8" t="n">
        <v>5</v>
      </c>
      <c r="I131" s="9" t="inlineStr">
        <is>
          <t>CARBON 4 · iDEAL 1</t>
        </is>
      </c>
      <c r="J131" s="9" t="inlineStr">
        <is>
          <r>
            <rPr>
              <rFont val="Calibri"/>
              <sz val="10"/>
            </rPr>
            <t xml:space="preserve">Writes blogs, web copy, collateral and social content. At A2: standard work delivered independently.
</t>
          </r>
          <r>
            <rPr>
              <rFont val="Calibri"/>
              <b val="1"/>
              <sz val="10"/>
            </rPr>
            <t>Common themes in role-holders' answers:</t>
          </r>
          <r>
            <rPr>
              <rFont val="Calibri"/>
              <sz val="10"/>
            </rPr>
            <t xml:space="preserve"> content · marketing · leads · generate · management · creation</t>
          </r>
        </is>
      </c>
      <c r="K131" s="9" t="inlineStr">
        <is>
          <r>
            <rPr>
              <rFont val="Calibri"/>
              <sz val="10"/>
            </rPr>
            <t xml:space="preserve">Writes blogs, web copy, collateral and social content; Standard work of the discipline; Own deliverables · accuracy, TAT
</t>
          </r>
          <r>
            <rPr>
              <rFont val="Calibri"/>
              <b val="1"/>
              <sz val="10"/>
            </rPr>
            <t>Common themes in role-holders' answers:</t>
          </r>
          <r>
            <rPr>
              <rFont val="Calibri"/>
              <sz val="10"/>
            </rPr>
            <t xml:space="preserve"> content · blogs · week · campaign</t>
          </r>
        </is>
      </c>
      <c r="L131" s="9" t="inlineStr">
        <is>
          <r>
            <rPr>
              <rFont val="Calibri"/>
              <sz val="10"/>
            </rPr>
            <t xml:space="preserve">Own deliverables · accuracy, TAT
</t>
          </r>
          <r>
            <rPr>
              <rFont val="Calibri"/>
              <b val="1"/>
              <sz val="10"/>
            </rPr>
            <t>Common themes in role-holders' answers:</t>
          </r>
          <r>
            <rPr>
              <rFont val="Calibri"/>
              <sz val="10"/>
            </rPr>
            <t xml:space="preserve"> marketing · content</t>
          </r>
        </is>
      </c>
      <c r="M131" s="9" t="inlineStr">
        <is>
          <r>
            <rPr>
              <rFont val="Calibri"/>
              <sz val="10"/>
            </rPr>
            <t xml:space="preserve">Own deliverables · accuracy, TAT
</t>
          </r>
          <r>
            <rPr>
              <rFont val="Calibri"/>
              <b val="1"/>
              <sz val="10"/>
            </rPr>
            <t>Common themes in role-holders' answers:</t>
          </r>
          <r>
            <rPr>
              <rFont val="Calibri"/>
              <sz val="10"/>
            </rPr>
            <t xml:space="preserve"> content · accountable</t>
          </r>
        </is>
      </c>
      <c r="N131" s="9" t="inlineStr">
        <is>
          <t>Chooses own approach within standards</t>
        </is>
      </c>
      <c r="O131" s="9" t="inlineStr">
        <is>
          <t>—</t>
        </is>
      </c>
      <c r="P131" s="9" t="inlineStr">
        <is>
          <t>Marketing · Research skills</t>
        </is>
      </c>
      <c r="Q131" s="9" t="inlineStr">
        <is>
          <t>Canva · Hubspot · Semrush · Buffer</t>
        </is>
      </c>
      <c r="R131" s="9" t="inlineStr">
        <is>
          <t>Standard work delivered independently</t>
        </is>
      </c>
      <c r="S131" s="9" t="inlineStr">
        <is>
          <t>Standard work of the discipline</t>
        </is>
      </c>
      <c r="T131" s="9" t="inlineStr">
        <is>
          <t>Chooses own approach within standards</t>
        </is>
      </c>
      <c r="U131" s="9" t="inlineStr">
        <is>
          <t>Own deliverables · accuracy, TAT</t>
        </is>
      </c>
      <c r="V131" s="9" t="inlineStr">
        <is>
          <t>Not scored in Band A</t>
        </is>
      </c>
      <c r="W131" s="9" t="inlineStr">
        <is>
          <t>0–2 yrs</t>
        </is>
      </c>
      <c r="X131" s="9" t="inlineStr">
        <is>
          <t>Graduate · or diploma with experience</t>
        </is>
      </c>
      <c r="Y131" s="9" t="inlineStr">
        <is>
          <t>Google / HubSpot certifications</t>
        </is>
      </c>
      <c r="Z131" s="9" t="inlineStr">
        <is>
          <t>No direct reports</t>
        </is>
      </c>
      <c r="AA131" s="9" t="inlineStr">
        <is>
          <t>Core 2 · Future-ready 2 · Functional 2 · Leadership —</t>
        </is>
      </c>
      <c r="AB131" s="9" t="inlineStr">
        <is>
          <t>Marketing Tech &amp; Digital Marketing · Communication &amp; Presentation</t>
        </is>
      </c>
      <c r="AC131" s="9" t="inlineStr">
        <is>
          <t>Data Analytics, BI &amp; Visualisation · AI, GenAI &amp; Prompt Engineering · Product, Platform &amp; Domain Knowledge · Strategic Thinking &amp; Business Acumen</t>
        </is>
      </c>
      <c r="AD131" s="8" t="inlineStr">
        <is>
          <t>P1–P2</t>
        </is>
      </c>
      <c r="AE131" s="8" t="inlineStr">
        <is>
          <t>2 Assist</t>
        </is>
      </c>
      <c r="AF131" s="9" t="inlineStr">
        <is>
          <t>IRIS Vs Market Benchmark — CIM proficiency scale: 2 Active learner · IRIS Vs Competitor Benchmark — SaaS marketing ladder: Marketing Associate</t>
        </is>
      </c>
      <c r="AG131" s="9" t="inlineStr">
        <is>
          <t>CIM Global Professional Marketing Framework — proficiency Aware → Active learner → Able → Accomplished → Authoritative</t>
        </is>
      </c>
      <c r="AH131" s="9" t="inlineStr">
        <is>
          <t>A3 · Senior Associate</t>
        </is>
      </c>
      <c r="AI131" s="9" t="inlineStr">
        <is>
          <t>Product &amp; tool knowledge · Marketing &amp; content · Certification / formal course</t>
        </is>
      </c>
      <c r="AJ131" s="9" t="inlineStr">
        <is>
          <t>learn · content marketing · fundamentals content</t>
        </is>
      </c>
      <c r="AK131" s="9" t="inlineStr">
        <is>
          <t>Formal / classroom training · Knowledge transfer · KT</t>
        </is>
      </c>
      <c r="AL131" s="9" t="inlineStr">
        <is>
          <t>delay</t>
        </is>
      </c>
      <c r="AM131" s="9" t="inlineStr">
        <is>
          <t>clarity</t>
        </is>
      </c>
      <c r="AN131" s="9" t="inlineStr">
        <is>
          <t>0 of 4 say the role is changing because of AI / automation</t>
        </is>
      </c>
      <c r="AO131" s="9" t="inlineStr">
        <is>
          <t>Create market understanding, demand and reputation. Includes: Content, demand, digital, product marketing, operations and communications. Excludes: Account closing; product UX design.</t>
        </is>
      </c>
      <c r="AP131" s="9" t="inlineStr">
        <is>
          <t>MKT01-1 · Content Associate</t>
        </is>
      </c>
      <c r="AQ131" s="9" t="inlineStr">
        <is>
          <r>
            <rPr>
              <rFont val="Calibri"/>
              <b val="1"/>
              <sz val="10"/>
            </rPr>
            <t>Complete defined parts under review:</t>
          </r>
          <r>
            <rPr>
              <rFont val="Calibri"/>
              <sz val="10"/>
            </rPr>
            <t xml:space="preserve"> produce accurate content for an identified audience and purpose.</t>
          </r>
        </is>
      </c>
      <c r="AR131" s="9" t="inlineStr">
        <is>
          <t>Repeatable correct delivery, safe escalation and required entry eligibility.</t>
        </is>
      </c>
      <c r="AS131" s="9" t="inlineStr">
        <is>
          <t>A content portfolio with source accuracy, audience fit and measured qualified engagement</t>
        </is>
      </c>
      <c r="AT131" s="9" t="inlineStr">
        <is>
          <r>
            <rPr>
              <rFont val="Calibri"/>
              <b val="1"/>
              <sz val="10"/>
            </rPr>
            <t>Workiva:</t>
          </r>
          <r>
            <rPr>
              <rFont val="Calibri"/>
              <sz val="10"/>
            </rPr>
            <t xml:space="preserve"> Marketing Intern, 2027 cohort · Entry only. Gap: Peer entry content work observed; senior content ladder is proposed</t>
          </r>
        </is>
      </c>
      <c r="AU131" s="22" t="inlineStr">
        <is>
          <t>Framework + role-holders' themes · 3+ answered</t>
        </is>
      </c>
      <c r="AV131" s="9" t="inlineStr">
        <is>
          <t>5 holders, 5 answered the survey; sub-family 8 answered</t>
        </is>
      </c>
    </row>
    <row r="132" ht="119" customHeight="1">
      <c r="A132" s="17" t="inlineStr">
        <is>
          <t>RC-112</t>
        </is>
      </c>
      <c r="B132" s="9" t="inlineStr">
        <is>
          <t>Marketing &amp; Communications</t>
        </is>
      </c>
      <c r="C132" s="9" t="inlineStr">
        <is>
          <t>Content Marketing</t>
        </is>
      </c>
      <c r="D132" s="18" t="inlineStr">
        <is>
          <t>A3</t>
        </is>
      </c>
      <c r="E132" s="19" t="inlineStr">
        <is>
          <t>Senior Associate</t>
        </is>
      </c>
      <c r="F132" s="9" t="inlineStr">
        <is>
          <t>IC</t>
        </is>
      </c>
      <c r="G132" s="9" t="inlineStr">
        <is>
          <t>Senior Content Marketing Associate</t>
        </is>
      </c>
      <c r="H132" s="8" t="n">
        <v>2</v>
      </c>
      <c r="I132" s="9" t="inlineStr">
        <is>
          <t>CARBON 1 · Datatech 1</t>
        </is>
      </c>
      <c r="J132" s="9" t="inlineStr">
        <is>
          <r>
            <rPr>
              <rFont val="Calibri"/>
              <sz val="10"/>
            </rPr>
            <t xml:space="preserve">Writes blogs, web copy, collateral and social content. At A3: varied work; reviews juniors; go-to for a process.
</t>
          </r>
          <r>
            <rPr>
              <rFont val="Calibri"/>
              <b val="1"/>
              <sz val="10"/>
            </rPr>
            <t>Common themes in sub-family holders, all levels' answers:</t>
          </r>
          <r>
            <rPr>
              <rFont val="Calibri"/>
              <sz val="10"/>
            </rPr>
            <t xml:space="preserve"> content · creation · brand · marketing · leads · through</t>
          </r>
        </is>
      </c>
      <c r="K132" s="9" t="inlineStr">
        <is>
          <r>
            <rPr>
              <rFont val="Calibri"/>
              <sz val="10"/>
            </rPr>
            <t xml:space="preserve">Writes blogs, web copy, collateral and social content; Varied and non-standard work; handles exceptions; A module / process, or work with client or regulatory consequences
</t>
          </r>
          <r>
            <rPr>
              <rFont val="Calibri"/>
              <b val="1"/>
              <sz val="10"/>
            </rPr>
            <t>Common themes in sub-family holders, all levels' answers:</t>
          </r>
          <r>
            <rPr>
              <rFont val="Calibri"/>
              <sz val="10"/>
            </rPr>
            <t xml:space="preserve"> content · blogs · week · research · campaign · assets</t>
          </r>
        </is>
      </c>
      <c r="L132" s="9" t="inlineStr">
        <is>
          <r>
            <rPr>
              <rFont val="Calibri"/>
              <sz val="10"/>
            </rPr>
            <t xml:space="preserve">A module / process, or work with client or regulatory consequences
</t>
          </r>
          <r>
            <rPr>
              <rFont val="Calibri"/>
              <b val="1"/>
              <sz val="10"/>
            </rPr>
            <t>Common themes in sub-family holders, all levels' answers:</t>
          </r>
          <r>
            <rPr>
              <rFont val="Calibri"/>
              <sz val="10"/>
            </rPr>
            <t xml:space="preserve"> content · media · social · marketing · blogs · campaigns</t>
          </r>
        </is>
      </c>
      <c r="M132" s="9" t="inlineStr">
        <is>
          <r>
            <rPr>
              <rFont val="Calibri"/>
              <sz val="10"/>
            </rPr>
            <t xml:space="preserve">A module / process, or work with client or regulatory consequences
</t>
          </r>
          <r>
            <rPr>
              <rFont val="Calibri"/>
              <b val="1"/>
              <sz val="10"/>
            </rPr>
            <t>Common themes in sub-family holders, all levels' answers:</t>
          </r>
          <r>
            <rPr>
              <rFont val="Calibri"/>
              <sz val="10"/>
            </rPr>
            <t xml:space="preserve"> content · social media · website · accountable · marketing · brand</t>
          </r>
        </is>
      </c>
      <c r="N132" s="9" t="inlineStr">
        <is>
          <r>
            <rPr>
              <rFont val="Calibri"/>
              <sz val="10"/>
            </rPr>
            <t xml:space="preserve">Technical / QC / client calls on own work
</t>
          </r>
          <r>
            <rPr>
              <rFont val="Calibri"/>
              <b val="1"/>
              <sz val="10"/>
            </rPr>
            <t>Common themes in sub-family holders, all levels' answers:</t>
          </r>
          <r>
            <rPr>
              <rFont val="Calibri"/>
              <sz val="10"/>
            </rPr>
            <t xml:space="preserve"> seo · blogs · content</t>
          </r>
        </is>
      </c>
      <c r="O132" s="9" t="inlineStr">
        <is>
          <t>—</t>
        </is>
      </c>
      <c r="P132" s="9" t="inlineStr">
        <is>
          <t>Marketing · Research skills · Content strategy · Copywriting</t>
        </is>
      </c>
      <c r="Q132" s="9" t="inlineStr">
        <is>
          <t>Semrush · Google Analytics · Canva · Hubspot · Buffer · Claude</t>
        </is>
      </c>
      <c r="R132" s="9" t="inlineStr">
        <is>
          <t>Varied work; reviews juniors; go-to for a process</t>
        </is>
      </c>
      <c r="S132" s="9" t="inlineStr">
        <is>
          <t>Varied and non-standard work; handles exceptions</t>
        </is>
      </c>
      <c r="T132" s="9" t="inlineStr">
        <is>
          <t>Technical / QC / client calls on own work</t>
        </is>
      </c>
      <c r="U132" s="9" t="inlineStr">
        <is>
          <t>A module / process, or work with client or regulatory consequences</t>
        </is>
      </c>
      <c r="V132" s="9" t="inlineStr">
        <is>
          <t>Not scored in Band A</t>
        </is>
      </c>
      <c r="W132" s="9" t="inlineStr">
        <is>
          <t>2–4 yrs</t>
        </is>
      </c>
      <c r="X132" s="9" t="inlineStr">
        <is>
          <t>Graduate; relevant certification preferred</t>
        </is>
      </c>
      <c r="Y132" s="9" t="inlineStr">
        <is>
          <t>Google / HubSpot certifications</t>
        </is>
      </c>
      <c r="Z132" s="9" t="inlineStr">
        <is>
          <t>None · guides 1–3 juniors informally</t>
        </is>
      </c>
      <c r="AA132" s="9" t="inlineStr">
        <is>
          <t>Core 2 · Future-ready 2 · Functional 3 · Leadership —</t>
        </is>
      </c>
      <c r="AB132" s="9" t="inlineStr">
        <is>
          <t>Marketing Tech &amp; Digital Marketing · Communication &amp; Presentation</t>
        </is>
      </c>
      <c r="AC132" s="9" t="inlineStr">
        <is>
          <t>Data Analytics, BI &amp; Visualisation · AI, GenAI &amp; Prompt Engineering · Product, Platform &amp; Domain Knowledge · Strategic Thinking &amp; Business Acumen</t>
        </is>
      </c>
      <c r="AD132" s="8" t="inlineStr">
        <is>
          <t>P2</t>
        </is>
      </c>
      <c r="AE132" s="8" t="inlineStr">
        <is>
          <t>3 Apply</t>
        </is>
      </c>
      <c r="AF132" s="9" t="inlineStr">
        <is>
          <t>IRIS Vs Market Benchmark — CIM proficiency scale: 2–3 · IRIS Vs Competitor Benchmark — SaaS marketing ladder: Marketing Specialist</t>
        </is>
      </c>
      <c r="AG132" s="9" t="inlineStr">
        <is>
          <t>CIM Global Professional Marketing Framework — proficiency Aware → Active learner → Able → Accomplished → Authoritative</t>
        </is>
      </c>
      <c r="AH132" s="9" t="inlineStr">
        <is>
          <t>B1 · Specialist</t>
        </is>
      </c>
      <c r="AI132" s="9" t="inlineStr">
        <is>
          <t>Marketing &amp; content · Leadership &amp; people management · Product &amp; tool knowledge</t>
        </is>
      </c>
      <c r="AJ132" s="9" t="inlineStr">
        <is>
          <t>Alisha to learn how brand positioning is mapped into content strategy for messaging consistency.</t>
        </is>
      </c>
      <c r="AK132" s="9" t="inlineStr">
        <is>
          <t>Formal / classroom training · Mentoring / guidance from seniors · Knowledge transfer · KT</t>
        </is>
      </c>
      <c r="AL132" s="9" t="inlineStr">
        <is>
          <t>delay · approvals · review</t>
        </is>
      </c>
      <c r="AM132" s="9" t="inlineStr">
        <is>
          <t>clarity · content</t>
        </is>
      </c>
      <c r="AN132" s="9" t="inlineStr">
        <is>
          <t>0 of 6 say the role is changing because of AI / automation</t>
        </is>
      </c>
      <c r="AO132" s="9" t="inlineStr">
        <is>
          <t>Create market understanding, demand and reputation. Includes: Content, demand, digital, product marketing, operations and communications. Excludes: Account closing; product UX design.</t>
        </is>
      </c>
      <c r="AP132" s="9" t="inlineStr">
        <is>
          <t>MKT01-2 · Content Marketing Specialist</t>
        </is>
      </c>
      <c r="AQ132" s="9" t="inlineStr">
        <is>
          <t>Produce accurate content for an identified audience and purpose.</t>
        </is>
      </c>
      <c r="AR132" s="9" t="inlineStr">
        <is>
          <t>Demonstrate routine delivery plus judgement in bounded exceptions.</t>
        </is>
      </c>
      <c r="AS132" s="9" t="inlineStr">
        <is>
          <t>A content portfolio with source accuracy, audience fit and measured qualified engagement</t>
        </is>
      </c>
      <c r="AT132" s="9" t="inlineStr">
        <is>
          <r>
            <rPr>
              <rFont val="Calibri"/>
              <b val="1"/>
              <sz val="10"/>
            </rPr>
            <t>Workiva:</t>
          </r>
          <r>
            <rPr>
              <rFont val="Calibri"/>
              <sz val="10"/>
            </rPr>
            <t xml:space="preserve"> Marketing Intern, 2027 cohort · Entry only. Gap: Peer entry content work observed; senior content ladder is proposed</t>
          </r>
        </is>
      </c>
      <c r="AU132" s="19" t="inlineStr">
        <is>
          <t>Framework + sub-family themes · 3+ answered</t>
        </is>
      </c>
      <c r="AV132" s="9" t="inlineStr">
        <is>
          <t>2 holders, 2 answered the survey; sub-family 8 answered</t>
        </is>
      </c>
    </row>
    <row r="133" ht="93" customHeight="1">
      <c r="A133" s="17" t="inlineStr">
        <is>
          <t>RC-113</t>
        </is>
      </c>
      <c r="B133" s="9" t="inlineStr">
        <is>
          <t>Marketing &amp; Communications</t>
        </is>
      </c>
      <c r="C133" s="9" t="inlineStr">
        <is>
          <t>Content Marketing</t>
        </is>
      </c>
      <c r="D133" s="21" t="inlineStr">
        <is>
          <t>B2</t>
        </is>
      </c>
      <c r="E133" s="22" t="inlineStr">
        <is>
          <t>Senior Specialist</t>
        </is>
      </c>
      <c r="F133" s="9" t="inlineStr">
        <is>
          <t>IC</t>
        </is>
      </c>
      <c r="G133" s="9" t="inlineStr">
        <is>
          <t>Senior Content Marketing Specialist</t>
        </is>
      </c>
      <c r="H133" s="8" t="n">
        <v>1</v>
      </c>
      <c r="I133" s="9" t="inlineStr">
        <is>
          <t>Corporate 1</t>
        </is>
      </c>
      <c r="J133" s="9" t="inlineStr">
        <is>
          <r>
            <rPr>
              <rFont val="Calibri"/>
              <sz val="10"/>
            </rPr>
            <t xml:space="preserve">Writes blogs, web copy, collateral and social content. At B2: deep domain expertise, or one team.
</t>
          </r>
          <r>
            <rPr>
              <rFont val="Calibri"/>
              <b val="1"/>
              <sz val="10"/>
            </rPr>
            <t>Common themes in sub-family holders, all levels' answers:</t>
          </r>
          <r>
            <rPr>
              <rFont val="Calibri"/>
              <sz val="10"/>
            </rPr>
            <t xml:space="preserve"> content · creation · brand · marketing · leads · through</t>
          </r>
        </is>
      </c>
      <c r="K133" s="9" t="inlineStr">
        <is>
          <r>
            <rPr>
              <rFont val="Calibri"/>
              <sz val="10"/>
            </rPr>
            <t xml:space="preserve">Writes blogs, web copy, collateral and social content; Hardest problems in the domain; One team or a client portfolio
</t>
          </r>
          <r>
            <rPr>
              <rFont val="Calibri"/>
              <b val="1"/>
              <sz val="10"/>
            </rPr>
            <t>Common themes in sub-family holders, all levels' answers:</t>
          </r>
          <r>
            <rPr>
              <rFont val="Calibri"/>
              <sz val="10"/>
            </rPr>
            <t xml:space="preserve"> content · blogs · week · research · campaign · assets</t>
          </r>
        </is>
      </c>
      <c r="L133" s="9" t="inlineStr">
        <is>
          <r>
            <rPr>
              <rFont val="Calibri"/>
              <sz val="10"/>
            </rPr>
            <t xml:space="preserve">One team or a client portfolio
</t>
          </r>
          <r>
            <rPr>
              <rFont val="Calibri"/>
              <b val="1"/>
              <sz val="10"/>
            </rPr>
            <t>Common themes in sub-family holders, all levels' answers:</t>
          </r>
          <r>
            <rPr>
              <rFont val="Calibri"/>
              <sz val="10"/>
            </rPr>
            <t xml:space="preserve"> content · media · social · marketing · blogs · campaigns</t>
          </r>
        </is>
      </c>
      <c r="M133" s="9" t="inlineStr">
        <is>
          <r>
            <rPr>
              <rFont val="Calibri"/>
              <sz val="10"/>
            </rPr>
            <t xml:space="preserve">One team or a client portfolio
</t>
          </r>
          <r>
            <rPr>
              <rFont val="Calibri"/>
              <b val="1"/>
              <sz val="10"/>
            </rPr>
            <t>Common themes in sub-family holders, all levels' answers:</t>
          </r>
          <r>
            <rPr>
              <rFont val="Calibri"/>
              <sz val="10"/>
            </rPr>
            <t xml:space="preserve"> content · social media · website · accountable · marketing · brand</t>
          </r>
        </is>
      </c>
      <c r="N133" s="9" t="inlineStr">
        <is>
          <r>
            <rPr>
              <rFont val="Calibri"/>
              <sz val="10"/>
            </rPr>
            <t xml:space="preserve">Allocates people and sets team priorities
</t>
          </r>
          <r>
            <rPr>
              <rFont val="Calibri"/>
              <b val="1"/>
              <sz val="10"/>
            </rPr>
            <t>Common themes in sub-family holders, all levels' answers:</t>
          </r>
          <r>
            <rPr>
              <rFont val="Calibri"/>
              <sz val="10"/>
            </rPr>
            <t xml:space="preserve"> seo · blogs · content</t>
          </r>
        </is>
      </c>
      <c r="O133" s="9" t="inlineStr">
        <is>
          <t>—</t>
        </is>
      </c>
      <c r="P133" s="9" t="inlineStr">
        <is>
          <t>Marketing · Research skills · Content strategy · Copywriting</t>
        </is>
      </c>
      <c r="Q133" s="9" t="inlineStr">
        <is>
          <t>Semrush · Google Analytics · Canva · Hubspot · Buffer · Claude</t>
        </is>
      </c>
      <c r="R133" s="9" t="inlineStr">
        <is>
          <t>Deep domain expertise, or one team</t>
        </is>
      </c>
      <c r="S133" s="9" t="inlineStr">
        <is>
          <t>Hardest problems in the domain</t>
        </is>
      </c>
      <c r="T133" s="9" t="inlineStr">
        <is>
          <t>Allocates people and sets team priorities</t>
        </is>
      </c>
      <c r="U133" s="9" t="inlineStr">
        <is>
          <t>One team or a client portfolio</t>
        </is>
      </c>
      <c r="V133" s="9" t="inlineStr">
        <is>
          <r>
            <rPr>
              <rFont val="Calibri"/>
              <b val="1"/>
              <sz val="10"/>
            </rPr>
            <t>IC:</t>
          </r>
          <r>
            <rPr>
              <rFont val="Calibri"/>
              <sz val="10"/>
            </rPr>
            <t xml:space="preserve"> guides others in the domain · People: manages a team of 6+</t>
          </r>
        </is>
      </c>
      <c r="W133" s="9" t="inlineStr">
        <is>
          <t>6–9 yrs</t>
        </is>
      </c>
      <c r="X133" s="9" t="inlineStr">
        <is>
          <t>Graduate or postgraduate; professional qualification preferred</t>
        </is>
      </c>
      <c r="Y133" s="9" t="inlineStr">
        <is>
          <t>Google / HubSpot certifications</t>
        </is>
      </c>
      <c r="Z133" s="9" t="inlineStr">
        <is>
          <r>
            <rPr>
              <rFont val="Calibri"/>
              <b val="1"/>
              <sz val="10"/>
            </rPr>
            <t>IC:</t>
          </r>
          <r>
            <rPr>
              <rFont val="Calibri"/>
              <sz val="10"/>
            </rPr>
            <t xml:space="preserve"> none · People: 6–8 knowledge work, 8–12 standardised delivery</t>
          </r>
        </is>
      </c>
      <c r="AA133" s="9" t="inlineStr">
        <is>
          <t>Core 3 · Future-ready 3 · Functional 4 · Leadership 2</t>
        </is>
      </c>
      <c r="AB133" s="9" t="inlineStr">
        <is>
          <t>Marketing Tech &amp; Digital Marketing · Communication &amp; Presentation</t>
        </is>
      </c>
      <c r="AC133" s="9" t="inlineStr">
        <is>
          <t>Data Analytics, BI &amp; Visualisation · AI, GenAI &amp; Prompt Engineering · Product, Platform &amp; Domain Knowledge · Strategic Thinking &amp; Business Acumen</t>
        </is>
      </c>
      <c r="AD133" s="8" t="inlineStr">
        <is>
          <t>P4 / M3</t>
        </is>
      </c>
      <c r="AE133" s="8" t="inlineStr">
        <is>
          <t>4–5</t>
        </is>
      </c>
      <c r="AF133" s="9" t="inlineStr">
        <is>
          <t>IRIS Vs Market Benchmark — CIM proficiency scale: 3–4 · IRIS Vs Competitor Benchmark — SaaS marketing ladder: Marketing Manager</t>
        </is>
      </c>
      <c r="AG133" s="9" t="inlineStr">
        <is>
          <t>CIM Global Professional Marketing Framework — proficiency Aware → Active learner → Able → Accomplished → Authoritative</t>
        </is>
      </c>
      <c r="AH133" s="9" t="inlineStr">
        <is>
          <t>B3 · Lead Specialist</t>
        </is>
      </c>
      <c r="AI133" s="9" t="inlineStr">
        <is>
          <t>Leadership &amp; people management</t>
        </is>
      </c>
      <c r="AJ133" s="9" t="inlineStr">
        <is>
          <t>—</t>
        </is>
      </c>
      <c r="AK133" s="9" t="inlineStr">
        <is>
          <t>Formal / classroom training · Mentoring / guidance from seniors · Knowledge transfer · KT</t>
        </is>
      </c>
      <c r="AL133" s="9" t="inlineStr">
        <is>
          <t>delay · approvals · review</t>
        </is>
      </c>
      <c r="AM133" s="9" t="inlineStr">
        <is>
          <t>clarity · content</t>
        </is>
      </c>
      <c r="AN133" s="9" t="inlineStr">
        <is>
          <t>0 of 6 say the role is changing because of AI / automation</t>
        </is>
      </c>
      <c r="AO133" s="9" t="inlineStr">
        <is>
          <t>Create market understanding, demand and reputation. Includes: Content, demand, digital, product marketing, operations and communications. Excludes: Account closing; product UX design.</t>
        </is>
      </c>
      <c r="AP133" s="9" t="inlineStr">
        <is>
          <t>MKT01-3 · Senior Content Marketing Specialist</t>
        </is>
      </c>
      <c r="AQ133" s="9" t="inlineStr">
        <is>
          <t>Own an editorial programme and diagnose conversion/quality issues.</t>
        </is>
      </c>
      <c r="AR133" s="9" t="inlineStr">
        <is>
          <t>Evidence of complex work, decisions and outcomes beyond routine delivery.</t>
        </is>
      </c>
      <c r="AS133" s="9" t="inlineStr">
        <is>
          <t>A content portfolio with source accuracy, audience fit and measured qualified engagement</t>
        </is>
      </c>
      <c r="AT133" s="9" t="inlineStr">
        <is>
          <r>
            <rPr>
              <rFont val="Calibri"/>
              <b val="1"/>
              <sz val="10"/>
            </rPr>
            <t>Workiva:</t>
          </r>
          <r>
            <rPr>
              <rFont val="Calibri"/>
              <sz val="10"/>
            </rPr>
            <t xml:space="preserve"> Marketing Intern, 2027 cohort · Entry only. Gap: Peer entry content work observed; senior content ladder is proposed</t>
          </r>
        </is>
      </c>
      <c r="AU133" s="19" t="inlineStr">
        <is>
          <t>Framework + sub-family themes · 3+ answered</t>
        </is>
      </c>
      <c r="AV133" s="9" t="inlineStr">
        <is>
          <t>1 holder, 1 answered the survey; sub-family 8 answered</t>
        </is>
      </c>
    </row>
    <row r="134" ht="145" customHeight="1">
      <c r="A134" s="17" t="inlineStr">
        <is>
          <t>RC-114</t>
        </is>
      </c>
      <c r="B134" s="9" t="inlineStr">
        <is>
          <t>Marketing &amp; Communications</t>
        </is>
      </c>
      <c r="C134" s="9" t="inlineStr">
        <is>
          <t>Demand Generation, Brand &amp; Events</t>
        </is>
      </c>
      <c r="D134" s="18" t="inlineStr">
        <is>
          <t>A2</t>
        </is>
      </c>
      <c r="E134" s="19" t="inlineStr">
        <is>
          <t>Associate</t>
        </is>
      </c>
      <c r="F134" s="9" t="inlineStr">
        <is>
          <t>IC</t>
        </is>
      </c>
      <c r="G134" s="9" t="inlineStr">
        <is>
          <t>Marketing Associate</t>
        </is>
      </c>
      <c r="H134" s="8" t="n">
        <v>1</v>
      </c>
      <c r="I134" s="9" t="inlineStr">
        <is>
          <t>CARBON 1</t>
        </is>
      </c>
      <c r="J134" s="9" t="inlineStr">
        <is>
          <r>
            <rPr>
              <rFont val="Calibri"/>
              <sz val="10"/>
            </rPr>
            <t xml:space="preserve">Runs demand-gen campaigns, brand, PR/analyst relations, partner marketing and events. At A2: standard work delivered independently.
</t>
          </r>
          <r>
            <rPr>
              <rFont val="Calibri"/>
              <b val="1"/>
              <sz val="10"/>
            </rPr>
            <t>Common themes in sub-family holders, all levels' answers:</t>
          </r>
          <r>
            <rPr>
              <rFont val="Calibri"/>
              <sz val="10"/>
            </rPr>
            <t xml:space="preserve"> iris · management · gtm · drive · initiatives · growth</t>
          </r>
        </is>
      </c>
      <c r="K134" s="9" t="inlineStr">
        <is>
          <r>
            <rPr>
              <rFont val="Calibri"/>
              <sz val="10"/>
            </rPr>
            <t xml:space="preserve">Runs demand-gen campaigns, brand, PR/analyst relations, partner marketing and events; Standard work of the discipline; Own deliverables · accuracy, TAT
</t>
          </r>
          <r>
            <rPr>
              <rFont val="Calibri"/>
              <b val="1"/>
              <sz val="10"/>
            </rPr>
            <t>Common themes in sub-family holders, all levels' answers:</t>
          </r>
          <r>
            <rPr>
              <rFont val="Calibri"/>
              <sz val="10"/>
            </rPr>
            <t xml:space="preserve"> event · management</t>
          </r>
        </is>
      </c>
      <c r="L134" s="9" t="inlineStr">
        <is>
          <t>Own deliverables · accuracy, TAT</t>
        </is>
      </c>
      <c r="M134" s="9" t="inlineStr">
        <is>
          <r>
            <rPr>
              <rFont val="Calibri"/>
              <sz val="10"/>
            </rPr>
            <t xml:space="preserve">Own deliverables · accuracy, TAT
</t>
          </r>
          <r>
            <rPr>
              <rFont val="Calibri"/>
              <b val="1"/>
              <sz val="10"/>
            </rPr>
            <t>Common themes in sub-family holders, all levels' answers:</t>
          </r>
          <r>
            <rPr>
              <rFont val="Calibri"/>
              <sz val="10"/>
            </rPr>
            <t xml:space="preserve"> gtm</t>
          </r>
        </is>
      </c>
      <c r="N134" s="9" t="inlineStr">
        <is>
          <r>
            <rPr>
              <rFont val="Calibri"/>
              <sz val="10"/>
            </rPr>
            <t xml:space="preserve">Chooses own approach within standards
</t>
          </r>
          <r>
            <rPr>
              <rFont val="Calibri"/>
              <b val="1"/>
              <sz val="10"/>
            </rPr>
            <t>Common themes in sub-family holders, all levels' answers:</t>
          </r>
          <r>
            <rPr>
              <rFont val="Calibri"/>
              <sz val="10"/>
            </rPr>
            <t xml:space="preserve"> strategy</t>
          </r>
        </is>
      </c>
      <c r="O134" s="9" t="inlineStr">
        <is>
          <t>—</t>
        </is>
      </c>
      <c r="P134" s="9" t="inlineStr">
        <is>
          <t>Marketing</t>
        </is>
      </c>
      <c r="Q134" s="9" t="inlineStr">
        <is>
          <t>HubSpot · Claude</t>
        </is>
      </c>
      <c r="R134" s="9" t="inlineStr">
        <is>
          <t>Standard work delivered independently</t>
        </is>
      </c>
      <c r="S134" s="9" t="inlineStr">
        <is>
          <t>Standard work of the discipline</t>
        </is>
      </c>
      <c r="T134" s="9" t="inlineStr">
        <is>
          <t>Chooses own approach within standards</t>
        </is>
      </c>
      <c r="U134" s="9" t="inlineStr">
        <is>
          <t>Own deliverables · accuracy, TAT</t>
        </is>
      </c>
      <c r="V134" s="9" t="inlineStr">
        <is>
          <t>Not scored in Band A</t>
        </is>
      </c>
      <c r="W134" s="9" t="inlineStr">
        <is>
          <t>0–2 yrs</t>
        </is>
      </c>
      <c r="X134" s="9" t="inlineStr">
        <is>
          <t>Graduate · or diploma with experience</t>
        </is>
      </c>
      <c r="Y134" s="9" t="inlineStr">
        <is>
          <t>Google / HubSpot certifications</t>
        </is>
      </c>
      <c r="Z134" s="9" t="inlineStr">
        <is>
          <t>No direct reports</t>
        </is>
      </c>
      <c r="AA134" s="9" t="inlineStr">
        <is>
          <t>Core 2 · Future-ready 2 · Functional 2 · Leadership —</t>
        </is>
      </c>
      <c r="AB134" s="9" t="inlineStr">
        <is>
          <t>Marketing Tech &amp; Digital Marketing · Communication &amp; Presentation</t>
        </is>
      </c>
      <c r="AC134" s="9" t="inlineStr">
        <is>
          <t>Data Analytics, BI &amp; Visualisation · AI, GenAI &amp; Prompt Engineering · Product, Platform &amp; Domain Knowledge · Strategic Thinking &amp; Business Acumen</t>
        </is>
      </c>
      <c r="AD134" s="8" t="inlineStr">
        <is>
          <t>P1–P2</t>
        </is>
      </c>
      <c r="AE134" s="8" t="inlineStr">
        <is>
          <t>2 Assist</t>
        </is>
      </c>
      <c r="AF134" s="9" t="inlineStr">
        <is>
          <t>IRIS Vs Market Benchmark — CIM proficiency scale: 2 Active learner · IRIS Vs Competitor Benchmark — SaaS marketing ladder: Marketing Associate</t>
        </is>
      </c>
      <c r="AG134" s="9" t="inlineStr">
        <is>
          <t>CIM Global Professional Marketing Framework — proficiency Aware → Active learner → Able → Accomplished → Authoritative</t>
        </is>
      </c>
      <c r="AH134" s="9" t="inlineStr">
        <is>
          <t>A3 · Senior Associate</t>
        </is>
      </c>
      <c r="AI134" s="9" t="inlineStr">
        <is>
          <t>Product &amp; tool knowledge</t>
        </is>
      </c>
      <c r="AJ134" s="9" t="inlineStr">
        <is>
          <t>Digital marketing &amp; analytics; content/SEO; campaign tooling; brand &amp; creative best practices | Transition to leadership: people management &amp; delegation, mentoring/coaching, project ownership &amp; stakeholder management, prioritisation under ambiguity, presentation &amp; influence skills</t>
        </is>
      </c>
      <c r="AK134" s="9" t="inlineStr">
        <is>
          <t>Mentoring / guidance from seniors · Knowledge transfer · KT · Formal / classroom training</t>
        </is>
      </c>
      <c r="AL134" s="9" t="inlineStr">
        <is>
          <t>approvals</t>
        </is>
      </c>
      <c r="AM134" s="9" t="inlineStr">
        <is>
          <t>No common theme</t>
        </is>
      </c>
      <c r="AN134" s="9" t="inlineStr">
        <is>
          <t>0 of 2 say the role is changing because of AI / automation</t>
        </is>
      </c>
      <c r="AO134" s="9" t="inlineStr">
        <is>
          <t>Create market understanding, demand and reputation. Includes: Content, demand, digital, product marketing, operations and communications. Excludes: Account closing; product UX design.</t>
        </is>
      </c>
      <c r="AP134" s="9" t="inlineStr">
        <is>
          <t>MKT03-1 · Campaign Coordinator</t>
        </is>
      </c>
      <c r="AQ134" s="9" t="inlineStr">
        <is>
          <r>
            <rPr>
              <rFont val="Calibri"/>
              <b val="1"/>
              <sz val="10"/>
            </rPr>
            <t>Complete defined parts under review:</t>
          </r>
          <r>
            <rPr>
              <rFont val="Calibri"/>
              <sz val="10"/>
            </rPr>
            <t xml:space="preserve"> deliver integrated campaigns within agreed budgets and audience plans.</t>
          </r>
        </is>
      </c>
      <c r="AR134" s="9" t="inlineStr">
        <is>
          <t>Repeatable correct delivery, safe escalation and required entry eligibility.</t>
        </is>
      </c>
      <c r="AS134" s="9" t="inlineStr">
        <is>
          <t>A campaign with documented audience, budget, qualified-pipeline contribution and learning</t>
        </is>
      </c>
      <c r="AT134" s="9" t="inlineStr">
        <is>
          <r>
            <rPr>
              <rFont val="Calibri"/>
              <b val="1"/>
              <sz val="10"/>
            </rPr>
            <t>Workiva:</t>
          </r>
          <r>
            <rPr>
              <rFont val="Calibri"/>
              <sz val="10"/>
            </rPr>
            <t xml:space="preserve"> Marketing Intern, 2027 cohort
</t>
          </r>
          <r>
            <rPr>
              <rFont val="Calibri"/>
              <b val="1"/>
              <sz val="10"/>
            </rPr>
            <t>Workiva:</t>
          </r>
          <r>
            <rPr>
              <rFont val="Calibri"/>
              <sz val="10"/>
            </rPr>
            <t xml:space="preserve"> Senior Campaign Manager · Selected roles. Gap: Campaign evidence supports demand work; digital-specialist path is partly inferred</t>
          </r>
        </is>
      </c>
      <c r="AU134" s="19" t="inlineStr">
        <is>
          <t>Framework + sub-family themes · 3+ answered</t>
        </is>
      </c>
      <c r="AV134" s="9" t="inlineStr">
        <is>
          <t>1 holder, 1 answered the survey; sub-family 3 answered</t>
        </is>
      </c>
    </row>
    <row r="135" ht="93" customHeight="1">
      <c r="A135" s="17" t="inlineStr">
        <is>
          <t>RC-115</t>
        </is>
      </c>
      <c r="B135" s="9" t="inlineStr">
        <is>
          <t>Marketing &amp; Communications</t>
        </is>
      </c>
      <c r="C135" s="9" t="inlineStr">
        <is>
          <t>Demand Generation, Brand &amp; Events</t>
        </is>
      </c>
      <c r="D135" s="21" t="inlineStr">
        <is>
          <t>B2</t>
        </is>
      </c>
      <c r="E135" s="22" t="inlineStr">
        <is>
          <t>Senior Specialist</t>
        </is>
      </c>
      <c r="F135" s="9" t="inlineStr">
        <is>
          <t>IC</t>
        </is>
      </c>
      <c r="G135" s="9" t="inlineStr">
        <is>
          <t>Senior Marketing Specialist – POD Lead</t>
        </is>
      </c>
      <c r="H135" s="8" t="n">
        <v>1</v>
      </c>
      <c r="I135" s="9" t="inlineStr">
        <is>
          <t>CARBON 1</t>
        </is>
      </c>
      <c r="J135" s="9" t="inlineStr">
        <is>
          <r>
            <rPr>
              <rFont val="Calibri"/>
              <sz val="10"/>
            </rPr>
            <t xml:space="preserve">Runs demand-gen campaigns, brand, PR/analyst relations, partner marketing and events. At B2: deep domain expertise, or one team.
</t>
          </r>
          <r>
            <rPr>
              <rFont val="Calibri"/>
              <b val="1"/>
              <sz val="10"/>
            </rPr>
            <t>Common themes in sub-family holders, all levels' answers:</t>
          </r>
          <r>
            <rPr>
              <rFont val="Calibri"/>
              <sz val="10"/>
            </rPr>
            <t xml:space="preserve"> iris · management · gtm · drive · initiatives · growth</t>
          </r>
        </is>
      </c>
      <c r="K135" s="9" t="inlineStr">
        <is>
          <r>
            <rPr>
              <rFont val="Calibri"/>
              <sz val="10"/>
            </rPr>
            <t xml:space="preserve">Runs demand-gen campaigns, brand, PR/analyst relations, partner marketing and events; Hardest problems in the domain; One team or a client portfolio
</t>
          </r>
          <r>
            <rPr>
              <rFont val="Calibri"/>
              <b val="1"/>
              <sz val="10"/>
            </rPr>
            <t>Common themes in sub-family holders, all levels' answers:</t>
          </r>
          <r>
            <rPr>
              <rFont val="Calibri"/>
              <sz val="10"/>
            </rPr>
            <t xml:space="preserve"> event · management</t>
          </r>
        </is>
      </c>
      <c r="L135" s="9" t="inlineStr">
        <is>
          <t>One team or a client portfolio</t>
        </is>
      </c>
      <c r="M135" s="9" t="inlineStr">
        <is>
          <r>
            <rPr>
              <rFont val="Calibri"/>
              <sz val="10"/>
            </rPr>
            <t xml:space="preserve">One team or a client portfolio
</t>
          </r>
          <r>
            <rPr>
              <rFont val="Calibri"/>
              <b val="1"/>
              <sz val="10"/>
            </rPr>
            <t>Common themes in sub-family holders, all levels' answers:</t>
          </r>
          <r>
            <rPr>
              <rFont val="Calibri"/>
              <sz val="10"/>
            </rPr>
            <t xml:space="preserve"> gtm</t>
          </r>
        </is>
      </c>
      <c r="N135" s="9" t="inlineStr">
        <is>
          <r>
            <rPr>
              <rFont val="Calibri"/>
              <sz val="10"/>
            </rPr>
            <t xml:space="preserve">Allocates people and sets team priorities
</t>
          </r>
          <r>
            <rPr>
              <rFont val="Calibri"/>
              <b val="1"/>
              <sz val="10"/>
            </rPr>
            <t>Common themes in sub-family holders, all levels' answers:</t>
          </r>
          <r>
            <rPr>
              <rFont val="Calibri"/>
              <sz val="10"/>
            </rPr>
            <t xml:space="preserve"> strategy</t>
          </r>
        </is>
      </c>
      <c r="O135" s="9" t="inlineStr">
        <is>
          <t>—</t>
        </is>
      </c>
      <c r="P135" s="9" t="inlineStr">
        <is>
          <t>Marketing</t>
        </is>
      </c>
      <c r="Q135" s="9" t="inlineStr">
        <is>
          <t>HubSpot · Claude</t>
        </is>
      </c>
      <c r="R135" s="9" t="inlineStr">
        <is>
          <t>Deep domain expertise, or one team</t>
        </is>
      </c>
      <c r="S135" s="9" t="inlineStr">
        <is>
          <t>Hardest problems in the domain</t>
        </is>
      </c>
      <c r="T135" s="9" t="inlineStr">
        <is>
          <t>Allocates people and sets team priorities</t>
        </is>
      </c>
      <c r="U135" s="9" t="inlineStr">
        <is>
          <t>One team or a client portfolio</t>
        </is>
      </c>
      <c r="V135" s="9" t="inlineStr">
        <is>
          <r>
            <rPr>
              <rFont val="Calibri"/>
              <b val="1"/>
              <sz val="10"/>
            </rPr>
            <t>IC:</t>
          </r>
          <r>
            <rPr>
              <rFont val="Calibri"/>
              <sz val="10"/>
            </rPr>
            <t xml:space="preserve"> guides others in the domain · People: manages a team of 6+</t>
          </r>
        </is>
      </c>
      <c r="W135" s="9" t="inlineStr">
        <is>
          <t>6–9 yrs</t>
        </is>
      </c>
      <c r="X135" s="9" t="inlineStr">
        <is>
          <t>Graduate or postgraduate; professional qualification preferred</t>
        </is>
      </c>
      <c r="Y135" s="9" t="inlineStr">
        <is>
          <t>Google / HubSpot certifications</t>
        </is>
      </c>
      <c r="Z135" s="9" t="inlineStr">
        <is>
          <r>
            <rPr>
              <rFont val="Calibri"/>
              <b val="1"/>
              <sz val="10"/>
            </rPr>
            <t>IC:</t>
          </r>
          <r>
            <rPr>
              <rFont val="Calibri"/>
              <sz val="10"/>
            </rPr>
            <t xml:space="preserve"> none · People: 6–8 knowledge work, 8–12 standardised delivery</t>
          </r>
        </is>
      </c>
      <c r="AA135" s="9" t="inlineStr">
        <is>
          <t>Core 3 · Future-ready 3 · Functional 4 · Leadership 2</t>
        </is>
      </c>
      <c r="AB135" s="9" t="inlineStr">
        <is>
          <t>Marketing Tech &amp; Digital Marketing · Communication &amp; Presentation</t>
        </is>
      </c>
      <c r="AC135" s="9" t="inlineStr">
        <is>
          <t>Data Analytics, BI &amp; Visualisation · AI, GenAI &amp; Prompt Engineering · Product, Platform &amp; Domain Knowledge · Strategic Thinking &amp; Business Acumen</t>
        </is>
      </c>
      <c r="AD135" s="8" t="inlineStr">
        <is>
          <t>P4 / M3</t>
        </is>
      </c>
      <c r="AE135" s="8" t="inlineStr">
        <is>
          <t>4–5</t>
        </is>
      </c>
      <c r="AF135" s="9" t="inlineStr">
        <is>
          <t>IRIS Vs Market Benchmark — CIM proficiency scale: 3–4 · IRIS Vs Competitor Benchmark — SaaS marketing ladder: Marketing Manager</t>
        </is>
      </c>
      <c r="AG135" s="9" t="inlineStr">
        <is>
          <t>CIM Global Professional Marketing Framework — proficiency Aware → Active learner → Able → Accomplished → Authoritative</t>
        </is>
      </c>
      <c r="AH135" s="9" t="inlineStr">
        <is>
          <t>B3 · Lead Specialist</t>
        </is>
      </c>
      <c r="AI135" s="9" t="inlineStr">
        <is>
          <t>Leadership &amp; people management · Strategy &amp; business acumen · Broader exposure &amp; ownership</t>
        </is>
      </c>
      <c r="AJ135" s="9" t="inlineStr">
        <is>
          <t>Would benefit from deeper understanding of domain + perspective of database &amp; marketing</t>
        </is>
      </c>
      <c r="AK135" s="9" t="inlineStr">
        <is>
          <t>Mentoring / guidance from seniors · Knowledge transfer · KT · Formal / classroom training</t>
        </is>
      </c>
      <c r="AL135" s="9" t="inlineStr">
        <is>
          <t>approvals</t>
        </is>
      </c>
      <c r="AM135" s="9" t="inlineStr">
        <is>
          <t>No common theme</t>
        </is>
      </c>
      <c r="AN135" s="9" t="inlineStr">
        <is>
          <t>0 of 2 say the role is changing because of AI / automation</t>
        </is>
      </c>
      <c r="AO135" s="9" t="inlineStr">
        <is>
          <t>Create market understanding, demand and reputation. Includes: Content, demand, digital, product marketing, operations and communications. Excludes: Account closing; product UX design.</t>
        </is>
      </c>
      <c r="AP135" s="9" t="inlineStr">
        <is>
          <t>MKT03-3 · Senior Campaign Manager</t>
        </is>
      </c>
      <c r="AQ135" s="9" t="inlineStr">
        <is>
          <t>Own channel-mix trade-offs and qualified-pipeline outcomes.</t>
        </is>
      </c>
      <c r="AR135" s="9" t="inlineStr">
        <is>
          <t>Evidence of complex work, decisions and outcomes beyond routine delivery.</t>
        </is>
      </c>
      <c r="AS135" s="9" t="inlineStr">
        <is>
          <t>A campaign with documented audience, budget, qualified-pipeline contribution and learning</t>
        </is>
      </c>
      <c r="AT135" s="9" t="inlineStr">
        <is>
          <r>
            <rPr>
              <rFont val="Calibri"/>
              <b val="1"/>
              <sz val="10"/>
            </rPr>
            <t>Workiva:</t>
          </r>
          <r>
            <rPr>
              <rFont val="Calibri"/>
              <sz val="10"/>
            </rPr>
            <t xml:space="preserve"> Marketing Intern, 2027 cohort
</t>
          </r>
          <r>
            <rPr>
              <rFont val="Calibri"/>
              <b val="1"/>
              <sz val="10"/>
            </rPr>
            <t>Workiva:</t>
          </r>
          <r>
            <rPr>
              <rFont val="Calibri"/>
              <sz val="10"/>
            </rPr>
            <t xml:space="preserve"> Senior Campaign Manager · Selected roles. Gap: Campaign evidence supports demand work; digital-specialist path is partly inferred</t>
          </r>
        </is>
      </c>
      <c r="AU135" s="19" t="inlineStr">
        <is>
          <t>Framework + sub-family themes · 3+ answered</t>
        </is>
      </c>
      <c r="AV135" s="9" t="inlineStr">
        <is>
          <t>1 holder, 1 answered the survey; sub-family 3 answered</t>
        </is>
      </c>
    </row>
    <row r="136" ht="80" customHeight="1">
      <c r="A136" s="17" t="inlineStr">
        <is>
          <t>RC-116</t>
        </is>
      </c>
      <c r="B136" s="9" t="inlineStr">
        <is>
          <t>Marketing &amp; Communications</t>
        </is>
      </c>
      <c r="C136" s="9" t="inlineStr">
        <is>
          <t>Demand Generation, Brand &amp; Events</t>
        </is>
      </c>
      <c r="D136" s="21" t="inlineStr">
        <is>
          <t>B2</t>
        </is>
      </c>
      <c r="E136" s="22" t="inlineStr">
        <is>
          <t>Manager</t>
        </is>
      </c>
      <c r="F136" s="9" t="inlineStr">
        <is>
          <t>Manager</t>
        </is>
      </c>
      <c r="G136" s="9" t="inlineStr">
        <is>
          <t>Marketing Manager</t>
        </is>
      </c>
      <c r="H136" s="8" t="n">
        <v>1</v>
      </c>
      <c r="I136" s="9" t="inlineStr">
        <is>
          <t>CARBON 1</t>
        </is>
      </c>
      <c r="J136" s="9" t="inlineStr">
        <is>
          <r>
            <rPr>
              <rFont val="Calibri"/>
              <sz val="10"/>
            </rPr>
            <t xml:space="preserve">Runs demand-gen campaigns, brand, PR/analyst relations, partner marketing and events. At B2: deep domain expertise, or one team.
</t>
          </r>
          <r>
            <rPr>
              <rFont val="Calibri"/>
              <b val="1"/>
              <sz val="10"/>
            </rPr>
            <t>Common themes in sub-family holders, all levels' answers:</t>
          </r>
          <r>
            <rPr>
              <rFont val="Calibri"/>
              <sz val="10"/>
            </rPr>
            <t xml:space="preserve"> iris · management · gtm · drive · initiatives · growth</t>
          </r>
        </is>
      </c>
      <c r="K136" s="9" t="inlineStr">
        <is>
          <r>
            <rPr>
              <rFont val="Calibri"/>
              <sz val="10"/>
            </rPr>
            <t xml:space="preserve">Runs demand-gen campaigns, brand, PR/analyst relations, partner marketing and events; Hardest problems in the domain; One team or a client portfolio
</t>
          </r>
          <r>
            <rPr>
              <rFont val="Calibri"/>
              <b val="1"/>
              <sz val="10"/>
            </rPr>
            <t>Common themes in sub-family holders, all levels' answers:</t>
          </r>
          <r>
            <rPr>
              <rFont val="Calibri"/>
              <sz val="10"/>
            </rPr>
            <t xml:space="preserve"> event · management</t>
          </r>
        </is>
      </c>
      <c r="L136" s="9" t="inlineStr">
        <is>
          <t>One team or a client portfolio</t>
        </is>
      </c>
      <c r="M136" s="9" t="inlineStr">
        <is>
          <r>
            <rPr>
              <rFont val="Calibri"/>
              <sz val="10"/>
            </rPr>
            <t xml:space="preserve">One team or a client portfolio
</t>
          </r>
          <r>
            <rPr>
              <rFont val="Calibri"/>
              <b val="1"/>
              <sz val="10"/>
            </rPr>
            <t>Common themes in sub-family holders, all levels' answers:</t>
          </r>
          <r>
            <rPr>
              <rFont val="Calibri"/>
              <sz val="10"/>
            </rPr>
            <t xml:space="preserve"> gtm</t>
          </r>
        </is>
      </c>
      <c r="N136" s="9" t="inlineStr">
        <is>
          <r>
            <rPr>
              <rFont val="Calibri"/>
              <sz val="10"/>
            </rPr>
            <t xml:space="preserve">Allocates people and sets team priorities
</t>
          </r>
          <r>
            <rPr>
              <rFont val="Calibri"/>
              <b val="1"/>
              <sz val="10"/>
            </rPr>
            <t>Common themes in sub-family holders, all levels' answers:</t>
          </r>
          <r>
            <rPr>
              <rFont val="Calibri"/>
              <sz val="10"/>
            </rPr>
            <t xml:space="preserve"> strategy</t>
          </r>
        </is>
      </c>
      <c r="O136" s="9" t="inlineStr">
        <is>
          <t>—</t>
        </is>
      </c>
      <c r="P136" s="9" t="inlineStr">
        <is>
          <t>Marketing</t>
        </is>
      </c>
      <c r="Q136" s="9" t="inlineStr">
        <is>
          <t>HubSpot · Claude</t>
        </is>
      </c>
      <c r="R136" s="9" t="inlineStr">
        <is>
          <t>Deep domain expertise, or one team</t>
        </is>
      </c>
      <c r="S136" s="9" t="inlineStr">
        <is>
          <t>Hardest problems in the domain</t>
        </is>
      </c>
      <c r="T136" s="9" t="inlineStr">
        <is>
          <t>Allocates people and sets team priorities</t>
        </is>
      </c>
      <c r="U136" s="9" t="inlineStr">
        <is>
          <t>One team or a client portfolio</t>
        </is>
      </c>
      <c r="V136" s="9" t="inlineStr">
        <is>
          <r>
            <rPr>
              <rFont val="Calibri"/>
              <b val="1"/>
              <sz val="10"/>
            </rPr>
            <t>IC:</t>
          </r>
          <r>
            <rPr>
              <rFont val="Calibri"/>
              <sz val="10"/>
            </rPr>
            <t xml:space="preserve"> guides others in the domain · People: manages a team of 6+</t>
          </r>
        </is>
      </c>
      <c r="W136" s="9" t="inlineStr">
        <is>
          <t>6–9 yrs</t>
        </is>
      </c>
      <c r="X136" s="9" t="inlineStr">
        <is>
          <t>Graduate or postgraduate; professional qualification preferred</t>
        </is>
      </c>
      <c r="Y136" s="9" t="inlineStr">
        <is>
          <t>Google / HubSpot certifications</t>
        </is>
      </c>
      <c r="Z136" s="9" t="inlineStr">
        <is>
          <r>
            <rPr>
              <rFont val="Calibri"/>
              <b val="1"/>
              <sz val="10"/>
            </rPr>
            <t>IC:</t>
          </r>
          <r>
            <rPr>
              <rFont val="Calibri"/>
              <sz val="10"/>
            </rPr>
            <t xml:space="preserve"> none · People: 6–8 knowledge work, 8–12 standardised delivery</t>
          </r>
        </is>
      </c>
      <c r="AA136" s="9" t="inlineStr">
        <is>
          <t>Core 3 · Future-ready 3 · Functional 4 · Leadership 3</t>
        </is>
      </c>
      <c r="AB136" s="9" t="inlineStr">
        <is>
          <t>Marketing Tech &amp; Digital Marketing · Communication &amp; Presentation</t>
        </is>
      </c>
      <c r="AC136" s="9" t="inlineStr">
        <is>
          <t>Data Analytics, BI &amp; Visualisation · AI, GenAI &amp; Prompt Engineering · Product, Platform &amp; Domain Knowledge · Strategic Thinking &amp; Business Acumen</t>
        </is>
      </c>
      <c r="AD136" s="8" t="inlineStr">
        <is>
          <t>P4 / M3</t>
        </is>
      </c>
      <c r="AE136" s="8" t="inlineStr">
        <is>
          <t>4–5</t>
        </is>
      </c>
      <c r="AF136" s="9" t="inlineStr">
        <is>
          <t>IRIS Vs Market Benchmark — CIM proficiency scale: 3–4 · IRIS Vs Competitor Benchmark — SaaS marketing ladder: Marketing Manager</t>
        </is>
      </c>
      <c r="AG136" s="9" t="inlineStr">
        <is>
          <t>CIM Global Professional Marketing Framework — proficiency Aware → Active learner → Able → Accomplished → Authoritative</t>
        </is>
      </c>
      <c r="AH136" s="9" t="inlineStr">
        <is>
          <t>B3 · Lead Specialist</t>
        </is>
      </c>
      <c r="AI136" s="9" t="inlineStr">
        <is>
          <t>Leadership &amp; people management · Client, sales &amp; stakeholders · Strategy &amp; business acumen · Marketing &amp; content</t>
        </is>
      </c>
      <c r="AJ136" s="9" t="inlineStr">
        <is>
          <t>-Time management</t>
        </is>
      </c>
      <c r="AK136" s="9" t="inlineStr">
        <is>
          <t>Mentoring / guidance from seniors · Knowledge transfer · KT · Formal / classroom training</t>
        </is>
      </c>
      <c r="AL136" s="9" t="inlineStr">
        <is>
          <t>approvals</t>
        </is>
      </c>
      <c r="AM136" s="9" t="inlineStr">
        <is>
          <t>No common theme</t>
        </is>
      </c>
      <c r="AN136" s="9" t="inlineStr">
        <is>
          <t>0 of 2 say the role is changing because of AI / automation</t>
        </is>
      </c>
      <c r="AO136" s="9" t="inlineStr">
        <is>
          <t>Create market understanding, demand and reputation. Includes: Content, demand, digital, product marketing, operations and communications. Excludes: Account closing; product UX design.</t>
        </is>
      </c>
      <c r="AP136" s="9" t="inlineStr">
        <is>
          <t>LD10-1 · Marketing Discipline Manager</t>
        </is>
      </c>
      <c r="AQ136" s="9" t="inlineStr">
        <is>
          <t>Own staffing decisions, performance support, service quality and delegated team resources</t>
        </is>
      </c>
      <c r="AR136" s="9" t="inlineStr">
        <is>
          <t>Do not manufacture three reporting layers. Choose roles the organisation needs. A specialist may remain on an equally valued expert path.</t>
        </is>
      </c>
      <c r="AS136" s="9" t="inlineStr">
        <is>
          <t>—</t>
        </is>
      </c>
      <c r="AT136" s="9" t="inlineStr">
        <is>
          <t>—</t>
        </is>
      </c>
      <c r="AU136" s="19" t="inlineStr">
        <is>
          <t>Framework + sub-family themes · 3+ answered</t>
        </is>
      </c>
      <c r="AV136" s="9" t="inlineStr">
        <is>
          <t>1 holder, 1 answered the survey; sub-family 3 answered</t>
        </is>
      </c>
    </row>
    <row r="137" ht="93" customHeight="1">
      <c r="A137" s="17" t="inlineStr">
        <is>
          <t>RC-117</t>
        </is>
      </c>
      <c r="B137" s="9" t="inlineStr">
        <is>
          <t>Marketing &amp; Communications</t>
        </is>
      </c>
      <c r="C137" s="9" t="inlineStr">
        <is>
          <t>Digital Marketing, Web &amp; Social</t>
        </is>
      </c>
      <c r="D137" s="18" t="inlineStr">
        <is>
          <t>A3</t>
        </is>
      </c>
      <c r="E137" s="19" t="inlineStr">
        <is>
          <t>Senior Associate</t>
        </is>
      </c>
      <c r="F137" s="9" t="inlineStr">
        <is>
          <t>IC</t>
        </is>
      </c>
      <c r="G137" s="9" t="inlineStr">
        <is>
          <t>Senior Digital Marketing Associate</t>
        </is>
      </c>
      <c r="H137" s="8" t="n">
        <v>2</v>
      </c>
      <c r="I137" s="9" t="inlineStr">
        <is>
          <t>CARBON 1 · Datatech 1</t>
        </is>
      </c>
      <c r="J137" s="9" t="inlineStr">
        <is>
          <t>Runs website, SEO/AEO, social media and online reputation. At A3: varied work; reviews juniors; go-to for a process.</t>
        </is>
      </c>
      <c r="K137" s="9" t="inlineStr">
        <is>
          <t>Runs website, SEO/AEO, social media and online reputation; Varied and non-standard work; handles exceptions; A module / process, or work with client or regulatory consequences</t>
        </is>
      </c>
      <c r="L137" s="9" t="inlineStr">
        <is>
          <t>A module / process, or work with client or regulatory consequences</t>
        </is>
      </c>
      <c r="M137" s="9" t="inlineStr">
        <is>
          <t>A module / process, or work with client or regulatory consequences</t>
        </is>
      </c>
      <c r="N137" s="9" t="inlineStr">
        <is>
          <t>Technical / QC / client calls on own work</t>
        </is>
      </c>
      <c r="O137" s="9" t="inlineStr">
        <is>
          <t>—</t>
        </is>
      </c>
      <c r="P137" s="9" t="inlineStr">
        <is>
          <t>Marketing</t>
        </is>
      </c>
      <c r="Q137" s="9" t="inlineStr">
        <is>
          <t>—</t>
        </is>
      </c>
      <c r="R137" s="9" t="inlineStr">
        <is>
          <t>Varied work; reviews juniors; go-to for a process</t>
        </is>
      </c>
      <c r="S137" s="9" t="inlineStr">
        <is>
          <t>Varied and non-standard work; handles exceptions</t>
        </is>
      </c>
      <c r="T137" s="9" t="inlineStr">
        <is>
          <t>Technical / QC / client calls on own work</t>
        </is>
      </c>
      <c r="U137" s="9" t="inlineStr">
        <is>
          <t>A module / process, or work with client or regulatory consequences</t>
        </is>
      </c>
      <c r="V137" s="9" t="inlineStr">
        <is>
          <t>Not scored in Band A</t>
        </is>
      </c>
      <c r="W137" s="9" t="inlineStr">
        <is>
          <t>2–4 yrs</t>
        </is>
      </c>
      <c r="X137" s="9" t="inlineStr">
        <is>
          <t>Graduate; relevant certification preferred</t>
        </is>
      </c>
      <c r="Y137" s="9" t="inlineStr">
        <is>
          <t>Google / HubSpot certifications</t>
        </is>
      </c>
      <c r="Z137" s="9" t="inlineStr">
        <is>
          <t>None · guides 1–3 juniors informally</t>
        </is>
      </c>
      <c r="AA137" s="9" t="inlineStr">
        <is>
          <t>Core 2 · Future-ready 2 · Functional 3 · Leadership —</t>
        </is>
      </c>
      <c r="AB137" s="9" t="inlineStr">
        <is>
          <t>Marketing Tech &amp; Digital Marketing · Communication &amp; Presentation</t>
        </is>
      </c>
      <c r="AC137" s="9" t="inlineStr">
        <is>
          <t>Data Analytics, BI &amp; Visualisation · AI, GenAI &amp; Prompt Engineering · Product, Platform &amp; Domain Knowledge · Strategic Thinking &amp; Business Acumen</t>
        </is>
      </c>
      <c r="AD137" s="8" t="inlineStr">
        <is>
          <t>P2</t>
        </is>
      </c>
      <c r="AE137" s="8" t="inlineStr">
        <is>
          <t>3 Apply</t>
        </is>
      </c>
      <c r="AF137" s="9" t="inlineStr">
        <is>
          <t>IRIS Vs Market Benchmark — CIM proficiency scale: 2–3 · IRIS Vs Competitor Benchmark — SaaS marketing ladder: Marketing Specialist</t>
        </is>
      </c>
      <c r="AG137" s="9" t="inlineStr">
        <is>
          <t>CIM Global Professional Marketing Framework — proficiency Aware → Active learner → Able → Accomplished → Authoritative</t>
        </is>
      </c>
      <c r="AH137" s="9" t="inlineStr">
        <is>
          <t>B1 · Specialist</t>
        </is>
      </c>
      <c r="AI137" s="9" t="inlineStr">
        <is>
          <t>Marketing &amp; content · Product &amp; tool knowledge</t>
        </is>
      </c>
      <c r="AJ137" s="9" t="inlineStr">
        <is>
          <t>—</t>
        </is>
      </c>
      <c r="AK137" s="9" t="inlineStr">
        <is>
          <t>—</t>
        </is>
      </c>
      <c r="AL137" s="9" t="inlineStr">
        <is>
          <t>—</t>
        </is>
      </c>
      <c r="AM137" s="9" t="inlineStr">
        <is>
          <t>—</t>
        </is>
      </c>
      <c r="AN137" s="9" t="inlineStr">
        <is>
          <t>—</t>
        </is>
      </c>
      <c r="AO137" s="9" t="inlineStr">
        <is>
          <t>Create market understanding, demand and reputation. Includes: Content, demand, digital, product marketing, operations and communications. Excludes: Account closing; product UX design.</t>
        </is>
      </c>
      <c r="AP137" s="9" t="inlineStr">
        <is>
          <t>MKT04-2 · Digital Marketing Specialist</t>
        </is>
      </c>
      <c r="AQ137" s="9" t="inlineStr">
        <is>
          <t>Run instrumented channel campaigns and search improvements.</t>
        </is>
      </c>
      <c r="AR137" s="9" t="inlineStr">
        <is>
          <t>Demonstrate routine delivery plus judgement in bounded exceptions.</t>
        </is>
      </c>
      <c r="AS137" s="9" t="inlineStr">
        <is>
          <t>A channel experiment with trustworthy tracking and measurable conversion improvement</t>
        </is>
      </c>
      <c r="AT137" s="9" t="inlineStr">
        <is>
          <r>
            <rPr>
              <rFont val="Calibri"/>
              <b val="1"/>
              <sz val="10"/>
            </rPr>
            <t>Workiva:</t>
          </r>
          <r>
            <rPr>
              <rFont val="Calibri"/>
              <sz val="10"/>
            </rPr>
            <t xml:space="preserve"> Marketing Intern, 2027 cohort
</t>
          </r>
          <r>
            <rPr>
              <rFont val="Calibri"/>
              <b val="1"/>
              <sz val="10"/>
            </rPr>
            <t>Workiva:</t>
          </r>
          <r>
            <rPr>
              <rFont val="Calibri"/>
              <sz val="10"/>
            </rPr>
            <t xml:space="preserve"> Senior Campaign Manager · Selected roles. Gap: Campaign evidence supports demand work; digital-specialist path is partly inferred</t>
          </r>
        </is>
      </c>
      <c r="AU137" s="57" t="inlineStr">
        <is>
          <t>Framework only · fewer than 3 answered</t>
        </is>
      </c>
      <c r="AV137" s="9" t="inlineStr">
        <is>
          <t>2 holders, 2 answered the survey; sub-family 2 answered</t>
        </is>
      </c>
    </row>
    <row r="138" ht="80" customHeight="1">
      <c r="A138" s="17" t="inlineStr">
        <is>
          <t>RC-118</t>
        </is>
      </c>
      <c r="B138" s="9" t="inlineStr">
        <is>
          <t>Marketing &amp; Communications</t>
        </is>
      </c>
      <c r="C138" s="9" t="inlineStr">
        <is>
          <t>Marketing · role not recorded</t>
        </is>
      </c>
      <c r="D138" s="39" t="inlineStr">
        <is>
          <t>X1</t>
        </is>
      </c>
      <c r="E138" s="40" t="inlineStr">
        <is>
          <t>Associate Consultant</t>
        </is>
      </c>
      <c r="F138" s="9" t="inlineStr">
        <is>
          <t>IC</t>
        </is>
      </c>
      <c r="G138" s="9" t="inlineStr">
        <is>
          <t>Associate Consultant – Demand Generation, Brand &amp; Events</t>
        </is>
      </c>
      <c r="H138" s="8" t="n">
        <v>1</v>
      </c>
      <c r="I138" s="9" t="inlineStr">
        <is>
          <t>Datatech 1</t>
        </is>
      </c>
      <c r="J138" s="9" t="inlineStr">
        <is>
          <t>Consultant — work not captured. At X1: defined deliverables under a statement of work · ≈ A2–A3.</t>
        </is>
      </c>
      <c r="K138" s="9" t="inlineStr">
        <is>
          <t>Consultant — work not captured</t>
        </is>
      </c>
      <c r="L138" s="9" t="inlineStr">
        <is>
          <t>Consultant — work not captured.</t>
        </is>
      </c>
      <c r="M138" s="9" t="inlineStr">
        <is>
          <t>Deliverables under the statement of work</t>
        </is>
      </c>
      <c r="N138" s="9" t="inlineStr">
        <is>
          <t>Within the statement of work</t>
        </is>
      </c>
      <c r="O138" s="9" t="inlineStr">
        <is>
          <t>—</t>
        </is>
      </c>
      <c r="P138" s="9" t="inlineStr">
        <is>
          <t>—</t>
        </is>
      </c>
      <c r="Q138" s="9" t="inlineStr">
        <is>
          <t>—</t>
        </is>
      </c>
      <c r="R138" s="9" t="inlineStr">
        <is>
          <t>Defined deliverables under a statement of work · ≈ A2–A3</t>
        </is>
      </c>
      <c r="S138" s="9" t="inlineStr">
        <is>
          <t>—</t>
        </is>
      </c>
      <c r="T138" s="9" t="inlineStr">
        <is>
          <t>—</t>
        </is>
      </c>
      <c r="U138" s="9" t="inlineStr">
        <is>
          <t>—</t>
        </is>
      </c>
      <c r="V138" s="9" t="inlineStr">
        <is>
          <t>—</t>
        </is>
      </c>
      <c r="W138" s="9" t="inlineStr">
        <is>
          <t>0–5 yrs</t>
        </is>
      </c>
      <c r="X138" s="9" t="inlineStr">
        <is>
          <t>As for equivalent role</t>
        </is>
      </c>
      <c r="Y138" s="9" t="inlineStr">
        <is>
          <t>Google / HubSpot certifications</t>
        </is>
      </c>
      <c r="Z138" s="9" t="inlineStr">
        <is>
          <t>Not counted in spans</t>
        </is>
      </c>
      <c r="AA138" s="9" t="inlineStr">
        <is>
          <t>Per statement of work</t>
        </is>
      </c>
      <c r="AB138" s="9" t="inlineStr">
        <is>
          <t>Marketing Tech &amp; Digital Marketing · Communication &amp; Presentation</t>
        </is>
      </c>
      <c r="AC138" s="9" t="inlineStr">
        <is>
          <t>Data Analytics, BI &amp; Visualisation · AI, GenAI &amp; Prompt Engineering · Product, Platform &amp; Domain Knowledge · Strategic Thinking &amp; Business Acumen</t>
        </is>
      </c>
      <c r="AD138" s="8" t="inlineStr">
        <is>
          <t>Contractor</t>
        </is>
      </c>
      <c r="AE138" s="8" t="inlineStr">
        <is>
          <t>—</t>
        </is>
      </c>
      <c r="AF138" s="9" t="inlineStr">
        <is>
          <t>—</t>
        </is>
      </c>
      <c r="AG138" s="9" t="inlineStr">
        <is>
          <t>CIM Global Professional Marketing Framework — proficiency Aware → Active learner → Able → Accomplished → Authoritative</t>
        </is>
      </c>
      <c r="AH138" s="9" t="inlineStr">
        <is>
          <t>—</t>
        </is>
      </c>
      <c r="AI138" s="9" t="inlineStr">
        <is>
          <t>—</t>
        </is>
      </c>
      <c r="AJ138" s="9" t="inlineStr">
        <is>
          <t>—</t>
        </is>
      </c>
      <c r="AK138" s="9" t="inlineStr">
        <is>
          <t>—</t>
        </is>
      </c>
      <c r="AL138" s="9" t="inlineStr">
        <is>
          <t>—</t>
        </is>
      </c>
      <c r="AM138" s="9" t="inlineStr">
        <is>
          <t>—</t>
        </is>
      </c>
      <c r="AN138" s="9" t="inlineStr">
        <is>
          <t>—</t>
        </is>
      </c>
      <c r="AO138" s="9" t="inlineStr">
        <is>
          <t>Create market understanding, demand and reputation. Includes: Content, demand, digital, product marketing, operations and communications. Excludes: Account closing; product UX design.</t>
        </is>
      </c>
      <c r="AP138" s="9" t="inlineStr">
        <is>
          <t>—</t>
        </is>
      </c>
      <c r="AQ138" s="9" t="inlineStr">
        <is>
          <t>—</t>
        </is>
      </c>
      <c r="AR138" s="9" t="inlineStr">
        <is>
          <t>—</t>
        </is>
      </c>
      <c r="AS138" s="9" t="inlineStr">
        <is>
          <t>—</t>
        </is>
      </c>
      <c r="AT138" s="9" t="inlineStr">
        <is>
          <t>—</t>
        </is>
      </c>
      <c r="AU138" s="57" t="inlineStr">
        <is>
          <t>Framework only · fewer than 3 answered</t>
        </is>
      </c>
      <c r="AV138" s="9" t="inlineStr">
        <is>
          <t>1 holder, 0 answered the survey; sub-family 0 answered</t>
        </is>
      </c>
    </row>
    <row r="139" ht="80" customHeight="1">
      <c r="A139" s="17" t="inlineStr">
        <is>
          <t>RC-119</t>
        </is>
      </c>
      <c r="B139" s="9" t="inlineStr">
        <is>
          <t>Marketing &amp; Communications</t>
        </is>
      </c>
      <c r="C139" s="9" t="inlineStr">
        <is>
          <t>Marketing Leadership</t>
        </is>
      </c>
      <c r="D139" s="21" t="inlineStr">
        <is>
          <t>B2</t>
        </is>
      </c>
      <c r="E139" s="22" t="inlineStr">
        <is>
          <t>Senior Specialist</t>
        </is>
      </c>
      <c r="F139" s="9" t="inlineStr">
        <is>
          <t>IC</t>
        </is>
      </c>
      <c r="G139" s="9" t="inlineStr">
        <is>
          <t>Marketing Specialist – POD Lead</t>
        </is>
      </c>
      <c r="H139" s="8" t="n">
        <v>1</v>
      </c>
      <c r="I139" s="9" t="inlineStr">
        <is>
          <t>Datatech 1</t>
        </is>
      </c>
      <c r="J139" s="9" t="inlineStr">
        <is>
          <t>Leads the marketing &amp; communications function. At B2: deep domain expertise, or one team.</t>
        </is>
      </c>
      <c r="K139" s="9" t="inlineStr">
        <is>
          <t>Leads the marketing &amp; communications function; Hardest problems in the domain; One team or a client portfolio</t>
        </is>
      </c>
      <c r="L139" s="9" t="inlineStr">
        <is>
          <t>One team or a client portfolio</t>
        </is>
      </c>
      <c r="M139" s="9" t="inlineStr">
        <is>
          <t>One team or a client portfolio</t>
        </is>
      </c>
      <c r="N139" s="9" t="inlineStr">
        <is>
          <t>Allocates people and sets team priorities</t>
        </is>
      </c>
      <c r="O139" s="9" t="inlineStr">
        <is>
          <t>—</t>
        </is>
      </c>
      <c r="P139" s="9" t="inlineStr">
        <is>
          <t>Marketing</t>
        </is>
      </c>
      <c r="Q139" s="9" t="inlineStr">
        <is>
          <t>—</t>
        </is>
      </c>
      <c r="R139" s="9" t="inlineStr">
        <is>
          <t>Deep domain expertise, or one team</t>
        </is>
      </c>
      <c r="S139" s="9" t="inlineStr">
        <is>
          <t>Hardest problems in the domain</t>
        </is>
      </c>
      <c r="T139" s="9" t="inlineStr">
        <is>
          <t>Allocates people and sets team priorities</t>
        </is>
      </c>
      <c r="U139" s="9" t="inlineStr">
        <is>
          <t>One team or a client portfolio</t>
        </is>
      </c>
      <c r="V139" s="9" t="inlineStr">
        <is>
          <r>
            <rPr>
              <rFont val="Calibri"/>
              <b val="1"/>
              <sz val="10"/>
            </rPr>
            <t>IC:</t>
          </r>
          <r>
            <rPr>
              <rFont val="Calibri"/>
              <sz val="10"/>
            </rPr>
            <t xml:space="preserve"> guides others in the domain · People: manages a team of 6+</t>
          </r>
        </is>
      </c>
      <c r="W139" s="9" t="inlineStr">
        <is>
          <t>6–9 yrs</t>
        </is>
      </c>
      <c r="X139" s="9" t="inlineStr">
        <is>
          <t>Graduate or postgraduate; professional qualification preferred</t>
        </is>
      </c>
      <c r="Y139" s="9" t="inlineStr">
        <is>
          <t>Google / HubSpot certifications</t>
        </is>
      </c>
      <c r="Z139" s="9" t="inlineStr">
        <is>
          <r>
            <rPr>
              <rFont val="Calibri"/>
              <b val="1"/>
              <sz val="10"/>
            </rPr>
            <t>IC:</t>
          </r>
          <r>
            <rPr>
              <rFont val="Calibri"/>
              <sz val="10"/>
            </rPr>
            <t xml:space="preserve"> none · People: 6–8 knowledge work, 8–12 standardised delivery</t>
          </r>
        </is>
      </c>
      <c r="AA139" s="9" t="inlineStr">
        <is>
          <t>Core 3 · Future-ready 3 · Functional 4 · Leadership 2</t>
        </is>
      </c>
      <c r="AB139" s="9" t="inlineStr">
        <is>
          <t>Marketing Tech &amp; Digital Marketing · Communication &amp; Presentation</t>
        </is>
      </c>
      <c r="AC139" s="9" t="inlineStr">
        <is>
          <t>Data Analytics, BI &amp; Visualisation · AI, GenAI &amp; Prompt Engineering · Product, Platform &amp; Domain Knowledge · Strategic Thinking &amp; Business Acumen</t>
        </is>
      </c>
      <c r="AD139" s="8" t="inlineStr">
        <is>
          <t>P4 / M3</t>
        </is>
      </c>
      <c r="AE139" s="8" t="inlineStr">
        <is>
          <t>4–5</t>
        </is>
      </c>
      <c r="AF139" s="9" t="inlineStr">
        <is>
          <t>IRIS Vs Market Benchmark — CIM proficiency scale: 3–4 · IRIS Vs Competitor Benchmark — SaaS marketing ladder: Marketing Manager</t>
        </is>
      </c>
      <c r="AG139" s="9" t="inlineStr">
        <is>
          <t>CIM Global Professional Marketing Framework — proficiency Aware → Active learner → Able → Accomplished → Authoritative</t>
        </is>
      </c>
      <c r="AH139" s="9" t="inlineStr">
        <is>
          <t>B3 · Lead Specialist</t>
        </is>
      </c>
      <c r="AI139" s="9" t="inlineStr">
        <is>
          <t>Strategy &amp; business acumen · Marketing &amp; content</t>
        </is>
      </c>
      <c r="AJ139" s="9" t="inlineStr">
        <is>
          <t>Performance marketing, Leadership coaching</t>
        </is>
      </c>
      <c r="AK139" s="9" t="inlineStr">
        <is>
          <t>—</t>
        </is>
      </c>
      <c r="AL139" s="9" t="inlineStr">
        <is>
          <t>—</t>
        </is>
      </c>
      <c r="AM139" s="9" t="inlineStr">
        <is>
          <t>—</t>
        </is>
      </c>
      <c r="AN139" s="9" t="inlineStr">
        <is>
          <t>—</t>
        </is>
      </c>
      <c r="AO139" s="9" t="inlineStr">
        <is>
          <t>Create market understanding, demand and reputation. Includes: Content, demand, digital, product marketing, operations and communications. Excludes: Account closing; product UX design.</t>
        </is>
      </c>
      <c r="AP139" s="9" t="inlineStr">
        <is>
          <t>LD10-1 · Marketing Discipline Manager</t>
        </is>
      </c>
      <c r="AQ139" s="9" t="inlineStr">
        <is>
          <t>Own staffing decisions, performance support, service quality and delegated team resources</t>
        </is>
      </c>
      <c r="AR139" s="9" t="inlineStr">
        <is>
          <t>Do not manufacture three reporting layers. Choose roles the organisation needs. A specialist may remain on an equally valued expert path.</t>
        </is>
      </c>
      <c r="AS139" s="9" t="inlineStr">
        <is>
          <t>—</t>
        </is>
      </c>
      <c r="AT139" s="9" t="inlineStr">
        <is>
          <t>—</t>
        </is>
      </c>
      <c r="AU139" s="57" t="inlineStr">
        <is>
          <t>Framework only · fewer than 3 answered</t>
        </is>
      </c>
      <c r="AV139" s="9" t="inlineStr">
        <is>
          <t>1 holder, 1 answered the survey; sub-family 2 answered</t>
        </is>
      </c>
    </row>
    <row r="140" ht="80" customHeight="1">
      <c r="A140" s="17" t="inlineStr">
        <is>
          <t>RC-120</t>
        </is>
      </c>
      <c r="B140" s="9" t="inlineStr">
        <is>
          <t>Marketing &amp; Communications</t>
        </is>
      </c>
      <c r="C140" s="9" t="inlineStr">
        <is>
          <t>Marketing Leadership</t>
        </is>
      </c>
      <c r="D140" s="21" t="inlineStr">
        <is>
          <t>B3</t>
        </is>
      </c>
      <c r="E140" s="22" t="inlineStr">
        <is>
          <t>Senior Manager</t>
        </is>
      </c>
      <c r="F140" s="9" t="inlineStr">
        <is>
          <t>Manager</t>
        </is>
      </c>
      <c r="G140" s="9" t="inlineStr">
        <is>
          <t>Senior Marketing Manager</t>
        </is>
      </c>
      <c r="H140" s="8" t="n">
        <v>1</v>
      </c>
      <c r="I140" s="9" t="inlineStr">
        <is>
          <t>CARBON 1</t>
        </is>
      </c>
      <c r="J140" s="9" t="inlineStr">
        <is>
          <t>Leads the marketing &amp; communications function. At B3: a practice, or several teams through team leads.</t>
        </is>
      </c>
      <c r="K140" s="9" t="inlineStr">
        <is>
          <t>Leads the marketing &amp; communications function; Sets standards for a practice; cross-team problems; Several teams or a practice</t>
        </is>
      </c>
      <c r="L140" s="9" t="inlineStr">
        <is>
          <t>Several teams or a practice</t>
        </is>
      </c>
      <c r="M140" s="9" t="inlineStr">
        <is>
          <t>Several teams or a practice</t>
        </is>
      </c>
      <c r="N140" s="9" t="inlineStr">
        <is>
          <t>Commercial / strategic calls for the unit</t>
        </is>
      </c>
      <c r="O140" s="9" t="inlineStr">
        <is>
          <t>—</t>
        </is>
      </c>
      <c r="P140" s="9" t="inlineStr">
        <is>
          <t>Marketing</t>
        </is>
      </c>
      <c r="Q140" s="9" t="inlineStr">
        <is>
          <t>—</t>
        </is>
      </c>
      <c r="R140" s="9" t="inlineStr">
        <is>
          <t>A practice, or several teams through team leads</t>
        </is>
      </c>
      <c r="S140" s="9" t="inlineStr">
        <is>
          <t>Sets standards for a practice; cross-team problems</t>
        </is>
      </c>
      <c r="T140" s="9" t="inlineStr">
        <is>
          <t>Commercial / strategic calls for the unit</t>
        </is>
      </c>
      <c r="U140" s="9" t="inlineStr">
        <is>
          <t>Several teams or a practice</t>
        </is>
      </c>
      <c r="V140" s="9" t="inlineStr">
        <is>
          <r>
            <rPr>
              <rFont val="Calibri"/>
              <b val="1"/>
              <sz val="10"/>
            </rPr>
            <t>IC:</t>
          </r>
          <r>
            <rPr>
              <rFont val="Calibri"/>
              <sz val="10"/>
            </rPr>
            <t xml:space="preserve"> leads a practice · People: team leads / managers report in</t>
          </r>
        </is>
      </c>
      <c r="W140" s="9" t="inlineStr">
        <is>
          <t>8–12 yrs</t>
        </is>
      </c>
      <c r="X140" s="9" t="inlineStr">
        <is>
          <t>Postgraduate or professional qualification preferred</t>
        </is>
      </c>
      <c r="Y140" s="9" t="inlineStr">
        <is>
          <t>Google / HubSpot certifications</t>
        </is>
      </c>
      <c r="Z140" s="9" t="inlineStr">
        <is>
          <r>
            <rPr>
              <rFont val="Calibri"/>
              <b val="1"/>
              <sz val="10"/>
            </rPr>
            <t>IC:</t>
          </r>
          <r>
            <rPr>
              <rFont val="Calibri"/>
              <sz val="10"/>
            </rPr>
            <t xml:space="preserve"> none · People: 5–8 incl. team leads</t>
          </r>
        </is>
      </c>
      <c r="AA140" s="9" t="inlineStr">
        <is>
          <t>Core 4 · Future-ready 3 · Functional 4 · Leadership 4</t>
        </is>
      </c>
      <c r="AB140" s="9" t="inlineStr">
        <is>
          <t>Marketing Tech &amp; Digital Marketing · Communication &amp; Presentation</t>
        </is>
      </c>
      <c r="AC140" s="9" t="inlineStr">
        <is>
          <t>Data Analytics, BI &amp; Visualisation · AI, GenAI &amp; Prompt Engineering · Product, Platform &amp; Domain Knowledge · Strategic Thinking &amp; Business Acumen</t>
        </is>
      </c>
      <c r="AD140" s="8" t="inlineStr">
        <is>
          <t>P5 / M4</t>
        </is>
      </c>
      <c r="AE140" s="8" t="inlineStr">
        <is>
          <t>5 Ensure, advise</t>
        </is>
      </c>
      <c r="AF140" s="9" t="inlineStr">
        <is>
          <t>IRIS Vs Market Benchmark — CIM proficiency scale: 4 Accomplished · IRIS Vs Competitor Benchmark — SaaS marketing ladder: Senior Marketing Manager</t>
        </is>
      </c>
      <c r="AG140" s="9" t="inlineStr">
        <is>
          <t>CIM Global Professional Marketing Framework — proficiency Aware → Active learner → Able → Accomplished → Authoritative</t>
        </is>
      </c>
      <c r="AH140" s="9" t="inlineStr">
        <is>
          <t>C1 · Principal · or B+ · Player-Coach transition step if leading people hands-on</t>
        </is>
      </c>
      <c r="AI140" s="9" t="inlineStr">
        <is>
          <t>Leadership &amp; people management · Domain, regulatory &amp; XBRL</t>
        </is>
      </c>
      <c r="AJ140" s="9" t="inlineStr">
        <is>
          <t>Marketing</t>
        </is>
      </c>
      <c r="AK140" s="9" t="inlineStr">
        <is>
          <t>—</t>
        </is>
      </c>
      <c r="AL140" s="9" t="inlineStr">
        <is>
          <t>—</t>
        </is>
      </c>
      <c r="AM140" s="9" t="inlineStr">
        <is>
          <t>—</t>
        </is>
      </c>
      <c r="AN140" s="9" t="inlineStr">
        <is>
          <t>—</t>
        </is>
      </c>
      <c r="AO140" s="9" t="inlineStr">
        <is>
          <t>Create market understanding, demand and reputation. Includes: Content, demand, digital, product marketing, operations and communications. Excludes: Account closing; product UX design.</t>
        </is>
      </c>
      <c r="AP140" s="9" t="inlineStr">
        <is>
          <t>LD10-1 · Marketing Discipline Manager</t>
        </is>
      </c>
      <c r="AQ140" s="9" t="inlineStr">
        <is>
          <t>Own staffing decisions, performance support, service quality and delegated team resources</t>
        </is>
      </c>
      <c r="AR140" s="9" t="inlineStr">
        <is>
          <t>Do not manufacture three reporting layers. Choose roles the organisation needs. A specialist may remain on an equally valued expert path.</t>
        </is>
      </c>
      <c r="AS140" s="9" t="inlineStr">
        <is>
          <t>—</t>
        </is>
      </c>
      <c r="AT140" s="9" t="inlineStr">
        <is>
          <t>—</t>
        </is>
      </c>
      <c r="AU140" s="57" t="inlineStr">
        <is>
          <t>Framework only · fewer than 3 answered</t>
        </is>
      </c>
      <c r="AV140" s="9" t="inlineStr">
        <is>
          <t>1 holder, 1 answered the survey; sub-family 2 answered</t>
        </is>
      </c>
    </row>
    <row r="141" ht="93" customHeight="1">
      <c r="A141" s="17" t="inlineStr">
        <is>
          <t>RC-121</t>
        </is>
      </c>
      <c r="B141" s="9" t="inlineStr">
        <is>
          <t>Marketing &amp; Communications</t>
        </is>
      </c>
      <c r="C141" s="9" t="inlineStr">
        <is>
          <t>Marketing Operations &amp; Automation</t>
        </is>
      </c>
      <c r="D141" s="18" t="inlineStr">
        <is>
          <t>A2</t>
        </is>
      </c>
      <c r="E141" s="19" t="inlineStr">
        <is>
          <t>Associate</t>
        </is>
      </c>
      <c r="F141" s="9" t="inlineStr">
        <is>
          <t>IC</t>
        </is>
      </c>
      <c r="G141" s="9" t="inlineStr">
        <is>
          <t>Marketing Operations Associate</t>
        </is>
      </c>
      <c r="H141" s="8" t="n">
        <v>3</v>
      </c>
      <c r="I141" s="9" t="inlineStr">
        <is>
          <t>CARBON 3</t>
        </is>
      </c>
      <c r="J141" s="9" t="inlineStr">
        <is>
          <r>
            <rPr>
              <rFont val="Calibri"/>
              <sz val="10"/>
            </rPr>
            <t xml:space="preserve">Maintains CRM/ICP data, marketing automation, reporting and dashboards. At A2: standard work delivered independently.
</t>
          </r>
          <r>
            <rPr>
              <rFont val="Calibri"/>
              <b val="1"/>
              <sz val="10"/>
            </rPr>
            <t>Common themes in role-holders' answers:</t>
          </r>
          <r>
            <rPr>
              <rFont val="Calibri"/>
              <sz val="10"/>
            </rPr>
            <t xml:space="preserve"> maintaining · data · sdr · involves · lusha · upload</t>
          </r>
        </is>
      </c>
      <c r="K141" s="9" t="inlineStr">
        <is>
          <r>
            <rPr>
              <rFont val="Calibri"/>
              <sz val="10"/>
            </rPr>
            <t xml:space="preserve">Maintains CRM/ICP data, marketing automation, reporting and dashboards; Standard work of the discipline; Own deliverables · accuracy, TAT
</t>
          </r>
          <r>
            <rPr>
              <rFont val="Calibri"/>
              <b val="1"/>
              <sz val="10"/>
            </rPr>
            <t>Common themes in role-holders' answers:</t>
          </r>
          <r>
            <rPr>
              <rFont val="Calibri"/>
              <sz val="10"/>
            </rPr>
            <t xml:space="preserve"> hygiene · enrichment · data · hubspot</t>
          </r>
        </is>
      </c>
      <c r="L141" s="9" t="inlineStr">
        <is>
          <r>
            <rPr>
              <rFont val="Calibri"/>
              <sz val="10"/>
            </rPr>
            <t xml:space="preserve">Own deliverables · accuracy, TAT
</t>
          </r>
          <r>
            <rPr>
              <rFont val="Calibri"/>
              <b val="1"/>
              <sz val="10"/>
            </rPr>
            <t>Common themes in role-holders' answers:</t>
          </r>
          <r>
            <rPr>
              <rFont val="Calibri"/>
              <sz val="10"/>
            </rPr>
            <t xml:space="preserve"> data</t>
          </r>
        </is>
      </c>
      <c r="M141" s="9" t="inlineStr">
        <is>
          <r>
            <rPr>
              <rFont val="Calibri"/>
              <sz val="10"/>
            </rPr>
            <t xml:space="preserve">Own deliverables · accuracy, TAT
</t>
          </r>
          <r>
            <rPr>
              <rFont val="Calibri"/>
              <b val="1"/>
              <sz val="10"/>
            </rPr>
            <t>Common themes in role-holders' answers:</t>
          </r>
          <r>
            <rPr>
              <rFont val="Calibri"/>
              <sz val="10"/>
            </rPr>
            <t xml:space="preserve"> hubspot</t>
          </r>
        </is>
      </c>
      <c r="N141" s="9" t="inlineStr">
        <is>
          <t>Chooses own approach within standards</t>
        </is>
      </c>
      <c r="O141" s="9" t="inlineStr">
        <is>
          <t>—</t>
        </is>
      </c>
      <c r="P141" s="9" t="inlineStr">
        <is>
          <t>Marketing · Hubspot · Ai</t>
        </is>
      </c>
      <c r="Q141" s="9" t="inlineStr">
        <is>
          <t>Excel · HubSpot</t>
        </is>
      </c>
      <c r="R141" s="9" t="inlineStr">
        <is>
          <t>Standard work delivered independently</t>
        </is>
      </c>
      <c r="S141" s="9" t="inlineStr">
        <is>
          <t>Standard work of the discipline</t>
        </is>
      </c>
      <c r="T141" s="9" t="inlineStr">
        <is>
          <t>Chooses own approach within standards</t>
        </is>
      </c>
      <c r="U141" s="9" t="inlineStr">
        <is>
          <t>Own deliverables · accuracy, TAT</t>
        </is>
      </c>
      <c r="V141" s="9" t="inlineStr">
        <is>
          <t>Not scored in Band A</t>
        </is>
      </c>
      <c r="W141" s="9" t="inlineStr">
        <is>
          <t>0–2 yrs</t>
        </is>
      </c>
      <c r="X141" s="9" t="inlineStr">
        <is>
          <t>Graduate · or diploma with experience</t>
        </is>
      </c>
      <c r="Y141" s="9" t="inlineStr">
        <is>
          <t>Google / HubSpot certifications</t>
        </is>
      </c>
      <c r="Z141" s="9" t="inlineStr">
        <is>
          <t>No direct reports</t>
        </is>
      </c>
      <c r="AA141" s="9" t="inlineStr">
        <is>
          <t>Core 2 · Future-ready 2 · Functional 2 · Leadership —</t>
        </is>
      </c>
      <c r="AB141" s="9" t="inlineStr">
        <is>
          <t>Marketing Tech &amp; Digital Marketing · Communication &amp; Presentation</t>
        </is>
      </c>
      <c r="AC141" s="9" t="inlineStr">
        <is>
          <t>Data Analytics, BI &amp; Visualisation · AI, GenAI &amp; Prompt Engineering · Product, Platform &amp; Domain Knowledge · Strategic Thinking &amp; Business Acumen</t>
        </is>
      </c>
      <c r="AD141" s="8" t="inlineStr">
        <is>
          <t>P1–P2</t>
        </is>
      </c>
      <c r="AE141" s="8" t="inlineStr">
        <is>
          <t>2 Assist</t>
        </is>
      </c>
      <c r="AF141" s="9" t="inlineStr">
        <is>
          <t>IRIS Vs Market Benchmark — CIM proficiency scale: 2 Active learner · IRIS Vs Competitor Benchmark — SaaS marketing ladder: Marketing Associate</t>
        </is>
      </c>
      <c r="AG141" s="9" t="inlineStr">
        <is>
          <t>CIM Global Professional Marketing Framework — proficiency Aware → Active learner → Able → Accomplished → Authoritative</t>
        </is>
      </c>
      <c r="AH141" s="9" t="inlineStr">
        <is>
          <t>A3 · Senior Associate</t>
        </is>
      </c>
      <c r="AI141" s="9" t="inlineStr">
        <is>
          <t>Marketing &amp; content · Data, SQL &amp; analytics · Product &amp; tool knowledge · Client, sales &amp; stakeholders</t>
        </is>
      </c>
      <c r="AJ141" s="9" t="inlineStr">
        <is>
          <t>Would benefit from deeper understanding of domain + perspective of database &amp; marketing</t>
        </is>
      </c>
      <c r="AK141" s="9" t="inlineStr">
        <is>
          <t>—</t>
        </is>
      </c>
      <c r="AL141" s="9" t="inlineStr">
        <is>
          <t>No common theme</t>
        </is>
      </c>
      <c r="AM141" s="9" t="inlineStr">
        <is>
          <t>seamless · ai</t>
        </is>
      </c>
      <c r="AN141" s="9" t="inlineStr">
        <is>
          <t>1 of 3 say the role is changing because of AI / automation</t>
        </is>
      </c>
      <c r="AO141" s="9" t="inlineStr">
        <is>
          <t>Create market understanding, demand and reputation. Includes: Content, demand, digital, product marketing, operations and communications. Excludes: Account closing; product UX design.</t>
        </is>
      </c>
      <c r="AP141" s="9" t="inlineStr">
        <is>
          <t>MKT02-1 · Marketing Operations Associate</t>
        </is>
      </c>
      <c r="AQ141" s="9" t="inlineStr">
        <is>
          <r>
            <rPr>
              <rFont val="Calibri"/>
              <b val="1"/>
              <sz val="10"/>
            </rPr>
            <t>Complete defined parts under review:</t>
          </r>
          <r>
            <rPr>
              <rFont val="Calibri"/>
              <sz val="10"/>
            </rPr>
            <t xml:space="preserve"> operate clean crm/automation flows with reliable tracking.</t>
          </r>
        </is>
      </c>
      <c r="AR141" s="9" t="inlineStr">
        <is>
          <t>Repeatable correct delivery, safe escalation and required entry eligibility.</t>
        </is>
      </c>
      <c r="AS141" s="9" t="inlineStr">
        <is>
          <t>An automated journey with consent controls, data reconciliation and conversion analysis</t>
        </is>
      </c>
      <c r="AT141" s="9" t="inlineStr">
        <is>
          <r>
            <rPr>
              <rFont val="Calibri"/>
              <b val="1"/>
              <sz val="10"/>
            </rPr>
            <t>Workiva:</t>
          </r>
          <r>
            <rPr>
              <rFont val="Calibri"/>
              <sz val="10"/>
            </rPr>
            <t xml:space="preserve"> Marketing Intern, 2027 cohort
</t>
          </r>
          <r>
            <rPr>
              <rFont val="Calibri"/>
              <b val="1"/>
              <sz val="10"/>
            </rPr>
            <t>Workiva:</t>
          </r>
          <r>
            <rPr>
              <rFont val="Calibri"/>
              <sz val="10"/>
            </rPr>
            <t xml:space="preserve"> Product Marketing Operations Director · Entry and adjacent senior work. Gap: CRM automation and strategic operating cadence must remain distinct</t>
          </r>
        </is>
      </c>
      <c r="AU141" s="22" t="inlineStr">
        <is>
          <t>Framework + role-holders' themes · 3+ answered</t>
        </is>
      </c>
      <c r="AV141" s="9" t="inlineStr">
        <is>
          <t>3 holders, 3 answered the survey; sub-family 6 answered</t>
        </is>
      </c>
    </row>
    <row r="142" ht="106" customHeight="1">
      <c r="A142" s="17" t="inlineStr">
        <is>
          <t>RC-122</t>
        </is>
      </c>
      <c r="B142" s="9" t="inlineStr">
        <is>
          <t>Marketing &amp; Communications</t>
        </is>
      </c>
      <c r="C142" s="9" t="inlineStr">
        <is>
          <t>Marketing Operations &amp; Automation</t>
        </is>
      </c>
      <c r="D142" s="18" t="inlineStr">
        <is>
          <t>A3</t>
        </is>
      </c>
      <c r="E142" s="19" t="inlineStr">
        <is>
          <t>Senior Associate</t>
        </is>
      </c>
      <c r="F142" s="9" t="inlineStr">
        <is>
          <t>IC</t>
        </is>
      </c>
      <c r="G142" s="9" t="inlineStr">
        <is>
          <t>Senior Marketing Operations Associate</t>
        </is>
      </c>
      <c r="H142" s="8" t="n">
        <v>3</v>
      </c>
      <c r="I142" s="9" t="inlineStr">
        <is>
          <t>CARBON 1 · iFile 1 · Corporate 1</t>
        </is>
      </c>
      <c r="J142" s="9" t="inlineStr">
        <is>
          <r>
            <rPr>
              <rFont val="Calibri"/>
              <sz val="10"/>
            </rPr>
            <t xml:space="preserve">Maintains CRM/ICP data, marketing automation, reporting and dashboards. At A3: varied work; reviews juniors; go-to for a process.
</t>
          </r>
          <r>
            <rPr>
              <rFont val="Calibri"/>
              <b val="1"/>
              <sz val="10"/>
            </rPr>
            <t>Common themes in role-holders' answers:</t>
          </r>
          <r>
            <rPr>
              <rFont val="Calibri"/>
              <sz val="10"/>
            </rPr>
            <t xml:space="preserve"> business · management · crm · lead</t>
          </r>
        </is>
      </c>
      <c r="K142" s="9" t="inlineStr">
        <is>
          <r>
            <rPr>
              <rFont val="Calibri"/>
              <sz val="10"/>
            </rPr>
            <t xml:space="preserve">Maintains CRM/ICP data, marketing automation, reporting and dashboards; Varied and non-standard work; handles exceptions; A module / process, or work with client or regulatory consequences
</t>
          </r>
          <r>
            <rPr>
              <rFont val="Calibri"/>
              <b val="1"/>
              <sz val="10"/>
            </rPr>
            <t>Common themes in role-holders' answers:</t>
          </r>
          <r>
            <rPr>
              <rFont val="Calibri"/>
              <sz val="10"/>
            </rPr>
            <t xml:space="preserve"> data · crm · lead routing · hygiene · campaign</t>
          </r>
        </is>
      </c>
      <c r="L142" s="9" t="inlineStr">
        <is>
          <r>
            <rPr>
              <rFont val="Calibri"/>
              <sz val="10"/>
            </rPr>
            <t xml:space="preserve">A module / process, or work with client or regulatory consequences
</t>
          </r>
          <r>
            <rPr>
              <rFont val="Calibri"/>
              <b val="1"/>
              <sz val="10"/>
            </rPr>
            <t>Common themes in role-holders' answers:</t>
          </r>
          <r>
            <rPr>
              <rFont val="Calibri"/>
              <sz val="10"/>
            </rPr>
            <t xml:space="preserve"> data · lead</t>
          </r>
        </is>
      </c>
      <c r="M142" s="9" t="inlineStr">
        <is>
          <r>
            <rPr>
              <rFont val="Calibri"/>
              <sz val="10"/>
            </rPr>
            <t xml:space="preserve">A module / process, or work with client or regulatory consequences
</t>
          </r>
          <r>
            <rPr>
              <rFont val="Calibri"/>
              <b val="1"/>
              <sz val="10"/>
            </rPr>
            <t>Common themes in role-holders' answers:</t>
          </r>
          <r>
            <rPr>
              <rFont val="Calibri"/>
              <sz val="10"/>
            </rPr>
            <t xml:space="preserve"> data · accuracy · crm · lead routing · reporting · leads</t>
          </r>
        </is>
      </c>
      <c r="N142" s="9" t="inlineStr">
        <is>
          <r>
            <rPr>
              <rFont val="Calibri"/>
              <sz val="10"/>
            </rPr>
            <t xml:space="preserve">Technical / QC / client calls on own work
</t>
          </r>
          <r>
            <rPr>
              <rFont val="Calibri"/>
              <b val="1"/>
              <sz val="10"/>
            </rPr>
            <t>Common themes in role-holders' answers:</t>
          </r>
          <r>
            <rPr>
              <rFont val="Calibri"/>
              <sz val="10"/>
            </rPr>
            <t xml:space="preserve"> hygiene · data · crm · campaign</t>
          </r>
        </is>
      </c>
      <c r="O142" s="9" t="inlineStr">
        <is>
          <t>—</t>
        </is>
      </c>
      <c r="P142" s="9" t="inlineStr">
        <is>
          <t>Marketing</t>
        </is>
      </c>
      <c r="Q142" s="9" t="inlineStr">
        <is>
          <t>Google Ads · Google analytics</t>
        </is>
      </c>
      <c r="R142" s="9" t="inlineStr">
        <is>
          <t>Varied work; reviews juniors; go-to for a process</t>
        </is>
      </c>
      <c r="S142" s="9" t="inlineStr">
        <is>
          <t>Varied and non-standard work; handles exceptions</t>
        </is>
      </c>
      <c r="T142" s="9" t="inlineStr">
        <is>
          <t>Technical / QC / client calls on own work</t>
        </is>
      </c>
      <c r="U142" s="9" t="inlineStr">
        <is>
          <t>A module / process, or work with client or regulatory consequences</t>
        </is>
      </c>
      <c r="V142" s="9" t="inlineStr">
        <is>
          <t>Not scored in Band A</t>
        </is>
      </c>
      <c r="W142" s="9" t="inlineStr">
        <is>
          <t>2–4 yrs</t>
        </is>
      </c>
      <c r="X142" s="9" t="inlineStr">
        <is>
          <t>Graduate; relevant certification preferred</t>
        </is>
      </c>
      <c r="Y142" s="9" t="inlineStr">
        <is>
          <t>Google / HubSpot certifications</t>
        </is>
      </c>
      <c r="Z142" s="9" t="inlineStr">
        <is>
          <t>None · guides 1–3 juniors informally</t>
        </is>
      </c>
      <c r="AA142" s="9" t="inlineStr">
        <is>
          <t>Core 2 · Future-ready 2 · Functional 3 · Leadership —</t>
        </is>
      </c>
      <c r="AB142" s="9" t="inlineStr">
        <is>
          <t>Marketing Tech &amp; Digital Marketing · Communication &amp; Presentation</t>
        </is>
      </c>
      <c r="AC142" s="9" t="inlineStr">
        <is>
          <t>Data Analytics, BI &amp; Visualisation · AI, GenAI &amp; Prompt Engineering · Product, Platform &amp; Domain Knowledge · Strategic Thinking &amp; Business Acumen</t>
        </is>
      </c>
      <c r="AD142" s="8" t="inlineStr">
        <is>
          <t>P2</t>
        </is>
      </c>
      <c r="AE142" s="8" t="inlineStr">
        <is>
          <t>3 Apply</t>
        </is>
      </c>
      <c r="AF142" s="9" t="inlineStr">
        <is>
          <t>IRIS Vs Market Benchmark — CIM proficiency scale: 2–3 · IRIS Vs Competitor Benchmark — SaaS marketing ladder: Marketing Specialist</t>
        </is>
      </c>
      <c r="AG142" s="9" t="inlineStr">
        <is>
          <t>CIM Global Professional Marketing Framework — proficiency Aware → Active learner → Able → Accomplished → Authoritative</t>
        </is>
      </c>
      <c r="AH142" s="9" t="inlineStr">
        <is>
          <t>B1 · Specialist</t>
        </is>
      </c>
      <c r="AI142" s="9" t="inlineStr">
        <is>
          <t>Strategy &amp; business acumen · AI / automation · Data, SQL &amp; analytics · Product &amp; tool knowledge · Marketing &amp; content</t>
        </is>
      </c>
      <c r="AJ142" s="9" t="inlineStr">
        <is>
          <t>Yes</t>
        </is>
      </c>
      <c r="AK142" s="9" t="inlineStr">
        <is>
          <t>On-the-job / hands-on</t>
        </is>
      </c>
      <c r="AL142" s="9" t="inlineStr">
        <is>
          <t>inconsistent · data</t>
        </is>
      </c>
      <c r="AM142" s="9" t="inlineStr">
        <is>
          <t>No common theme</t>
        </is>
      </c>
      <c r="AN142" s="9" t="inlineStr">
        <is>
          <t>2 of 2 say the role is changing because of AI / automation</t>
        </is>
      </c>
      <c r="AO142" s="9" t="inlineStr">
        <is>
          <t>Create market understanding, demand and reputation. Includes: Content, demand, digital, product marketing, operations and communications. Excludes: Account closing; product UX design.</t>
        </is>
      </c>
      <c r="AP142" s="9" t="inlineStr">
        <is>
          <t>MKT02-2 · Marketing Operations Specialist</t>
        </is>
      </c>
      <c r="AQ142" s="9" t="inlineStr">
        <is>
          <t>Operate clean CRM/automation flows with reliable tracking.</t>
        </is>
      </c>
      <c r="AR142" s="9" t="inlineStr">
        <is>
          <t>Demonstrate routine delivery plus judgement in bounded exceptions.</t>
        </is>
      </c>
      <c r="AS142" s="9" t="inlineStr">
        <is>
          <t>An automated journey with consent controls, data reconciliation and conversion analysis</t>
        </is>
      </c>
      <c r="AT142" s="9" t="inlineStr">
        <is>
          <r>
            <rPr>
              <rFont val="Calibri"/>
              <b val="1"/>
              <sz val="10"/>
            </rPr>
            <t>Workiva:</t>
          </r>
          <r>
            <rPr>
              <rFont val="Calibri"/>
              <sz val="10"/>
            </rPr>
            <t xml:space="preserve"> Marketing Intern, 2027 cohort
</t>
          </r>
          <r>
            <rPr>
              <rFont val="Calibri"/>
              <b val="1"/>
              <sz val="10"/>
            </rPr>
            <t>Workiva:</t>
          </r>
          <r>
            <rPr>
              <rFont val="Calibri"/>
              <sz val="10"/>
            </rPr>
            <t xml:space="preserve"> Product Marketing Operations Director · Entry and adjacent senior work. Gap: CRM automation and strategic operating cadence must remain distinct</t>
          </r>
        </is>
      </c>
      <c r="AU142" s="22" t="inlineStr">
        <is>
          <t>Framework + role-holders' themes · 3+ answered</t>
        </is>
      </c>
      <c r="AV142" s="9" t="inlineStr">
        <is>
          <t>3 holders, 3 answered the survey; sub-family 6 answered</t>
        </is>
      </c>
    </row>
    <row r="143" ht="80" customHeight="1">
      <c r="A143" s="17" t="inlineStr">
        <is>
          <t>RC-123</t>
        </is>
      </c>
      <c r="B143" s="9" t="inlineStr">
        <is>
          <t>Marketing &amp; Communications</t>
        </is>
      </c>
      <c r="C143" s="9" t="inlineStr">
        <is>
          <t>Product Marketing</t>
        </is>
      </c>
      <c r="D143" s="21" t="inlineStr">
        <is>
          <t>B1</t>
        </is>
      </c>
      <c r="E143" s="22" t="inlineStr">
        <is>
          <t>Team Lead</t>
        </is>
      </c>
      <c r="F143" s="9" t="inlineStr">
        <is>
          <t>Manager</t>
        </is>
      </c>
      <c r="G143" s="9" t="inlineStr">
        <is>
          <t>Team Lead – Product Marketing</t>
        </is>
      </c>
      <c r="H143" s="8" t="n">
        <v>1</v>
      </c>
      <c r="I143" s="9" t="inlineStr">
        <is>
          <t>iFile 1</t>
        </is>
      </c>
      <c r="J143" s="9" t="inlineStr">
        <is>
          <t>Launches, positioning, product campaigns and messaging. At B1: a domain / module, or a small team.</t>
        </is>
      </c>
      <c r="K143" s="9" t="inlineStr">
        <is>
          <t>Launches, positioning, product campaigns and messaging; Domain specialist work; A domain or a small team</t>
        </is>
      </c>
      <c r="L143" s="9" t="inlineStr">
        <is>
          <t>A domain or a small team</t>
        </is>
      </c>
      <c r="M143" s="9" t="inlineStr">
        <is>
          <t>A domain or a small team</t>
        </is>
      </c>
      <c r="N143" s="9" t="inlineStr">
        <is>
          <t>Technical / QC / client calls for the domain</t>
        </is>
      </c>
      <c r="O143" s="9" t="inlineStr">
        <is>
          <t>—</t>
        </is>
      </c>
      <c r="P143" s="9" t="inlineStr">
        <is>
          <t>—</t>
        </is>
      </c>
      <c r="Q143" s="9" t="inlineStr">
        <is>
          <t>—</t>
        </is>
      </c>
      <c r="R143" s="9" t="inlineStr">
        <is>
          <t>A domain / module, or a small team</t>
        </is>
      </c>
      <c r="S143" s="9" t="inlineStr">
        <is>
          <t>Domain specialist work</t>
        </is>
      </c>
      <c r="T143" s="9" t="inlineStr">
        <is>
          <t>Technical / QC / client calls for the domain</t>
        </is>
      </c>
      <c r="U143" s="9" t="inlineStr">
        <is>
          <t>A domain or a small team</t>
        </is>
      </c>
      <c r="V143" s="9" t="inlineStr">
        <is>
          <r>
            <rPr>
              <rFont val="Calibri"/>
              <b val="1"/>
              <sz val="10"/>
            </rPr>
            <t>IC:</t>
          </r>
          <r>
            <rPr>
              <rFont val="Calibri"/>
              <sz val="10"/>
            </rPr>
            <t xml:space="preserve"> mentors and reviews · People: hands-on team lead of 3–5</t>
          </r>
        </is>
      </c>
      <c r="W143" s="9" t="inlineStr">
        <is>
          <t>4–7 yrs</t>
        </is>
      </c>
      <c r="X143" s="9" t="inlineStr">
        <is>
          <t>Graduate + relevant qualification or certification preferred</t>
        </is>
      </c>
      <c r="Y143" s="9" t="inlineStr">
        <is>
          <t>Google / HubSpot certifications</t>
        </is>
      </c>
      <c r="Z143" s="9" t="inlineStr">
        <is>
          <r>
            <rPr>
              <rFont val="Calibri"/>
              <b val="1"/>
              <sz val="10"/>
            </rPr>
            <t>IC:</t>
          </r>
          <r>
            <rPr>
              <rFont val="Calibri"/>
              <sz val="10"/>
            </rPr>
            <t xml:space="preserve"> none · Team Lead: 3–5</t>
          </r>
        </is>
      </c>
      <c r="AA143" s="9" t="inlineStr">
        <is>
          <t>Core 3 · Future-ready 3 · Functional 3 · Leadership 2</t>
        </is>
      </c>
      <c r="AB143" s="9" t="inlineStr">
        <is>
          <t>Marketing Tech &amp; Digital Marketing · Communication &amp; Presentation</t>
        </is>
      </c>
      <c r="AC143" s="9" t="inlineStr">
        <is>
          <t>Data Analytics, BI &amp; Visualisation · AI, GenAI &amp; Prompt Engineering · Product, Platform &amp; Domain Knowledge · Strategic Thinking &amp; Business Acumen</t>
        </is>
      </c>
      <c r="AD143" s="8" t="inlineStr">
        <is>
          <t>P3 / M2</t>
        </is>
      </c>
      <c r="AE143" s="8" t="inlineStr">
        <is>
          <t>4 Enable</t>
        </is>
      </c>
      <c r="AF143" s="9" t="inlineStr">
        <is>
          <t>IRIS Vs Market Benchmark — CIM proficiency scale: 3 Able · IRIS Vs Competitor Benchmark — SaaS marketing ladder: Senior Marketing Specialist</t>
        </is>
      </c>
      <c r="AG143" s="9" t="inlineStr">
        <is>
          <t>CIM Global Professional Marketing Framework — proficiency Aware → Active learner → Able → Accomplished → Authoritative</t>
        </is>
      </c>
      <c r="AH143" s="9" t="inlineStr">
        <is>
          <t>B2 · Senior Specialist</t>
        </is>
      </c>
      <c r="AI143" s="9" t="inlineStr">
        <is>
          <t>—</t>
        </is>
      </c>
      <c r="AJ143" s="9" t="inlineStr">
        <is>
          <t>—</t>
        </is>
      </c>
      <c r="AK143" s="9" t="inlineStr">
        <is>
          <t>—</t>
        </is>
      </c>
      <c r="AL143" s="9" t="inlineStr">
        <is>
          <t>—</t>
        </is>
      </c>
      <c r="AM143" s="9" t="inlineStr">
        <is>
          <t>—</t>
        </is>
      </c>
      <c r="AN143" s="9" t="inlineStr">
        <is>
          <t>—</t>
        </is>
      </c>
      <c r="AO143" s="9" t="inlineStr">
        <is>
          <t>Create market understanding, demand and reputation. Includes: Content, demand, digital, product marketing, operations and communications. Excludes: Account closing; product UX design.</t>
        </is>
      </c>
      <c r="AP143" s="9" t="inlineStr">
        <is>
          <t>LD10-1 · Marketing Discipline Manager</t>
        </is>
      </c>
      <c r="AQ143" s="9" t="inlineStr">
        <is>
          <t>Own staffing decisions, performance support, service quality and delegated team resources</t>
        </is>
      </c>
      <c r="AR143" s="9" t="inlineStr">
        <is>
          <t>Do not manufacture three reporting layers. Choose roles the organisation needs. A specialist may remain on an equally valued expert path.</t>
        </is>
      </c>
      <c r="AS143" s="9" t="inlineStr">
        <is>
          <t>—</t>
        </is>
      </c>
      <c r="AT143" s="9" t="inlineStr">
        <is>
          <t>—</t>
        </is>
      </c>
      <c r="AU143" s="57" t="inlineStr">
        <is>
          <t>Framework only · fewer than 3 answered</t>
        </is>
      </c>
      <c r="AV143" s="9" t="inlineStr">
        <is>
          <t>1 holder, 1 answered the survey; sub-family 1 answered</t>
        </is>
      </c>
    </row>
    <row r="144">
      <c r="A144" s="94" t="inlineStr">
        <is>
          <t>Product Management — 7 roles · 15 people</t>
        </is>
      </c>
    </row>
    <row r="145" ht="119" customHeight="1">
      <c r="A145" s="17" t="inlineStr">
        <is>
          <t>RC-124</t>
        </is>
      </c>
      <c r="B145" s="9" t="inlineStr">
        <is>
          <t>Product Management</t>
        </is>
      </c>
      <c r="C145" s="9" t="inlineStr">
        <is>
          <t>Product Management</t>
        </is>
      </c>
      <c r="D145" s="18" t="inlineStr">
        <is>
          <t>A3</t>
        </is>
      </c>
      <c r="E145" s="19" t="inlineStr">
        <is>
          <t>Senior Associate</t>
        </is>
      </c>
      <c r="F145" s="9" t="inlineStr">
        <is>
          <t>IC</t>
        </is>
      </c>
      <c r="G145" s="9" t="inlineStr">
        <is>
          <t>Senior Product Associate</t>
        </is>
      </c>
      <c r="H145" s="8" t="n">
        <v>1</v>
      </c>
      <c r="I145" s="9" t="inlineStr">
        <is>
          <t>CARBON 1</t>
        </is>
      </c>
      <c r="J145" s="9" t="inlineStr">
        <is>
          <r>
            <rPr>
              <rFont val="Calibri"/>
              <sz val="10"/>
            </rPr>
            <t xml:space="preserve">Owns product vision, roadmap, requirements · PRDs, prioritisation and adoption. At A3: varied work; reviews juniors; go-to for a process.
</t>
          </r>
          <r>
            <rPr>
              <rFont val="Calibri"/>
              <b val="1"/>
              <sz val="10"/>
            </rPr>
            <t>Common themes in sub-family holders, all levels' answers:</t>
          </r>
          <r>
            <rPr>
              <rFont val="Calibri"/>
              <sz val="10"/>
            </rPr>
            <t xml:space="preserve"> product · market · business · customers · management · revenue</t>
          </r>
        </is>
      </c>
      <c r="K145" s="9" t="inlineStr">
        <is>
          <r>
            <rPr>
              <rFont val="Calibri"/>
              <sz val="10"/>
            </rPr>
            <t xml:space="preserve">Owns product vision, roadmap, requirements · PRDs, prioritisation and adoption; Varied and non-standard work; handles exceptions; A module / process, or work with client or regulatory consequences
</t>
          </r>
          <r>
            <rPr>
              <rFont val="Calibri"/>
              <b val="1"/>
              <sz val="10"/>
            </rPr>
            <t>Common themes in sub-family holders, all levels' answers:</t>
          </r>
          <r>
            <rPr>
              <rFont val="Calibri"/>
              <sz val="10"/>
            </rPr>
            <t xml:space="preserve"> product · roadmap · management · customer · research · implementation</t>
          </r>
        </is>
      </c>
      <c r="L145" s="9" t="inlineStr">
        <is>
          <r>
            <rPr>
              <rFont val="Calibri"/>
              <sz val="10"/>
            </rPr>
            <t xml:space="preserve">A module / process, or work with client or regulatory consequences
</t>
          </r>
          <r>
            <rPr>
              <rFont val="Calibri"/>
              <b val="1"/>
              <sz val="10"/>
            </rPr>
            <t>Common themes in sub-family holders, all levels' answers:</t>
          </r>
          <r>
            <rPr>
              <rFont val="Calibri"/>
              <sz val="10"/>
            </rPr>
            <t xml:space="preserve"> product · customer · client · feature · business · revenue</t>
          </r>
        </is>
      </c>
      <c r="M145" s="9" t="inlineStr">
        <is>
          <r>
            <rPr>
              <rFont val="Calibri"/>
              <sz val="10"/>
            </rPr>
            <t xml:space="preserve">A module / process, or work with client or regulatory consequences
</t>
          </r>
          <r>
            <rPr>
              <rFont val="Calibri"/>
              <b val="1"/>
              <sz val="10"/>
            </rPr>
            <t>Common themes in sub-family holders, all levels' answers:</t>
          </r>
          <r>
            <rPr>
              <rFont val="Calibri"/>
              <sz val="10"/>
            </rPr>
            <t xml:space="preserve"> product · if · delivery · customer · requirements · client</t>
          </r>
        </is>
      </c>
      <c r="N145" s="9" t="inlineStr">
        <is>
          <r>
            <rPr>
              <rFont val="Calibri"/>
              <sz val="10"/>
            </rPr>
            <t xml:space="preserve">Technical / QC / client calls on own work
</t>
          </r>
          <r>
            <rPr>
              <rFont val="Calibri"/>
              <b val="1"/>
              <sz val="10"/>
            </rPr>
            <t>Common themes in sub-family holders, all levels' answers:</t>
          </r>
          <r>
            <rPr>
              <rFont val="Calibri"/>
              <sz val="10"/>
            </rPr>
            <t xml:space="preserve"> research · priorities · approach · roadmap · product · stakeholders</t>
          </r>
        </is>
      </c>
      <c r="O145" s="9" t="inlineStr">
        <is>
          <t>—</t>
        </is>
      </c>
      <c r="P145" s="9" t="inlineStr">
        <is>
          <t>Product Management · stakeholder management · Market research · Project management · Product sense · Data analysis · ESG · CA + CE</t>
        </is>
      </c>
      <c r="Q145" s="9" t="inlineStr">
        <is>
          <t>Claude · Excel · Mixpanel · MoEngage · Figma</t>
        </is>
      </c>
      <c r="R145" s="9" t="inlineStr">
        <is>
          <t>Varied work; reviews juniors; go-to for a process</t>
        </is>
      </c>
      <c r="S145" s="9" t="inlineStr">
        <is>
          <t>Varied and non-standard work; handles exceptions</t>
        </is>
      </c>
      <c r="T145" s="9" t="inlineStr">
        <is>
          <t>Technical / QC / client calls on own work</t>
        </is>
      </c>
      <c r="U145" s="9" t="inlineStr">
        <is>
          <t>A module / process, or work with client or regulatory consequences</t>
        </is>
      </c>
      <c r="V145" s="9" t="inlineStr">
        <is>
          <t>Not scored in Band A</t>
        </is>
      </c>
      <c r="W145" s="9" t="inlineStr">
        <is>
          <t>2–4 yrs</t>
        </is>
      </c>
      <c r="X145" s="9" t="inlineStr">
        <is>
          <t>Graduate; relevant certification preferred</t>
        </is>
      </c>
      <c r="Y145" s="9" t="inlineStr">
        <is>
          <t>Internal product certification; CBAP / CCBA · optional</t>
        </is>
      </c>
      <c r="Z145" s="9" t="inlineStr">
        <is>
          <t>None · guides 1–3 juniors informally</t>
        </is>
      </c>
      <c r="AA145" s="9" t="inlineStr">
        <is>
          <t>Core 2 · Future-ready 2 · Functional 3 · Leadership —</t>
        </is>
      </c>
      <c r="AB145" s="9" t="inlineStr">
        <is>
          <t>Product, Platform &amp; Domain Knowledge · Business Analysis &amp; Requirements Engineering</t>
        </is>
      </c>
      <c r="AC145" s="9" t="inlineStr">
        <is>
          <t>Data Analytics, BI &amp; Visualisation · Strategic Thinking &amp; Business Acumen · Stakeholder &amp; Client Management · AI, GenAI &amp; Prompt Engineering</t>
        </is>
      </c>
      <c r="AD145" s="8" t="inlineStr">
        <is>
          <t>P2</t>
        </is>
      </c>
      <c r="AE145" s="8" t="inlineStr">
        <is>
          <t>3 Apply</t>
        </is>
      </c>
      <c r="AF145" s="9" t="inlineStr">
        <is>
          <t>IRIS Vs Competitor Benchmark — SaaS product ladder: Associate PM</t>
        </is>
      </c>
      <c r="AG145" s="9" t="inlineStr">
        <is>
          <t>Pragmatic Institute Framework · 37 activities, 7 categories; AIPMM</t>
        </is>
      </c>
      <c r="AH145" s="9" t="inlineStr">
        <is>
          <t>B1 · Specialist</t>
        </is>
      </c>
      <c r="AI145" s="9" t="inlineStr">
        <is>
          <t>Strategy &amp; business acumen</t>
        </is>
      </c>
      <c r="AJ145" s="9" t="inlineStr">
        <is>
          <t>-Communication, Time Management, AI, Domain</t>
        </is>
      </c>
      <c r="AK145" s="9" t="inlineStr">
        <is>
          <t>Mentoring / guidance from seniors · On-the-job / hands-on · Formal / classroom training · Knowledge transfer · KT</t>
        </is>
      </c>
      <c r="AL145" s="9" t="inlineStr">
        <is>
          <t>cross-team · dependencies · lack · dependency · meetings</t>
        </is>
      </c>
      <c r="AM145" s="9" t="inlineStr">
        <is>
          <t>quality · alignment · time · tools · early</t>
        </is>
      </c>
      <c r="AN145" s="9" t="inlineStr">
        <is>
          <t>6 of 13 say the role is changing because of AI / automation</t>
        </is>
      </c>
      <c r="AO145" s="9" t="inlineStr">
        <is>
          <t>Choose and organise product outcomes. Includes: Discovery, prioritisation, roadmap decisions and product operations. Excludes: Project schedule ownership alone; user research as a standalone discipline.</t>
        </is>
      </c>
      <c r="AP145" s="9" t="inlineStr">
        <is>
          <t>PRO01-2 · Product Manager</t>
        </is>
      </c>
      <c r="AQ145" s="9" t="inlineStr">
        <is>
          <t>Own discovery and prioritisation for a defined product problem.</t>
        </is>
      </c>
      <c r="AR145" s="9" t="inlineStr">
        <is>
          <t>Demonstrate routine delivery plus judgement in bounded exceptions.</t>
        </is>
      </c>
      <c r="AS145" s="9" t="inlineStr">
        <is>
          <t>A product decision with customer evidence, trade-offs and measured outcomes after launch</t>
        </is>
      </c>
      <c r="AT145" s="9" t="inlineStr">
        <is>
          <r>
            <rPr>
              <rFont val="Calibri"/>
              <b val="1"/>
              <sz val="10"/>
            </rPr>
            <t>Workiva:</t>
          </r>
          <r>
            <rPr>
              <rFont val="Calibri"/>
              <sz val="10"/>
            </rPr>
            <t xml:space="preserve"> Lead data product manager · Selected role. Gap: Data-product role refreshed; Wise supplies differentiated product scope</t>
          </r>
        </is>
      </c>
      <c r="AU145" s="19" t="inlineStr">
        <is>
          <t>Framework + sub-family themes · 3+ answered</t>
        </is>
      </c>
      <c r="AV145" s="9" t="inlineStr">
        <is>
          <t>1 holder, 1 answered the survey; sub-family 13 answered</t>
        </is>
      </c>
    </row>
    <row r="146" ht="93" customHeight="1">
      <c r="A146" s="17" t="inlineStr">
        <is>
          <t>RC-125</t>
        </is>
      </c>
      <c r="B146" s="9" t="inlineStr">
        <is>
          <t>Product Management</t>
        </is>
      </c>
      <c r="C146" s="9" t="inlineStr">
        <is>
          <t>Product Management</t>
        </is>
      </c>
      <c r="D146" s="21" t="inlineStr">
        <is>
          <t>B1</t>
        </is>
      </c>
      <c r="E146" s="22" t="inlineStr">
        <is>
          <t>Specialist</t>
        </is>
      </c>
      <c r="F146" s="9" t="inlineStr">
        <is>
          <t>IC</t>
        </is>
      </c>
      <c r="G146" s="9" t="inlineStr">
        <is>
          <t>Associate Product Manager – POD Lead · Associate Product Manager</t>
        </is>
      </c>
      <c r="H146" s="8" t="n">
        <v>5</v>
      </c>
      <c r="I146" s="9" t="inlineStr">
        <is>
          <t>CARBON 3 · Datatech 2</t>
        </is>
      </c>
      <c r="J146" s="9" t="inlineStr">
        <is>
          <r>
            <rPr>
              <rFont val="Calibri"/>
              <sz val="10"/>
            </rPr>
            <t xml:space="preserve">Owns product vision, roadmap, requirements · PRDs, prioritisation and adoption. At B1: a domain / module, or a small team.
</t>
          </r>
          <r>
            <rPr>
              <rFont val="Calibri"/>
              <b val="1"/>
              <sz val="10"/>
            </rPr>
            <t>Common themes in role-holders' answers:</t>
          </r>
          <r>
            <rPr>
              <rFont val="Calibri"/>
              <sz val="10"/>
            </rPr>
            <t xml:space="preserve"> product · management · customers · roadmap · shape · stakeholder</t>
          </r>
        </is>
      </c>
      <c r="K146" s="9" t="inlineStr">
        <is>
          <r>
            <rPr>
              <rFont val="Calibri"/>
              <sz val="10"/>
            </rPr>
            <t xml:space="preserve">Owns product vision, roadmap, requirements · PRDs, prioritisation and adoption; Domain specialist work; A domain or a small team
</t>
          </r>
          <r>
            <rPr>
              <rFont val="Calibri"/>
              <b val="1"/>
              <sz val="10"/>
            </rPr>
            <t>Common themes in role-holders' answers:</t>
          </r>
          <r>
            <rPr>
              <rFont val="Calibri"/>
              <sz val="10"/>
            </rPr>
            <t xml:space="preserve"> research · demos · product · management · customer · analysis</t>
          </r>
        </is>
      </c>
      <c r="L146" s="9" t="inlineStr">
        <is>
          <r>
            <rPr>
              <rFont val="Calibri"/>
              <sz val="10"/>
            </rPr>
            <t xml:space="preserve">A domain or a small team
</t>
          </r>
          <r>
            <rPr>
              <rFont val="Calibri"/>
              <b val="1"/>
              <sz val="10"/>
            </rPr>
            <t>Common themes in role-holders' answers:</t>
          </r>
          <r>
            <rPr>
              <rFont val="Calibri"/>
              <sz val="10"/>
            </rPr>
            <t xml:space="preserve"> product</t>
          </r>
        </is>
      </c>
      <c r="M146" s="9" t="inlineStr">
        <is>
          <r>
            <rPr>
              <rFont val="Calibri"/>
              <sz val="10"/>
            </rPr>
            <t xml:space="preserve">A domain or a small team
</t>
          </r>
          <r>
            <rPr>
              <rFont val="Calibri"/>
              <b val="1"/>
              <sz val="10"/>
            </rPr>
            <t>Common themes in role-holders' answers:</t>
          </r>
          <r>
            <rPr>
              <rFont val="Calibri"/>
              <sz val="10"/>
            </rPr>
            <t xml:space="preserve"> product</t>
          </r>
        </is>
      </c>
      <c r="N146" s="9" t="inlineStr">
        <is>
          <t>Technical / QC / client calls for the domain</t>
        </is>
      </c>
      <c r="O146" s="9" t="inlineStr">
        <is>
          <t>—</t>
        </is>
      </c>
      <c r="P146" s="9" t="inlineStr">
        <is>
          <t>Product Management · Project management · Product sense · Market research · CA + CE</t>
        </is>
      </c>
      <c r="Q146" s="9" t="inlineStr">
        <is>
          <t>Claude · Mixpanel</t>
        </is>
      </c>
      <c r="R146" s="9" t="inlineStr">
        <is>
          <t>A domain / module, or a small team</t>
        </is>
      </c>
      <c r="S146" s="9" t="inlineStr">
        <is>
          <t>Domain specialist work</t>
        </is>
      </c>
      <c r="T146" s="9" t="inlineStr">
        <is>
          <t>Technical / QC / client calls for the domain</t>
        </is>
      </c>
      <c r="U146" s="9" t="inlineStr">
        <is>
          <t>A domain or a small team</t>
        </is>
      </c>
      <c r="V146" s="9" t="inlineStr">
        <is>
          <r>
            <rPr>
              <rFont val="Calibri"/>
              <b val="1"/>
              <sz val="10"/>
            </rPr>
            <t>IC:</t>
          </r>
          <r>
            <rPr>
              <rFont val="Calibri"/>
              <sz val="10"/>
            </rPr>
            <t xml:space="preserve"> mentors and reviews · People: hands-on team lead of 3–5</t>
          </r>
        </is>
      </c>
      <c r="W146" s="9" t="inlineStr">
        <is>
          <t>4–7 yrs</t>
        </is>
      </c>
      <c r="X146" s="9" t="inlineStr">
        <is>
          <t>Graduate + relevant qualification or certification preferred</t>
        </is>
      </c>
      <c r="Y146" s="9" t="inlineStr">
        <is>
          <t>Internal product certification; CBAP / CCBA · optional</t>
        </is>
      </c>
      <c r="Z146" s="9" t="inlineStr">
        <is>
          <r>
            <rPr>
              <rFont val="Calibri"/>
              <b val="1"/>
              <sz val="10"/>
            </rPr>
            <t>IC:</t>
          </r>
          <r>
            <rPr>
              <rFont val="Calibri"/>
              <sz val="10"/>
            </rPr>
            <t xml:space="preserve"> none · Team Lead: 3–5</t>
          </r>
        </is>
      </c>
      <c r="AA146" s="9" t="inlineStr">
        <is>
          <t>Core 3 · Future-ready 3 · Functional 3 · Leadership 1</t>
        </is>
      </c>
      <c r="AB146" s="9" t="inlineStr">
        <is>
          <t>Product, Platform &amp; Domain Knowledge · Business Analysis &amp; Requirements Engineering</t>
        </is>
      </c>
      <c r="AC146" s="9" t="inlineStr">
        <is>
          <t>Data Analytics, BI &amp; Visualisation · Strategic Thinking &amp; Business Acumen · Stakeholder &amp; Client Management · AI, GenAI &amp; Prompt Engineering</t>
        </is>
      </c>
      <c r="AD146" s="8" t="inlineStr">
        <is>
          <t>P3 / M2</t>
        </is>
      </c>
      <c r="AE146" s="8" t="inlineStr">
        <is>
          <t>4 Enable</t>
        </is>
      </c>
      <c r="AF146" s="9" t="inlineStr">
        <is>
          <t>IRIS Vs Competitor Benchmark — SaaS product ladder: Product Manager</t>
        </is>
      </c>
      <c r="AG146" s="9" t="inlineStr">
        <is>
          <t>Pragmatic Institute Framework · 37 activities, 7 categories; AIPMM</t>
        </is>
      </c>
      <c r="AH146" s="9" t="inlineStr">
        <is>
          <t>B2 · Senior Specialist</t>
        </is>
      </c>
      <c r="AI146" s="9" t="inlineStr">
        <is>
          <t>Product &amp; tool knowledge · Broader exposure &amp; ownership · AI / automation · Strategy &amp; business acumen · Marketing &amp; content</t>
        </is>
      </c>
      <c r="AJ146" s="9" t="inlineStr">
        <is>
          <t>thinking · management · communication · ticketing sla · de-escalation</t>
        </is>
      </c>
      <c r="AK146" s="9" t="inlineStr">
        <is>
          <t>Mentoring / guidance from seniors · Formal / classroom training · On-the-job / hands-on · Knowledge transfer · KT</t>
        </is>
      </c>
      <c r="AL146" s="9" t="inlineStr">
        <is>
          <t>No common theme</t>
        </is>
      </c>
      <c r="AM146" s="9" t="inlineStr">
        <is>
          <t>improve</t>
        </is>
      </c>
      <c r="AN146" s="9" t="inlineStr">
        <is>
          <t>3 of 5 say the role is changing because of AI / automation</t>
        </is>
      </c>
      <c r="AO146" s="9" t="inlineStr">
        <is>
          <t>Choose and organise product outcomes. Includes: Discovery, prioritisation, roadmap decisions and product operations. Excludes: Project schedule ownership alone; user research as a standalone discipline.</t>
        </is>
      </c>
      <c r="AP146" s="9" t="inlineStr">
        <is>
          <t>PRO01-3 · Senior Product Manager</t>
        </is>
      </c>
      <c r="AQ146" s="9" t="inlineStr">
        <is>
          <t>Set product strategy and make evidence-based outcome trade-offs.</t>
        </is>
      </c>
      <c r="AR146" s="9" t="inlineStr">
        <is>
          <t>Evidence of complex work, decisions and outcomes beyond routine delivery.</t>
        </is>
      </c>
      <c r="AS146" s="9" t="inlineStr">
        <is>
          <t>A product decision with customer evidence, trade-offs and measured outcomes after launch</t>
        </is>
      </c>
      <c r="AT146" s="9" t="inlineStr">
        <is>
          <r>
            <rPr>
              <rFont val="Calibri"/>
              <b val="1"/>
              <sz val="10"/>
            </rPr>
            <t>Workiva:</t>
          </r>
          <r>
            <rPr>
              <rFont val="Calibri"/>
              <sz val="10"/>
            </rPr>
            <t xml:space="preserve"> Lead data product manager · Selected role. Gap: Data-product role refreshed; Wise supplies differentiated product scope</t>
          </r>
        </is>
      </c>
      <c r="AU146" s="22" t="inlineStr">
        <is>
          <t>Framework + role-holders' themes · 3+ answered</t>
        </is>
      </c>
      <c r="AV146" s="9" t="inlineStr">
        <is>
          <t>5 holders, 5 answered the survey; sub-family 13 answered</t>
        </is>
      </c>
    </row>
    <row r="147" ht="106" customHeight="1">
      <c r="A147" s="17" t="inlineStr">
        <is>
          <t>RC-126</t>
        </is>
      </c>
      <c r="B147" s="9" t="inlineStr">
        <is>
          <t>Product Management</t>
        </is>
      </c>
      <c r="C147" s="9" t="inlineStr">
        <is>
          <t>Product Management</t>
        </is>
      </c>
      <c r="D147" s="21" t="inlineStr">
        <is>
          <t>B2</t>
        </is>
      </c>
      <c r="E147" s="22" t="inlineStr">
        <is>
          <t>Senior Specialist</t>
        </is>
      </c>
      <c r="F147" s="9" t="inlineStr">
        <is>
          <t>IC</t>
        </is>
      </c>
      <c r="G147" s="9" t="inlineStr">
        <is>
          <t>Product Manager</t>
        </is>
      </c>
      <c r="H147" s="8" t="n">
        <v>2</v>
      </c>
      <c r="I147" s="9" t="inlineStr">
        <is>
          <t>Datatech 2</t>
        </is>
      </c>
      <c r="J147" s="9" t="inlineStr">
        <is>
          <r>
            <rPr>
              <rFont val="Calibri"/>
              <sz val="10"/>
            </rPr>
            <t xml:space="preserve">Owns product vision, roadmap, requirements · PRDs, prioritisation and adoption. At B2: deep domain expertise, or one team.
</t>
          </r>
          <r>
            <rPr>
              <rFont val="Calibri"/>
              <b val="1"/>
              <sz val="10"/>
            </rPr>
            <t>Common themes in sub-family holders, all levels' answers:</t>
          </r>
          <r>
            <rPr>
              <rFont val="Calibri"/>
              <sz val="10"/>
            </rPr>
            <t xml:space="preserve"> product · market · business · customers · management · revenue</t>
          </r>
        </is>
      </c>
      <c r="K147" s="9" t="inlineStr">
        <is>
          <r>
            <rPr>
              <rFont val="Calibri"/>
              <sz val="10"/>
            </rPr>
            <t xml:space="preserve">Owns product vision, roadmap, requirements · PRDs, prioritisation and adoption; Hardest problems in the domain; One team or a client portfolio
</t>
          </r>
          <r>
            <rPr>
              <rFont val="Calibri"/>
              <b val="1"/>
              <sz val="10"/>
            </rPr>
            <t>Common themes in sub-family holders, all levels' answers:</t>
          </r>
          <r>
            <rPr>
              <rFont val="Calibri"/>
              <sz val="10"/>
            </rPr>
            <t xml:space="preserve"> product · roadmap · management · customer · research · implementation</t>
          </r>
        </is>
      </c>
      <c r="L147" s="9" t="inlineStr">
        <is>
          <r>
            <rPr>
              <rFont val="Calibri"/>
              <sz val="10"/>
            </rPr>
            <t xml:space="preserve">One team or a client portfolio
</t>
          </r>
          <r>
            <rPr>
              <rFont val="Calibri"/>
              <b val="1"/>
              <sz val="10"/>
            </rPr>
            <t>Common themes in sub-family holders, all levels' answers:</t>
          </r>
          <r>
            <rPr>
              <rFont val="Calibri"/>
              <sz val="10"/>
            </rPr>
            <t xml:space="preserve"> product · customer · client · feature · business · revenue</t>
          </r>
        </is>
      </c>
      <c r="M147" s="9" t="inlineStr">
        <is>
          <r>
            <rPr>
              <rFont val="Calibri"/>
              <sz val="10"/>
            </rPr>
            <t xml:space="preserve">One team or a client portfolio
</t>
          </r>
          <r>
            <rPr>
              <rFont val="Calibri"/>
              <b val="1"/>
              <sz val="10"/>
            </rPr>
            <t>Common themes in sub-family holders, all levels' answers:</t>
          </r>
          <r>
            <rPr>
              <rFont val="Calibri"/>
              <sz val="10"/>
            </rPr>
            <t xml:space="preserve"> product · if · delivery · customer · requirements · client</t>
          </r>
        </is>
      </c>
      <c r="N147" s="9" t="inlineStr">
        <is>
          <r>
            <rPr>
              <rFont val="Calibri"/>
              <sz val="10"/>
            </rPr>
            <t xml:space="preserve">Allocates people and sets team priorities
</t>
          </r>
          <r>
            <rPr>
              <rFont val="Calibri"/>
              <b val="1"/>
              <sz val="10"/>
            </rPr>
            <t>Common themes in sub-family holders, all levels' answers:</t>
          </r>
          <r>
            <rPr>
              <rFont val="Calibri"/>
              <sz val="10"/>
            </rPr>
            <t xml:space="preserve"> research · priorities · approach · roadmap · product · stakeholders</t>
          </r>
        </is>
      </c>
      <c r="O147" s="9" t="inlineStr">
        <is>
          <t>—</t>
        </is>
      </c>
      <c r="P147" s="9" t="inlineStr">
        <is>
          <t>Product Management · stakeholder management · Market research · Project management · Product sense · Data analysis · ESG · CA + CE</t>
        </is>
      </c>
      <c r="Q147" s="9" t="inlineStr">
        <is>
          <t>Claude · Excel · Mixpanel · MoEngage · Figma</t>
        </is>
      </c>
      <c r="R147" s="9" t="inlineStr">
        <is>
          <t>Deep domain expertise, or one team</t>
        </is>
      </c>
      <c r="S147" s="9" t="inlineStr">
        <is>
          <t>Hardest problems in the domain</t>
        </is>
      </c>
      <c r="T147" s="9" t="inlineStr">
        <is>
          <t>Allocates people and sets team priorities</t>
        </is>
      </c>
      <c r="U147" s="9" t="inlineStr">
        <is>
          <t>One team or a client portfolio</t>
        </is>
      </c>
      <c r="V147" s="9" t="inlineStr">
        <is>
          <r>
            <rPr>
              <rFont val="Calibri"/>
              <b val="1"/>
              <sz val="10"/>
            </rPr>
            <t>IC:</t>
          </r>
          <r>
            <rPr>
              <rFont val="Calibri"/>
              <sz val="10"/>
            </rPr>
            <t xml:space="preserve"> guides others in the domain · People: manages a team of 6+</t>
          </r>
        </is>
      </c>
      <c r="W147" s="9" t="inlineStr">
        <is>
          <t>6–9 yrs</t>
        </is>
      </c>
      <c r="X147" s="9" t="inlineStr">
        <is>
          <t>Graduate or postgraduate; professional qualification preferred</t>
        </is>
      </c>
      <c r="Y147" s="9" t="inlineStr">
        <is>
          <t>Internal product certification; CBAP / CCBA · optional</t>
        </is>
      </c>
      <c r="Z147" s="9" t="inlineStr">
        <is>
          <r>
            <rPr>
              <rFont val="Calibri"/>
              <b val="1"/>
              <sz val="10"/>
            </rPr>
            <t>IC:</t>
          </r>
          <r>
            <rPr>
              <rFont val="Calibri"/>
              <sz val="10"/>
            </rPr>
            <t xml:space="preserve"> none · People: 6–8 knowledge work, 8–12 standardised delivery</t>
          </r>
        </is>
      </c>
      <c r="AA147" s="9" t="inlineStr">
        <is>
          <t>Core 3 · Future-ready 3 · Functional 4 · Leadership 2</t>
        </is>
      </c>
      <c r="AB147" s="9" t="inlineStr">
        <is>
          <t>Product, Platform &amp; Domain Knowledge · Business Analysis &amp; Requirements Engineering</t>
        </is>
      </c>
      <c r="AC147" s="9" t="inlineStr">
        <is>
          <t>Data Analytics, BI &amp; Visualisation · Strategic Thinking &amp; Business Acumen · Stakeholder &amp; Client Management · AI, GenAI &amp; Prompt Engineering</t>
        </is>
      </c>
      <c r="AD147" s="8" t="inlineStr">
        <is>
          <t>P4 / M3</t>
        </is>
      </c>
      <c r="AE147" s="8" t="inlineStr">
        <is>
          <t>4–5</t>
        </is>
      </c>
      <c r="AF147" s="9" t="inlineStr">
        <is>
          <t>IRIS Vs Competitor Benchmark — SaaS product ladder: Senior PM</t>
        </is>
      </c>
      <c r="AG147" s="9" t="inlineStr">
        <is>
          <t>Pragmatic Institute Framework · 37 activities, 7 categories; AIPMM</t>
        </is>
      </c>
      <c r="AH147" s="9" t="inlineStr">
        <is>
          <t>B3 · Lead Specialist</t>
        </is>
      </c>
      <c r="AI147" s="9" t="inlineStr">
        <is>
          <t>Broader exposure &amp; ownership · AI / automation · Product &amp; tool knowledge · Client, sales &amp; stakeholders · Strategy &amp; business acumen</t>
        </is>
      </c>
      <c r="AJ147" s="9" t="inlineStr">
        <is>
          <t>Data Analysis</t>
        </is>
      </c>
      <c r="AK147" s="9" t="inlineStr">
        <is>
          <t>Mentoring / guidance from seniors · On-the-job / hands-on · Formal / classroom training · Knowledge transfer · KT</t>
        </is>
      </c>
      <c r="AL147" s="9" t="inlineStr">
        <is>
          <t>cross-team · dependencies · lack · dependency · meetings</t>
        </is>
      </c>
      <c r="AM147" s="9" t="inlineStr">
        <is>
          <t>quality · alignment · time · tools · early</t>
        </is>
      </c>
      <c r="AN147" s="9" t="inlineStr">
        <is>
          <t>6 of 13 say the role is changing because of AI / automation</t>
        </is>
      </c>
      <c r="AO147" s="9" t="inlineStr">
        <is>
          <t>Choose and organise product outcomes. Includes: Discovery, prioritisation, roadmap decisions and product operations. Excludes: Project schedule ownership alone; user research as a standalone discipline.</t>
        </is>
      </c>
      <c r="AP147" s="9" t="inlineStr">
        <is>
          <t>PRO01-3 · Senior Product Manager</t>
        </is>
      </c>
      <c r="AQ147" s="9" t="inlineStr">
        <is>
          <t>Set product strategy and make evidence-based outcome trade-offs.</t>
        </is>
      </c>
      <c r="AR147" s="9" t="inlineStr">
        <is>
          <t>Evidence of complex work, decisions and outcomes beyond routine delivery.</t>
        </is>
      </c>
      <c r="AS147" s="9" t="inlineStr">
        <is>
          <t>A product decision with customer evidence, trade-offs and measured outcomes after launch</t>
        </is>
      </c>
      <c r="AT147" s="9" t="inlineStr">
        <is>
          <r>
            <rPr>
              <rFont val="Calibri"/>
              <b val="1"/>
              <sz val="10"/>
            </rPr>
            <t>Workiva:</t>
          </r>
          <r>
            <rPr>
              <rFont val="Calibri"/>
              <sz val="10"/>
            </rPr>
            <t xml:space="preserve"> Lead data product manager · Selected role. Gap: Data-product role refreshed; Wise supplies differentiated product scope</t>
          </r>
        </is>
      </c>
      <c r="AU147" s="19" t="inlineStr">
        <is>
          <t>Framework + sub-family themes · 3+ answered</t>
        </is>
      </c>
      <c r="AV147" s="9" t="inlineStr">
        <is>
          <t>2 holders, 2 answered the survey; sub-family 13 answered</t>
        </is>
      </c>
    </row>
    <row r="148" ht="119" customHeight="1">
      <c r="A148" s="17" t="inlineStr">
        <is>
          <t>RC-127</t>
        </is>
      </c>
      <c r="B148" s="9" t="inlineStr">
        <is>
          <t>Product Management</t>
        </is>
      </c>
      <c r="C148" s="9" t="inlineStr">
        <is>
          <t>Product Management</t>
        </is>
      </c>
      <c r="D148" s="21" t="inlineStr">
        <is>
          <t>B2</t>
        </is>
      </c>
      <c r="E148" s="22" t="inlineStr">
        <is>
          <t>Manager</t>
        </is>
      </c>
      <c r="F148" s="9" t="inlineStr">
        <is>
          <t>Manager</t>
        </is>
      </c>
      <c r="G148" s="9" t="inlineStr">
        <is>
          <t>Product Manager</t>
        </is>
      </c>
      <c r="H148" s="8" t="n">
        <v>4</v>
      </c>
      <c r="I148" s="9" t="inlineStr">
        <is>
          <t>iDEAL 2 · CARBON 1 · Datatech 1</t>
        </is>
      </c>
      <c r="J148" s="9" t="inlineStr">
        <is>
          <r>
            <rPr>
              <rFont val="Calibri"/>
              <sz val="10"/>
            </rPr>
            <t xml:space="preserve">Owns product vision, roadmap, requirements · PRDs, prioritisation and adoption. At B2: deep domain expertise, or one team.
</t>
          </r>
          <r>
            <rPr>
              <rFont val="Calibri"/>
              <b val="1"/>
              <sz val="10"/>
            </rPr>
            <t>Common themes in role-holders' answers:</t>
          </r>
          <r>
            <rPr>
              <rFont val="Calibri"/>
              <sz val="10"/>
            </rPr>
            <t xml:space="preserve"> product · market · delivery · business · revenue</t>
          </r>
        </is>
      </c>
      <c r="K148" s="9" t="inlineStr">
        <is>
          <r>
            <rPr>
              <rFont val="Calibri"/>
              <sz val="10"/>
            </rPr>
            <t xml:space="preserve">Owns product vision, roadmap, requirements · PRDs, prioritisation and adoption; Hardest problems in the domain; One team or a client portfolio
</t>
          </r>
          <r>
            <rPr>
              <rFont val="Calibri"/>
              <b val="1"/>
              <sz val="10"/>
            </rPr>
            <t>Common themes in role-holders' answers:</t>
          </r>
          <r>
            <rPr>
              <rFont val="Calibri"/>
              <sz val="10"/>
            </rPr>
            <t xml:space="preserve"> product · implementation · client · management · delivery</t>
          </r>
        </is>
      </c>
      <c r="L148" s="9" t="inlineStr">
        <is>
          <r>
            <rPr>
              <rFont val="Calibri"/>
              <sz val="10"/>
            </rPr>
            <t xml:space="preserve">One team or a client portfolio
</t>
          </r>
          <r>
            <rPr>
              <rFont val="Calibri"/>
              <b val="1"/>
              <sz val="10"/>
            </rPr>
            <t>Common themes in role-holders' answers:</t>
          </r>
          <r>
            <rPr>
              <rFont val="Calibri"/>
              <sz val="10"/>
            </rPr>
            <t xml:space="preserve"> product · revenue</t>
          </r>
        </is>
      </c>
      <c r="M148" s="9" t="inlineStr">
        <is>
          <r>
            <rPr>
              <rFont val="Calibri"/>
              <sz val="10"/>
            </rPr>
            <t xml:space="preserve">One team or a client portfolio
</t>
          </r>
          <r>
            <rPr>
              <rFont val="Calibri"/>
              <b val="1"/>
              <sz val="10"/>
            </rPr>
            <t>Common themes in role-holders' answers:</t>
          </r>
          <r>
            <rPr>
              <rFont val="Calibri"/>
              <sz val="10"/>
            </rPr>
            <t xml:space="preserve"> product · quality · delivery · revenue</t>
          </r>
        </is>
      </c>
      <c r="N148" s="9" t="inlineStr">
        <is>
          <r>
            <rPr>
              <rFont val="Calibri"/>
              <sz val="10"/>
            </rPr>
            <t xml:space="preserve">Allocates people and sets team priorities
</t>
          </r>
          <r>
            <rPr>
              <rFont val="Calibri"/>
              <b val="1"/>
              <sz val="10"/>
            </rPr>
            <t>Common themes in role-holders' answers:</t>
          </r>
          <r>
            <rPr>
              <rFont val="Calibri"/>
              <sz val="10"/>
            </rPr>
            <t xml:space="preserve"> research</t>
          </r>
        </is>
      </c>
      <c r="O148" s="9" t="inlineStr">
        <is>
          <r>
            <rPr>
              <rFont val="Calibri"/>
              <b val="1"/>
              <sz val="10"/>
            </rPr>
            <t>Common themes in manager-set KRAs:</t>
          </r>
          <r>
            <rPr>
              <rFont val="Calibri"/>
              <sz val="10"/>
            </rPr>
            <t xml:space="preserve"> development participation · cash · market requirements · tech learning · support organizational · profitability</t>
          </r>
        </is>
      </c>
      <c r="P148" s="9" t="inlineStr">
        <is>
          <t>Product management</t>
        </is>
      </c>
      <c r="Q148" s="9" t="inlineStr">
        <is>
          <t>—</t>
        </is>
      </c>
      <c r="R148" s="9" t="inlineStr">
        <is>
          <t>Deep domain expertise, or one team</t>
        </is>
      </c>
      <c r="S148" s="9" t="inlineStr">
        <is>
          <t>Hardest problems in the domain</t>
        </is>
      </c>
      <c r="T148" s="9" t="inlineStr">
        <is>
          <t>Allocates people and sets team priorities</t>
        </is>
      </c>
      <c r="U148" s="9" t="inlineStr">
        <is>
          <t>One team or a client portfolio</t>
        </is>
      </c>
      <c r="V148" s="9" t="inlineStr">
        <is>
          <r>
            <rPr>
              <rFont val="Calibri"/>
              <b val="1"/>
              <sz val="10"/>
            </rPr>
            <t>IC:</t>
          </r>
          <r>
            <rPr>
              <rFont val="Calibri"/>
              <sz val="10"/>
            </rPr>
            <t xml:space="preserve"> guides others in the domain · People: manages a team of 6+</t>
          </r>
        </is>
      </c>
      <c r="W148" s="9" t="inlineStr">
        <is>
          <t>6–9 yrs</t>
        </is>
      </c>
      <c r="X148" s="9" t="inlineStr">
        <is>
          <t>Graduate or postgraduate; professional qualification preferred</t>
        </is>
      </c>
      <c r="Y148" s="9" t="inlineStr">
        <is>
          <t>Internal product certification; CBAP / CCBA · optional</t>
        </is>
      </c>
      <c r="Z148" s="9" t="inlineStr">
        <is>
          <r>
            <rPr>
              <rFont val="Calibri"/>
              <b val="1"/>
              <sz val="10"/>
            </rPr>
            <t>IC:</t>
          </r>
          <r>
            <rPr>
              <rFont val="Calibri"/>
              <sz val="10"/>
            </rPr>
            <t xml:space="preserve"> none · People: 6–8 knowledge work, 8–12 standardised delivery</t>
          </r>
        </is>
      </c>
      <c r="AA148" s="9" t="inlineStr">
        <is>
          <t>Core 3 · Future-ready 3 · Functional 4 · Leadership 3</t>
        </is>
      </c>
      <c r="AB148" s="9" t="inlineStr">
        <is>
          <t>Product, Platform &amp; Domain Knowledge · Business Analysis &amp; Requirements Engineering</t>
        </is>
      </c>
      <c r="AC148" s="9" t="inlineStr">
        <is>
          <t>Data Analytics, BI &amp; Visualisation · Strategic Thinking &amp; Business Acumen · Stakeholder &amp; Client Management · AI, GenAI &amp; Prompt Engineering</t>
        </is>
      </c>
      <c r="AD148" s="8" t="inlineStr">
        <is>
          <t>P4 / M3</t>
        </is>
      </c>
      <c r="AE148" s="8" t="inlineStr">
        <is>
          <t>4–5</t>
        </is>
      </c>
      <c r="AF148" s="9" t="inlineStr">
        <is>
          <t>IRIS Vs Competitor Benchmark — SaaS product ladder: Senior PM</t>
        </is>
      </c>
      <c r="AG148" s="9" t="inlineStr">
        <is>
          <t>Pragmatic Institute Framework · 37 activities, 7 categories; AIPMM</t>
        </is>
      </c>
      <c r="AH148" s="9" t="inlineStr">
        <is>
          <t>B3 · Lead Specialist</t>
        </is>
      </c>
      <c r="AI148" s="9" t="inlineStr">
        <is>
          <t>Product &amp; tool knowledge · Broader exposure &amp; ownership · Strategy &amp; business acumen · Leadership &amp; people management · Client, sales &amp; stakeholders</t>
        </is>
      </c>
      <c r="AJ148" s="9" t="inlineStr">
        <is>
          <t>Product discovery &amp; prioritisation, Information research | Leadership development: strategic thinking, cross-functional influence, financial/business acumen, succession &amp; talent development, change management, executive communication</t>
        </is>
      </c>
      <c r="AK148" s="9" t="inlineStr">
        <is>
          <t>Mentoring / guidance from seniors · On-the-job / hands-on</t>
        </is>
      </c>
      <c r="AL148" s="9" t="inlineStr">
        <is>
          <t>cross-team</t>
        </is>
      </c>
      <c r="AM148" s="9" t="inlineStr">
        <is>
          <t>No common theme</t>
        </is>
      </c>
      <c r="AN148" s="9" t="inlineStr">
        <is>
          <t>2 of 4 say the role is changing because of AI / automation</t>
        </is>
      </c>
      <c r="AO148" s="9" t="inlineStr">
        <is>
          <t>Choose and organise product outcomes. Includes: Discovery, prioritisation, roadmap decisions and product operations. Excludes: Project schedule ownership alone; user research as a standalone discipline.</t>
        </is>
      </c>
      <c r="AP148" s="9" t="inlineStr">
        <is>
          <t>LD12-1 · Group Product Manager</t>
        </is>
      </c>
      <c r="AQ148" s="9" t="inlineStr">
        <is>
          <t>Own staffing decisions, performance support, service quality and delegated team resources</t>
        </is>
      </c>
      <c r="AR148" s="9" t="inlineStr">
        <is>
          <t>Do not manufacture three reporting layers. Choose roles the organisation needs. A specialist may remain on an equally valued expert path.</t>
        </is>
      </c>
      <c r="AS148" s="9" t="inlineStr">
        <is>
          <t>—</t>
        </is>
      </c>
      <c r="AT148" s="9" t="inlineStr">
        <is>
          <t>—</t>
        </is>
      </c>
      <c r="AU148" s="22" t="inlineStr">
        <is>
          <t>Framework + role-holders' themes · 3+ answered</t>
        </is>
      </c>
      <c r="AV148" s="9" t="inlineStr">
        <is>
          <t>4 holders, 4 answered the survey; sub-family 13 answered</t>
        </is>
      </c>
    </row>
    <row r="149" ht="106" customHeight="1">
      <c r="A149" s="17" t="inlineStr">
        <is>
          <t>RC-128</t>
        </is>
      </c>
      <c r="B149" s="9" t="inlineStr">
        <is>
          <t>Product Management</t>
        </is>
      </c>
      <c r="C149" s="9" t="inlineStr">
        <is>
          <t>Product Management</t>
        </is>
      </c>
      <c r="D149" s="21" t="inlineStr">
        <is>
          <t>B3</t>
        </is>
      </c>
      <c r="E149" s="22" t="inlineStr">
        <is>
          <t>Lead Specialist</t>
        </is>
      </c>
      <c r="F149" s="9" t="inlineStr">
        <is>
          <t>IC</t>
        </is>
      </c>
      <c r="G149" s="9" t="inlineStr">
        <is>
          <t>Senior Product Manager</t>
        </is>
      </c>
      <c r="H149" s="8" t="n">
        <v>1</v>
      </c>
      <c r="I149" s="9" t="inlineStr">
        <is>
          <t>iFile 1</t>
        </is>
      </c>
      <c r="J149" s="9" t="inlineStr">
        <is>
          <r>
            <rPr>
              <rFont val="Calibri"/>
              <sz val="10"/>
            </rPr>
            <t xml:space="preserve">Owns product vision, roadmap, requirements · PRDs, prioritisation and adoption. At B3: a practice, or several teams through team leads.
</t>
          </r>
          <r>
            <rPr>
              <rFont val="Calibri"/>
              <b val="1"/>
              <sz val="10"/>
            </rPr>
            <t>Common themes in sub-family holders, all levels' answers:</t>
          </r>
          <r>
            <rPr>
              <rFont val="Calibri"/>
              <sz val="10"/>
            </rPr>
            <t xml:space="preserve"> product · market · business · customers · management · revenue</t>
          </r>
        </is>
      </c>
      <c r="K149" s="9" t="inlineStr">
        <is>
          <r>
            <rPr>
              <rFont val="Calibri"/>
              <sz val="10"/>
            </rPr>
            <t xml:space="preserve">Owns product vision, roadmap, requirements · PRDs, prioritisation and adoption; Sets standards for a practice; cross-team problems; Several teams or a practice
</t>
          </r>
          <r>
            <rPr>
              <rFont val="Calibri"/>
              <b val="1"/>
              <sz val="10"/>
            </rPr>
            <t>Common themes in sub-family holders, all levels' answers:</t>
          </r>
          <r>
            <rPr>
              <rFont val="Calibri"/>
              <sz val="10"/>
            </rPr>
            <t xml:space="preserve"> product · roadmap · management · customer · research · implementation</t>
          </r>
        </is>
      </c>
      <c r="L149" s="9" t="inlineStr">
        <is>
          <r>
            <rPr>
              <rFont val="Calibri"/>
              <sz val="10"/>
            </rPr>
            <t xml:space="preserve">Several teams or a practice
</t>
          </r>
          <r>
            <rPr>
              <rFont val="Calibri"/>
              <b val="1"/>
              <sz val="10"/>
            </rPr>
            <t>Common themes in sub-family holders, all levels' answers:</t>
          </r>
          <r>
            <rPr>
              <rFont val="Calibri"/>
              <sz val="10"/>
            </rPr>
            <t xml:space="preserve"> product · customer · client · feature · business · revenue</t>
          </r>
        </is>
      </c>
      <c r="M149" s="9" t="inlineStr">
        <is>
          <r>
            <rPr>
              <rFont val="Calibri"/>
              <sz val="10"/>
            </rPr>
            <t xml:space="preserve">Several teams or a practice
</t>
          </r>
          <r>
            <rPr>
              <rFont val="Calibri"/>
              <b val="1"/>
              <sz val="10"/>
            </rPr>
            <t>Common themes in sub-family holders, all levels' answers:</t>
          </r>
          <r>
            <rPr>
              <rFont val="Calibri"/>
              <sz val="10"/>
            </rPr>
            <t xml:space="preserve"> product · if · delivery · customer · requirements · client</t>
          </r>
        </is>
      </c>
      <c r="N149" s="9" t="inlineStr">
        <is>
          <r>
            <rPr>
              <rFont val="Calibri"/>
              <sz val="10"/>
            </rPr>
            <t xml:space="preserve">Commercial / strategic calls for the unit
</t>
          </r>
          <r>
            <rPr>
              <rFont val="Calibri"/>
              <b val="1"/>
              <sz val="10"/>
            </rPr>
            <t>Common themes in sub-family holders, all levels' answers:</t>
          </r>
          <r>
            <rPr>
              <rFont val="Calibri"/>
              <sz val="10"/>
            </rPr>
            <t xml:space="preserve"> research · priorities · approach · roadmap · product · stakeholders</t>
          </r>
        </is>
      </c>
      <c r="O149" s="9" t="inlineStr">
        <is>
          <t>—</t>
        </is>
      </c>
      <c r="P149" s="9" t="inlineStr">
        <is>
          <t>Product Management · stakeholder management · Market research · Project management · Product sense · Data analysis · ESG · CA + CE</t>
        </is>
      </c>
      <c r="Q149" s="9" t="inlineStr">
        <is>
          <t>Claude · Excel · Mixpanel · MoEngage · Figma</t>
        </is>
      </c>
      <c r="R149" s="9" t="inlineStr">
        <is>
          <t>A practice, or several teams through team leads</t>
        </is>
      </c>
      <c r="S149" s="9" t="inlineStr">
        <is>
          <t>Sets standards for a practice; cross-team problems</t>
        </is>
      </c>
      <c r="T149" s="9" t="inlineStr">
        <is>
          <t>Commercial / strategic calls for the unit</t>
        </is>
      </c>
      <c r="U149" s="9" t="inlineStr">
        <is>
          <t>Several teams or a practice</t>
        </is>
      </c>
      <c r="V149" s="9" t="inlineStr">
        <is>
          <r>
            <rPr>
              <rFont val="Calibri"/>
              <b val="1"/>
              <sz val="10"/>
            </rPr>
            <t>IC:</t>
          </r>
          <r>
            <rPr>
              <rFont val="Calibri"/>
              <sz val="10"/>
            </rPr>
            <t xml:space="preserve"> leads a practice · People: team leads / managers report in</t>
          </r>
        </is>
      </c>
      <c r="W149" s="9" t="inlineStr">
        <is>
          <t>8–12 yrs</t>
        </is>
      </c>
      <c r="X149" s="9" t="inlineStr">
        <is>
          <t>Postgraduate or professional qualification preferred</t>
        </is>
      </c>
      <c r="Y149" s="9" t="inlineStr">
        <is>
          <t>Internal product certification; CBAP / CCBA · optional</t>
        </is>
      </c>
      <c r="Z149" s="9" t="inlineStr">
        <is>
          <r>
            <rPr>
              <rFont val="Calibri"/>
              <b val="1"/>
              <sz val="10"/>
            </rPr>
            <t>IC:</t>
          </r>
          <r>
            <rPr>
              <rFont val="Calibri"/>
              <sz val="10"/>
            </rPr>
            <t xml:space="preserve"> none · People: 5–8 incl. team leads</t>
          </r>
        </is>
      </c>
      <c r="AA149" s="9" t="inlineStr">
        <is>
          <t>Core 4 · Future-ready 3 · Functional 4 · Leadership 3</t>
        </is>
      </c>
      <c r="AB149" s="9" t="inlineStr">
        <is>
          <t>Product, Platform &amp; Domain Knowledge · Business Analysis &amp; Requirements Engineering</t>
        </is>
      </c>
      <c r="AC149" s="9" t="inlineStr">
        <is>
          <t>Data Analytics, BI &amp; Visualisation · Strategic Thinking &amp; Business Acumen · Stakeholder &amp; Client Management · AI, GenAI &amp; Prompt Engineering</t>
        </is>
      </c>
      <c r="AD149" s="8" t="inlineStr">
        <is>
          <t>P5 / M4</t>
        </is>
      </c>
      <c r="AE149" s="8" t="inlineStr">
        <is>
          <t>5 Ensure, advise</t>
        </is>
      </c>
      <c r="AF149" s="9" t="inlineStr">
        <is>
          <t>IRIS Vs Competitor Benchmark — SaaS product ladder: Principal / Group PM</t>
        </is>
      </c>
      <c r="AG149" s="9" t="inlineStr">
        <is>
          <t>Pragmatic Institute Framework · 37 activities, 7 categories; AIPMM</t>
        </is>
      </c>
      <c r="AH149" s="9" t="inlineStr">
        <is>
          <t>C1 · Principal · or B+ · Player-Coach transition step if leading people hands-on</t>
        </is>
      </c>
      <c r="AI149" s="9" t="inlineStr">
        <is>
          <t>Product &amp; tool knowledge · Strategy &amp; business acumen · Broader exposure &amp; ownership</t>
        </is>
      </c>
      <c r="AJ149" s="9" t="inlineStr">
        <is>
          <t>—</t>
        </is>
      </c>
      <c r="AK149" s="9" t="inlineStr">
        <is>
          <t>Mentoring / guidance from seniors · On-the-job / hands-on · Formal / classroom training · Knowledge transfer · KT</t>
        </is>
      </c>
      <c r="AL149" s="9" t="inlineStr">
        <is>
          <t>cross-team · dependencies · lack · dependency · meetings</t>
        </is>
      </c>
      <c r="AM149" s="9" t="inlineStr">
        <is>
          <t>quality · alignment · time · tools · early</t>
        </is>
      </c>
      <c r="AN149" s="9" t="inlineStr">
        <is>
          <t>6 of 13 say the role is changing because of AI / automation</t>
        </is>
      </c>
      <c r="AO149" s="9" t="inlineStr">
        <is>
          <t>Choose and organise product outcomes. Includes: Discovery, prioritisation, roadmap decisions and product operations. Excludes: Project schedule ownership alone; user research as a standalone discipline.</t>
        </is>
      </c>
      <c r="AP149" s="9" t="inlineStr">
        <is>
          <t>PRO01-4 · Lead Product Manager</t>
        </is>
      </c>
      <c r="AQ149" s="9" t="inlineStr">
        <is>
          <t>Shape multiple-product strategy and shared investment principles.</t>
        </is>
      </c>
      <c r="AR149" s="9" t="inlineStr">
        <is>
          <t>Adoption beyond own work; recurring authority and measurable wider outcomes.</t>
        </is>
      </c>
      <c r="AS149" s="9" t="inlineStr">
        <is>
          <t>A product decision with customer evidence, trade-offs and measured outcomes after launch</t>
        </is>
      </c>
      <c r="AT149" s="9" t="inlineStr">
        <is>
          <r>
            <rPr>
              <rFont val="Calibri"/>
              <b val="1"/>
              <sz val="10"/>
            </rPr>
            <t>Workiva:</t>
          </r>
          <r>
            <rPr>
              <rFont val="Calibri"/>
              <sz val="10"/>
            </rPr>
            <t xml:space="preserve"> Lead data product manager · Selected role. Gap: Data-product role refreshed; Wise supplies differentiated product scope</t>
          </r>
        </is>
      </c>
      <c r="AU149" s="19" t="inlineStr">
        <is>
          <t>Framework + sub-family themes · 3+ answered</t>
        </is>
      </c>
      <c r="AV149" s="9" t="inlineStr">
        <is>
          <t>1 holder, 1 answered the survey; sub-family 13 answered</t>
        </is>
      </c>
    </row>
    <row r="150" ht="80" customHeight="1">
      <c r="A150" s="17" t="inlineStr">
        <is>
          <t>RC-129</t>
        </is>
      </c>
      <c r="B150" s="9" t="inlineStr">
        <is>
          <t>Product Management</t>
        </is>
      </c>
      <c r="C150" s="9" t="inlineStr">
        <is>
          <t>Product Operations &amp; Research</t>
        </is>
      </c>
      <c r="D150" s="18" t="inlineStr">
        <is>
          <t>A1</t>
        </is>
      </c>
      <c r="E150" s="19" t="inlineStr">
        <is>
          <t>Intern / Trainee</t>
        </is>
      </c>
      <c r="F150" s="9" t="inlineStr">
        <is>
          <t>IC</t>
        </is>
      </c>
      <c r="G150" s="9" t="inlineStr">
        <is>
          <t>Intern – Product Operations &amp; Research</t>
        </is>
      </c>
      <c r="H150" s="8" t="n">
        <v>1</v>
      </c>
      <c r="I150" s="9" t="inlineStr">
        <is>
          <t>Datatech 1</t>
        </is>
      </c>
      <c r="J150" s="9" t="inlineStr">
        <is>
          <t>Coordinates product activities and produces market / competitor research. At A1: learning the role; all work reviewed.</t>
        </is>
      </c>
      <c r="K150" s="9" t="inlineStr">
        <is>
          <t>Coordinates product activities and produces market / competitor research; Learning; follows worked examples; Learning tasks</t>
        </is>
      </c>
      <c r="L150" s="9" t="inlineStr">
        <is>
          <t>Learning tasks</t>
        </is>
      </c>
      <c r="M150" s="9" t="inlineStr">
        <is>
          <t>Learning tasks</t>
        </is>
      </c>
      <c r="N150" s="9" t="inlineStr">
        <is>
          <t>Needs approval / close guidance</t>
        </is>
      </c>
      <c r="O150" s="9" t="inlineStr">
        <is>
          <t>—</t>
        </is>
      </c>
      <c r="P150" s="9" t="inlineStr">
        <is>
          <t>—</t>
        </is>
      </c>
      <c r="Q150" s="9" t="inlineStr">
        <is>
          <t>—</t>
        </is>
      </c>
      <c r="R150" s="9" t="inlineStr">
        <is>
          <t>Learning the role; all work reviewed</t>
        </is>
      </c>
      <c r="S150" s="9" t="inlineStr">
        <is>
          <t>Learning; follows worked examples</t>
        </is>
      </c>
      <c r="T150" s="9" t="inlineStr">
        <is>
          <t>Needs approval / close guidance</t>
        </is>
      </c>
      <c r="U150" s="9" t="inlineStr">
        <is>
          <t>Learning tasks</t>
        </is>
      </c>
      <c r="V150" s="9" t="inlineStr">
        <is>
          <t>Not scored in Band A</t>
        </is>
      </c>
      <c r="W150" s="9" t="inlineStr">
        <is>
          <t>0 yrs · fresher / intern</t>
        </is>
      </c>
      <c r="X150" s="9" t="inlineStr">
        <is>
          <t>Pursuing or completed graduation / diploma</t>
        </is>
      </c>
      <c r="Y150" s="9" t="inlineStr">
        <is>
          <t>Internal product certification; CBAP / CCBA · optional</t>
        </is>
      </c>
      <c r="Z150" s="9" t="inlineStr">
        <is>
          <t>No direct reports</t>
        </is>
      </c>
      <c r="AA150" s="9" t="inlineStr">
        <is>
          <t>Core 1 · Future-ready 1 · Functional 1 · Leadership —</t>
        </is>
      </c>
      <c r="AB150" s="9" t="inlineStr">
        <is>
          <t>Product, Platform &amp; Domain Knowledge · Business Analysis &amp; Requirements Engineering</t>
        </is>
      </c>
      <c r="AC150" s="9" t="inlineStr">
        <is>
          <t>Data Analytics, BI &amp; Visualisation · Strategic Thinking &amp; Business Acumen · Stakeholder &amp; Client Management · AI, GenAI &amp; Prompt Engineering</t>
        </is>
      </c>
      <c r="AD150" s="8" t="inlineStr">
        <is>
          <t>Entry / P1 · intern</t>
        </is>
      </c>
      <c r="AE150" s="8" t="inlineStr">
        <is>
          <t>1 Follow</t>
        </is>
      </c>
      <c r="AF150" s="9" t="inlineStr">
        <is>
          <t>—</t>
        </is>
      </c>
      <c r="AG150" s="9" t="inlineStr">
        <is>
          <t>Pragmatic Institute Framework · 37 activities, 7 categories; AIPMM</t>
        </is>
      </c>
      <c r="AH150" s="9" t="inlineStr">
        <is>
          <t>A2 · Associate</t>
        </is>
      </c>
      <c r="AI150" s="9" t="inlineStr">
        <is>
          <t>Domain, regulatory &amp; XBRL · Product &amp; tool knowledge · Strategy &amp; business acumen · Broader exposure &amp; ownership</t>
        </is>
      </c>
      <c r="AJ150" s="9" t="inlineStr">
        <is>
          <t>—</t>
        </is>
      </c>
      <c r="AK150" s="9" t="inlineStr">
        <is>
          <t>—</t>
        </is>
      </c>
      <c r="AL150" s="9" t="inlineStr">
        <is>
          <t>—</t>
        </is>
      </c>
      <c r="AM150" s="9" t="inlineStr">
        <is>
          <t>—</t>
        </is>
      </c>
      <c r="AN150" s="9" t="inlineStr">
        <is>
          <t>—</t>
        </is>
      </c>
      <c r="AO150" s="9" t="inlineStr">
        <is>
          <t>Choose and organise product outcomes. Includes: Discovery, prioritisation, roadmap decisions and product operations. Excludes: Project schedule ownership alone; user research as a standalone discipline.</t>
        </is>
      </c>
      <c r="AP150" s="9" t="inlineStr">
        <is>
          <t>PRO02-0 · Product Operations Intern</t>
        </is>
      </c>
      <c r="AQ150" s="9" t="inlineStr">
        <is>
          <r>
            <rPr>
              <rFont val="Calibri"/>
              <b val="1"/>
              <sz val="10"/>
            </rPr>
            <t>Assist with a supervised work sample:</t>
          </r>
          <r>
            <rPr>
              <rFont val="Calibri"/>
              <sz val="10"/>
            </rPr>
            <t xml:space="preserve"> maintain feedback, planning and product decision records.</t>
          </r>
        </is>
      </c>
      <c r="AR150" s="9" t="inlineStr">
        <is>
          <t>Reviewed learning assignment; no independent material sign-off.</t>
        </is>
      </c>
      <c r="AS150" s="9" t="inlineStr">
        <is>
          <t>A repeatable product-decision process with reliable evidence and clear decision ownership</t>
        </is>
      </c>
      <c r="AT150" s="9" t="inlineStr">
        <is>
          <r>
            <rPr>
              <rFont val="Calibri"/>
              <b val="1"/>
              <sz val="10"/>
            </rPr>
            <t>Workiva:</t>
          </r>
          <r>
            <rPr>
              <rFont val="Calibri"/>
              <sz val="10"/>
            </rPr>
            <t xml:space="preserve"> Product Marketing Operations Director · Related work. Gap: Product-marketing operations is adjacent to product operations; role boundaries are proposed</t>
          </r>
        </is>
      </c>
      <c r="AU150" s="57" t="inlineStr">
        <is>
          <t>Framework only · fewer than 3 answered</t>
        </is>
      </c>
      <c r="AV150" s="9" t="inlineStr">
        <is>
          <t>1 holder, 1 answered the survey; sub-family 2 answered</t>
        </is>
      </c>
    </row>
    <row r="151" ht="80" customHeight="1">
      <c r="A151" s="17" t="inlineStr">
        <is>
          <t>RC-130</t>
        </is>
      </c>
      <c r="B151" s="9" t="inlineStr">
        <is>
          <t>Product Management</t>
        </is>
      </c>
      <c r="C151" s="9" t="inlineStr">
        <is>
          <t>Product Operations &amp; Research</t>
        </is>
      </c>
      <c r="D151" s="18" t="inlineStr">
        <is>
          <t>A3</t>
        </is>
      </c>
      <c r="E151" s="19" t="inlineStr">
        <is>
          <t>Senior Associate</t>
        </is>
      </c>
      <c r="F151" s="9" t="inlineStr">
        <is>
          <t>IC</t>
        </is>
      </c>
      <c r="G151" s="9" t="inlineStr">
        <is>
          <t>Senior Product Analyst</t>
        </is>
      </c>
      <c r="H151" s="8" t="n">
        <v>1</v>
      </c>
      <c r="I151" s="9" t="inlineStr">
        <is>
          <t>iDEAL 1</t>
        </is>
      </c>
      <c r="J151" s="9" t="inlineStr">
        <is>
          <t>Coordinates product activities and produces market / competitor research. At A3: varied work; reviews juniors; go-to for a process.</t>
        </is>
      </c>
      <c r="K151" s="9" t="inlineStr">
        <is>
          <t>Coordinates product activities and produces market / competitor research; Varied and non-standard work; handles exceptions; A module / process, or work with client or regulatory consequences</t>
        </is>
      </c>
      <c r="L151" s="9" t="inlineStr">
        <is>
          <t>A module / process, or work with client or regulatory consequences</t>
        </is>
      </c>
      <c r="M151" s="9" t="inlineStr">
        <is>
          <t>A module / process, or work with client or regulatory consequences</t>
        </is>
      </c>
      <c r="N151" s="9" t="inlineStr">
        <is>
          <t>Technical / QC / client calls on own work</t>
        </is>
      </c>
      <c r="O151" s="9" t="inlineStr">
        <is>
          <t>—</t>
        </is>
      </c>
      <c r="P151" s="9" t="inlineStr">
        <is>
          <t>—</t>
        </is>
      </c>
      <c r="Q151" s="9" t="inlineStr">
        <is>
          <t>—</t>
        </is>
      </c>
      <c r="R151" s="9" t="inlineStr">
        <is>
          <t>Varied work; reviews juniors; go-to for a process</t>
        </is>
      </c>
      <c r="S151" s="9" t="inlineStr">
        <is>
          <t>Varied and non-standard work; handles exceptions</t>
        </is>
      </c>
      <c r="T151" s="9" t="inlineStr">
        <is>
          <t>Technical / QC / client calls on own work</t>
        </is>
      </c>
      <c r="U151" s="9" t="inlineStr">
        <is>
          <t>A module / process, or work with client or regulatory consequences</t>
        </is>
      </c>
      <c r="V151" s="9" t="inlineStr">
        <is>
          <t>Not scored in Band A</t>
        </is>
      </c>
      <c r="W151" s="9" t="inlineStr">
        <is>
          <t>2–4 yrs</t>
        </is>
      </c>
      <c r="X151" s="9" t="inlineStr">
        <is>
          <t>Graduate; relevant certification preferred</t>
        </is>
      </c>
      <c r="Y151" s="9" t="inlineStr">
        <is>
          <t>Internal product certification; CBAP / CCBA · optional</t>
        </is>
      </c>
      <c r="Z151" s="9" t="inlineStr">
        <is>
          <t>None · guides 1–3 juniors informally</t>
        </is>
      </c>
      <c r="AA151" s="9" t="inlineStr">
        <is>
          <t>Core 2 · Future-ready 2 · Functional 3 · Leadership —</t>
        </is>
      </c>
      <c r="AB151" s="9" t="inlineStr">
        <is>
          <t>Product, Platform &amp; Domain Knowledge · Business Analysis &amp; Requirements Engineering</t>
        </is>
      </c>
      <c r="AC151" s="9" t="inlineStr">
        <is>
          <t>Data Analytics, BI &amp; Visualisation · Strategic Thinking &amp; Business Acumen · Stakeholder &amp; Client Management · AI, GenAI &amp; Prompt Engineering</t>
        </is>
      </c>
      <c r="AD151" s="8" t="inlineStr">
        <is>
          <t>P2</t>
        </is>
      </c>
      <c r="AE151" s="8" t="inlineStr">
        <is>
          <t>3 Apply</t>
        </is>
      </c>
      <c r="AF151" s="9" t="inlineStr">
        <is>
          <t>IRIS Vs Competitor Benchmark — SaaS product ladder: Associate PM</t>
        </is>
      </c>
      <c r="AG151" s="9" t="inlineStr">
        <is>
          <t>Pragmatic Institute Framework · 37 activities, 7 categories; AIPMM</t>
        </is>
      </c>
      <c r="AH151" s="9" t="inlineStr">
        <is>
          <t>B1 · Specialist</t>
        </is>
      </c>
      <c r="AI151" s="9" t="inlineStr">
        <is>
          <t>Project / programme management · Technical depth &amp; architecture · Strategy &amp; business acumen · Broader exposure &amp; ownership</t>
        </is>
      </c>
      <c r="AJ151" s="9" t="inlineStr">
        <is>
          <t>XBRL Training, Training on the effective utilization of AI tools.</t>
        </is>
      </c>
      <c r="AK151" s="9" t="inlineStr">
        <is>
          <t>—</t>
        </is>
      </c>
      <c r="AL151" s="9" t="inlineStr">
        <is>
          <t>—</t>
        </is>
      </c>
      <c r="AM151" s="9" t="inlineStr">
        <is>
          <t>—</t>
        </is>
      </c>
      <c r="AN151" s="9" t="inlineStr">
        <is>
          <t>—</t>
        </is>
      </c>
      <c r="AO151" s="9" t="inlineStr">
        <is>
          <t>Choose and organise product outcomes. Includes: Discovery, prioritisation, roadmap decisions and product operations. Excludes: Project schedule ownership alone; user research as a standalone discipline.</t>
        </is>
      </c>
      <c r="AP151" s="9" t="inlineStr">
        <is>
          <t>PRO02-2 · Product Operations Analyst</t>
        </is>
      </c>
      <c r="AQ151" s="9" t="inlineStr">
        <is>
          <t>Maintain feedback, planning and product decision records.</t>
        </is>
      </c>
      <c r="AR151" s="9" t="inlineStr">
        <is>
          <t>Demonstrate routine delivery plus judgement in bounded exceptions.</t>
        </is>
      </c>
      <c r="AS151" s="9" t="inlineStr">
        <is>
          <t>A repeatable product-decision process with reliable evidence and clear decision ownership</t>
        </is>
      </c>
      <c r="AT151" s="9" t="inlineStr">
        <is>
          <r>
            <rPr>
              <rFont val="Calibri"/>
              <b val="1"/>
              <sz val="10"/>
            </rPr>
            <t>Workiva:</t>
          </r>
          <r>
            <rPr>
              <rFont val="Calibri"/>
              <sz val="10"/>
            </rPr>
            <t xml:space="preserve"> Product Marketing Operations Director · Related work. Gap: Product-marketing operations is adjacent to product operations; role boundaries are proposed</t>
          </r>
        </is>
      </c>
      <c r="AU151" s="57" t="inlineStr">
        <is>
          <t>Framework only · fewer than 3 answered</t>
        </is>
      </c>
      <c r="AV151" s="9" t="inlineStr">
        <is>
          <t>1 holder, 1 answered the survey; sub-family 2 answered</t>
        </is>
      </c>
    </row>
    <row r="152">
      <c r="A152" s="94" t="inlineStr">
        <is>
          <t>Project &amp; Program Management — 8 roles · 18 people</t>
        </is>
      </c>
    </row>
    <row r="153" ht="80" customHeight="1">
      <c r="A153" s="17" t="inlineStr">
        <is>
          <t>RC-131</t>
        </is>
      </c>
      <c r="B153" s="9" t="inlineStr">
        <is>
          <t>Project &amp; Program Management</t>
        </is>
      </c>
      <c r="C153" s="9" t="inlineStr">
        <is>
          <t>Delivery Leadership</t>
        </is>
      </c>
      <c r="D153" s="27" t="inlineStr">
        <is>
          <t>C2</t>
        </is>
      </c>
      <c r="E153" s="28" t="inlineStr">
        <is>
          <t>Head of Function</t>
        </is>
      </c>
      <c r="F153" s="9" t="inlineStr">
        <is>
          <t>Manager</t>
        </is>
      </c>
      <c r="G153" s="9" t="inlineStr">
        <is>
          <t>Head – Delivery</t>
        </is>
      </c>
      <c r="H153" s="8" t="n">
        <v>1</v>
      </c>
      <c r="I153" s="9" t="inlineStr">
        <is>
          <t>iFile 1</t>
        </is>
      </c>
      <c r="J153" s="9" t="inlineStr">
        <is>
          <t>Leads the project &amp; program management function. At C2: a function or department, or a company-wide discipline.</t>
        </is>
      </c>
      <c r="K153" s="9" t="inlineStr">
        <is>
          <t>Leads the project &amp; program management function; Function-wide or company-wide problems; creates methods and standards; Function results, budget and risk</t>
        </is>
      </c>
      <c r="L153" s="9" t="inlineStr">
        <is>
          <t>Function results, budget and risk</t>
        </is>
      </c>
      <c r="M153" s="9" t="inlineStr">
        <is>
          <t>Function results, budget and risk</t>
        </is>
      </c>
      <c r="N153" s="9" t="inlineStr">
        <is>
          <t>Sets direction for a function</t>
        </is>
      </c>
      <c r="O153" s="9" t="inlineStr">
        <is>
          <t>—</t>
        </is>
      </c>
      <c r="P153" s="9" t="inlineStr">
        <is>
          <t>—</t>
        </is>
      </c>
      <c r="Q153" s="9" t="inlineStr">
        <is>
          <t>—</t>
        </is>
      </c>
      <c r="R153" s="9" t="inlineStr">
        <is>
          <t>A function or department, or a company-wide discipline</t>
        </is>
      </c>
      <c r="S153" s="9" t="inlineStr">
        <is>
          <t>Function-wide or company-wide problems; creates methods and standards</t>
        </is>
      </c>
      <c r="T153" s="9" t="inlineStr">
        <is>
          <t>Sets direction for a function</t>
        </is>
      </c>
      <c r="U153" s="9" t="inlineStr">
        <is>
          <t>Function results, budget and risk</t>
        </is>
      </c>
      <c r="V153" s="9" t="inlineStr">
        <is>
          <t>Leads a function; shapes functional strategy</t>
        </is>
      </c>
      <c r="W153" s="9" t="inlineStr">
        <is>
          <t>12–17 yrs</t>
        </is>
      </c>
      <c r="X153" s="9" t="inlineStr">
        <is>
          <t>Postgraduate / professional qualification preferred</t>
        </is>
      </c>
      <c r="Y153" s="9" t="inlineStr">
        <is>
          <t>PMP / PRINCE2 / CSM / SAFe</t>
        </is>
      </c>
      <c r="Z153" s="9" t="inlineStr">
        <is>
          <t>5–8 managers / associate heads</t>
        </is>
      </c>
      <c r="AA153" s="9" t="inlineStr">
        <is>
          <t>Core 4 · Future-ready 4 · Functional 5 · Leadership 4</t>
        </is>
      </c>
      <c r="AB153" s="9" t="inlineStr">
        <is>
          <t>Project, Program &amp; Agile Management · Stakeholder &amp; Client Management</t>
        </is>
      </c>
      <c r="AC153" s="9" t="inlineStr">
        <is>
          <t>Communication &amp; Presentation · Process Improvement &amp; Quality Mindset · Strategic Thinking &amp; Business Acumen · Product, Platform &amp; Domain Knowledge</t>
        </is>
      </c>
      <c r="AD153" s="8" t="inlineStr">
        <is>
          <t>P7 / M6</t>
        </is>
      </c>
      <c r="AE153" s="8" t="inlineStr">
        <is>
          <t>6 Initiate, influence</t>
        </is>
      </c>
      <c r="AF153" s="9" t="inlineStr">
        <is>
          <t>IRIS Vs Competitor Benchmark — PMI pathway + SaaS delivery ladder: Director PMO / Delivery</t>
        </is>
      </c>
      <c r="AG153" s="9" t="inlineStr">
        <is>
          <t>PMI PMBOK and Talent Triangle; CAPM · entry → PMP → PgMP; Scrum / SAFe</t>
        </is>
      </c>
      <c r="AH153" s="9" t="inlineStr">
        <is>
          <t>D1 · Chief Specialist / Distinguished Principal · or C+ · Player-Coach transition step if leading people hands-on</t>
        </is>
      </c>
      <c r="AI153" s="9" t="inlineStr">
        <is>
          <t>—</t>
        </is>
      </c>
      <c r="AJ153" s="9" t="inlineStr">
        <is>
          <t>—</t>
        </is>
      </c>
      <c r="AK153" s="9" t="inlineStr">
        <is>
          <t>—</t>
        </is>
      </c>
      <c r="AL153" s="9" t="inlineStr">
        <is>
          <t>—</t>
        </is>
      </c>
      <c r="AM153" s="9" t="inlineStr">
        <is>
          <t>—</t>
        </is>
      </c>
      <c r="AN153" s="9" t="inlineStr">
        <is>
          <t>—</t>
        </is>
      </c>
      <c r="AO153" s="9" t="inlineStr">
        <is>
          <t>Deliver change and govern investment execution. Includes: Project, programme, portfolio and PMO work with distinct mandates. Excludes: Ongoing product strategy; routine service operations.</t>
        </is>
      </c>
      <c r="AP153" s="9" t="inlineStr">
        <is>
          <t>LD11-2 · Head of Delivery / Enterprise PMO</t>
        </is>
      </c>
      <c r="AQ153" s="9" t="inlineStr">
        <is>
          <t>Own integrated function strategy, capacity, controls and cross-team trade-offs</t>
        </is>
      </c>
      <c r="AR153" s="9" t="inlineStr">
        <is>
          <t>Do not manufacture three reporting layers. Choose roles the organisation needs. A specialist may remain on an equally valued expert path.</t>
        </is>
      </c>
      <c r="AS153" s="9" t="inlineStr">
        <is>
          <t>—</t>
        </is>
      </c>
      <c r="AT153" s="9" t="inlineStr">
        <is>
          <t>—</t>
        </is>
      </c>
      <c r="AU153" s="57" t="inlineStr">
        <is>
          <t>Framework only · fewer than 3 answered</t>
        </is>
      </c>
      <c r="AV153" s="9" t="inlineStr">
        <is>
          <t>1 holder, 0 answered the survey; sub-family 0 answered</t>
        </is>
      </c>
    </row>
    <row r="154" ht="80" customHeight="1">
      <c r="A154" s="17" t="inlineStr">
        <is>
          <t>RC-132</t>
        </is>
      </c>
      <c r="B154" s="9" t="inlineStr">
        <is>
          <t>Project &amp; Program Management</t>
        </is>
      </c>
      <c r="C154" s="9" t="inlineStr">
        <is>
          <t>PMO &amp; Delivery Excellence</t>
        </is>
      </c>
      <c r="D154" s="21" t="inlineStr">
        <is>
          <t>B2</t>
        </is>
      </c>
      <c r="E154" s="22" t="inlineStr">
        <is>
          <t>Manager</t>
        </is>
      </c>
      <c r="F154" s="9" t="inlineStr">
        <is>
          <t>Manager</t>
        </is>
      </c>
      <c r="G154" s="9" t="inlineStr">
        <is>
          <t>PMO Manager</t>
        </is>
      </c>
      <c r="H154" s="8" t="n">
        <v>1</v>
      </c>
      <c r="I154" s="9" t="inlineStr">
        <is>
          <t>CARBON 1</t>
        </is>
      </c>
      <c r="J154" s="9" t="inlineStr">
        <is>
          <t>Runs delivery governance, tracking, risk and process-improvement; coaches teams on delivery practices. At B2: deep domain expertise, or one team.</t>
        </is>
      </c>
      <c r="K154" s="9" t="inlineStr">
        <is>
          <t>Runs delivery governance, tracking, risk and process-improvement; coaches teams on delivery practices; Hardest problems in the domain; One team or a client portfolio</t>
        </is>
      </c>
      <c r="L154" s="9" t="inlineStr">
        <is>
          <t>One team or a client portfolio</t>
        </is>
      </c>
      <c r="M154" s="9" t="inlineStr">
        <is>
          <t>One team or a client portfolio</t>
        </is>
      </c>
      <c r="N154" s="9" t="inlineStr">
        <is>
          <t>Allocates people and sets team priorities</t>
        </is>
      </c>
      <c r="O154" s="9" t="inlineStr">
        <is>
          <t>—</t>
        </is>
      </c>
      <c r="P154" s="9" t="inlineStr">
        <is>
          <t>—</t>
        </is>
      </c>
      <c r="Q154" s="9" t="inlineStr">
        <is>
          <t>—</t>
        </is>
      </c>
      <c r="R154" s="9" t="inlineStr">
        <is>
          <t>Deep domain expertise, or one team</t>
        </is>
      </c>
      <c r="S154" s="9" t="inlineStr">
        <is>
          <t>Hardest problems in the domain</t>
        </is>
      </c>
      <c r="T154" s="9" t="inlineStr">
        <is>
          <t>Allocates people and sets team priorities</t>
        </is>
      </c>
      <c r="U154" s="9" t="inlineStr">
        <is>
          <t>One team or a client portfolio</t>
        </is>
      </c>
      <c r="V154" s="9" t="inlineStr">
        <is>
          <r>
            <rPr>
              <rFont val="Calibri"/>
              <b val="1"/>
              <sz val="10"/>
            </rPr>
            <t>IC:</t>
          </r>
          <r>
            <rPr>
              <rFont val="Calibri"/>
              <sz val="10"/>
            </rPr>
            <t xml:space="preserve"> guides others in the domain · People: manages a team of 6+</t>
          </r>
        </is>
      </c>
      <c r="W154" s="9" t="inlineStr">
        <is>
          <t>6–9 yrs</t>
        </is>
      </c>
      <c r="X154" s="9" t="inlineStr">
        <is>
          <t>Graduate or postgraduate; professional qualification preferred</t>
        </is>
      </c>
      <c r="Y154" s="9" t="inlineStr">
        <is>
          <t>PMP / PRINCE2 / CSM / SAFe</t>
        </is>
      </c>
      <c r="Z154" s="9" t="inlineStr">
        <is>
          <r>
            <rPr>
              <rFont val="Calibri"/>
              <b val="1"/>
              <sz val="10"/>
            </rPr>
            <t>IC:</t>
          </r>
          <r>
            <rPr>
              <rFont val="Calibri"/>
              <sz val="10"/>
            </rPr>
            <t xml:space="preserve"> none · People: 6–8 knowledge work, 8–12 standardised delivery</t>
          </r>
        </is>
      </c>
      <c r="AA154" s="9" t="inlineStr">
        <is>
          <t>Core 3 · Future-ready 3 · Functional 4 · Leadership 3</t>
        </is>
      </c>
      <c r="AB154" s="9" t="inlineStr">
        <is>
          <t>Project, Program &amp; Agile Management · Stakeholder &amp; Client Management</t>
        </is>
      </c>
      <c r="AC154" s="9" t="inlineStr">
        <is>
          <t>Communication &amp; Presentation · Process Improvement &amp; Quality Mindset · Strategic Thinking &amp; Business Acumen · Product, Platform &amp; Domain Knowledge</t>
        </is>
      </c>
      <c r="AD154" s="8" t="inlineStr">
        <is>
          <t>P4 / M3</t>
        </is>
      </c>
      <c r="AE154" s="8" t="inlineStr">
        <is>
          <t>4–5</t>
        </is>
      </c>
      <c r="AF154" s="9" t="inlineStr">
        <is>
          <t>IRIS Vs Competitor Benchmark — PMI pathway + SaaS delivery ladder: Senior PM</t>
        </is>
      </c>
      <c r="AG154" s="9" t="inlineStr">
        <is>
          <t>PMI PMBOK and Talent Triangle; CAPM · entry → PMP → PgMP; Scrum / SAFe</t>
        </is>
      </c>
      <c r="AH154" s="9" t="inlineStr">
        <is>
          <t>B3 · Lead Specialist</t>
        </is>
      </c>
      <c r="AI154" s="9" t="inlineStr">
        <is>
          <t>AI / automation · Project / programme management · Data, SQL &amp; analytics · Product &amp; tool knowledge · Strategy &amp; business acumen</t>
        </is>
      </c>
      <c r="AJ154" s="9" t="inlineStr">
        <is>
          <t>—</t>
        </is>
      </c>
      <c r="AK154" s="9" t="inlineStr">
        <is>
          <t>—</t>
        </is>
      </c>
      <c r="AL154" s="9" t="inlineStr">
        <is>
          <t>—</t>
        </is>
      </c>
      <c r="AM154" s="9" t="inlineStr">
        <is>
          <t>—</t>
        </is>
      </c>
      <c r="AN154" s="9" t="inlineStr">
        <is>
          <t>—</t>
        </is>
      </c>
      <c r="AO154" s="9" t="inlineStr">
        <is>
          <t>Deliver change and govern investment execution. Includes: Project, programme, portfolio and PMO work with distinct mandates. Excludes: Ongoing product strategy; routine service operations.</t>
        </is>
      </c>
      <c r="AP154" s="9" t="inlineStr">
        <is>
          <t>LD11-1 · Delivery / PMO Manager</t>
        </is>
      </c>
      <c r="AQ154" s="9" t="inlineStr">
        <is>
          <t>Own staffing decisions, performance support, service quality and delegated team resources</t>
        </is>
      </c>
      <c r="AR154" s="9" t="inlineStr">
        <is>
          <t>Do not manufacture three reporting layers. Choose roles the organisation needs. A specialist may remain on an equally valued expert path.</t>
        </is>
      </c>
      <c r="AS154" s="9" t="inlineStr">
        <is>
          <t>—</t>
        </is>
      </c>
      <c r="AT154" s="9" t="inlineStr">
        <is>
          <t>—</t>
        </is>
      </c>
      <c r="AU154" s="57" t="inlineStr">
        <is>
          <t>Framework only · fewer than 3 answered</t>
        </is>
      </c>
      <c r="AV154" s="9" t="inlineStr">
        <is>
          <t>1 holder, 1 answered the survey; sub-family 1 answered</t>
        </is>
      </c>
    </row>
    <row r="155" ht="80" customHeight="1">
      <c r="A155" s="17" t="inlineStr">
        <is>
          <t>RC-133</t>
        </is>
      </c>
      <c r="B155" s="9" t="inlineStr">
        <is>
          <t>Project &amp; Program Management</t>
        </is>
      </c>
      <c r="C155" s="9" t="inlineStr">
        <is>
          <t>PMO &amp; Delivery Excellence</t>
        </is>
      </c>
      <c r="D155" s="21" t="inlineStr">
        <is>
          <t>B3</t>
        </is>
      </c>
      <c r="E155" s="22" t="inlineStr">
        <is>
          <t>Lead Specialist</t>
        </is>
      </c>
      <c r="F155" s="9" t="inlineStr">
        <is>
          <t>IC</t>
        </is>
      </c>
      <c r="G155" s="9" t="inlineStr">
        <is>
          <t>Agile Coach</t>
        </is>
      </c>
      <c r="H155" s="8" t="n">
        <v>1</v>
      </c>
      <c r="I155" s="9" t="inlineStr">
        <is>
          <t>Corporate 1</t>
        </is>
      </c>
      <c r="J155" s="9" t="inlineStr">
        <is>
          <t>Runs delivery governance, tracking, risk and process-improvement; coaches teams on delivery practices. At B3: a practice, or several teams through team leads.</t>
        </is>
      </c>
      <c r="K155" s="9" t="inlineStr">
        <is>
          <t>Runs delivery governance, tracking, risk and process-improvement; coaches teams on delivery practices; Sets standards for a practice; cross-team problems; Several teams or a practice</t>
        </is>
      </c>
      <c r="L155" s="9" t="inlineStr">
        <is>
          <t>Several teams or a practice</t>
        </is>
      </c>
      <c r="M155" s="9" t="inlineStr">
        <is>
          <t>Several teams or a practice</t>
        </is>
      </c>
      <c r="N155" s="9" t="inlineStr">
        <is>
          <t>Commercial / strategic calls for the unit</t>
        </is>
      </c>
      <c r="O155" s="9" t="inlineStr">
        <is>
          <t>—</t>
        </is>
      </c>
      <c r="P155" s="9" t="inlineStr">
        <is>
          <t>—</t>
        </is>
      </c>
      <c r="Q155" s="9" t="inlineStr">
        <is>
          <t>—</t>
        </is>
      </c>
      <c r="R155" s="9" t="inlineStr">
        <is>
          <t>A practice, or several teams through team leads</t>
        </is>
      </c>
      <c r="S155" s="9" t="inlineStr">
        <is>
          <t>Sets standards for a practice; cross-team problems</t>
        </is>
      </c>
      <c r="T155" s="9" t="inlineStr">
        <is>
          <t>Commercial / strategic calls for the unit</t>
        </is>
      </c>
      <c r="U155" s="9" t="inlineStr">
        <is>
          <t>Several teams or a practice</t>
        </is>
      </c>
      <c r="V155" s="9" t="inlineStr">
        <is>
          <r>
            <rPr>
              <rFont val="Calibri"/>
              <b val="1"/>
              <sz val="10"/>
            </rPr>
            <t>IC:</t>
          </r>
          <r>
            <rPr>
              <rFont val="Calibri"/>
              <sz val="10"/>
            </rPr>
            <t xml:space="preserve"> leads a practice · People: team leads / managers report in</t>
          </r>
        </is>
      </c>
      <c r="W155" s="9" t="inlineStr">
        <is>
          <t>8–12 yrs</t>
        </is>
      </c>
      <c r="X155" s="9" t="inlineStr">
        <is>
          <t>Postgraduate or professional qualification preferred</t>
        </is>
      </c>
      <c r="Y155" s="9" t="inlineStr">
        <is>
          <t>PMP / PRINCE2 / CSM / SAFe</t>
        </is>
      </c>
      <c r="Z155" s="9" t="inlineStr">
        <is>
          <r>
            <rPr>
              <rFont val="Calibri"/>
              <b val="1"/>
              <sz val="10"/>
            </rPr>
            <t>IC:</t>
          </r>
          <r>
            <rPr>
              <rFont val="Calibri"/>
              <sz val="10"/>
            </rPr>
            <t xml:space="preserve"> none · People: 5–8 incl. team leads</t>
          </r>
        </is>
      </c>
      <c r="AA155" s="9" t="inlineStr">
        <is>
          <t>Core 4 · Future-ready 3 · Functional 4 · Leadership 3</t>
        </is>
      </c>
      <c r="AB155" s="9" t="inlineStr">
        <is>
          <t>Project, Program &amp; Agile Management · Stakeholder &amp; Client Management</t>
        </is>
      </c>
      <c r="AC155" s="9" t="inlineStr">
        <is>
          <t>Communication &amp; Presentation · Process Improvement &amp; Quality Mindset · Strategic Thinking &amp; Business Acumen · Product, Platform &amp; Domain Knowledge</t>
        </is>
      </c>
      <c r="AD155" s="8" t="inlineStr">
        <is>
          <t>P5 / M4</t>
        </is>
      </c>
      <c r="AE155" s="8" t="inlineStr">
        <is>
          <t>5 Ensure, advise</t>
        </is>
      </c>
      <c r="AF155" s="9" t="inlineStr">
        <is>
          <t>IRIS Vs Competitor Benchmark — PMI pathway + SaaS delivery ladder: Program Manager · PgMP · Infosys / Accenture: JL6B Project Manager · L7 Manager</t>
        </is>
      </c>
      <c r="AG155" s="9" t="inlineStr">
        <is>
          <t>PMI PMBOK and Talent Triangle; CAPM · entry → PMP → PgMP; Scrum / SAFe</t>
        </is>
      </c>
      <c r="AH155" s="9" t="inlineStr">
        <is>
          <t>C1 · Principal · or B+ · Player-Coach transition step if leading people hands-on</t>
        </is>
      </c>
      <c r="AI155" s="9" t="inlineStr">
        <is>
          <t>—</t>
        </is>
      </c>
      <c r="AJ155" s="9" t="inlineStr">
        <is>
          <t>—</t>
        </is>
      </c>
      <c r="AK155" s="9" t="inlineStr">
        <is>
          <t>—</t>
        </is>
      </c>
      <c r="AL155" s="9" t="inlineStr">
        <is>
          <t>—</t>
        </is>
      </c>
      <c r="AM155" s="9" t="inlineStr">
        <is>
          <t>—</t>
        </is>
      </c>
      <c r="AN155" s="9" t="inlineStr">
        <is>
          <t>—</t>
        </is>
      </c>
      <c r="AO155" s="9" t="inlineStr">
        <is>
          <t>Deliver change and govern investment execution. Includes: Project, programme, portfolio and PMO work with distinct mandates. Excludes: Ongoing product strategy; routine service operations.</t>
        </is>
      </c>
      <c r="AP155" s="9" t="inlineStr">
        <is>
          <t>PMO02-4 · PMO Lead</t>
        </is>
      </c>
      <c r="AQ155" s="9" t="inlineStr">
        <is>
          <t>Design governance that changes investment and delivery decisions.</t>
        </is>
      </c>
      <c r="AR155" s="9" t="inlineStr">
        <is>
          <t>Adoption beyond own work; recurring authority and measurable wider outcomes.</t>
        </is>
      </c>
      <c r="AS155" s="9" t="inlineStr">
        <is>
          <t>A PMO decision pack with reconciled data, risks and actions that improve delivery</t>
        </is>
      </c>
      <c r="AT155" s="9" t="inlineStr">
        <is>
          <r>
            <rPr>
              <rFont val="Calibri"/>
              <b val="1"/>
              <sz val="10"/>
            </rPr>
            <t>Workiva:</t>
          </r>
          <r>
            <rPr>
              <rFont val="Calibri"/>
              <sz val="10"/>
            </rPr>
            <t xml:space="preserve"> Lead program manager · Related work. Gap: Programme posting supports complex delivery, not every project or PMO stage</t>
          </r>
        </is>
      </c>
      <c r="AU155" s="57" t="inlineStr">
        <is>
          <t>Framework only · fewer than 3 answered</t>
        </is>
      </c>
      <c r="AV155" s="9" t="inlineStr">
        <is>
          <t>1 holder, 0 answered the survey; sub-family 1 answered</t>
        </is>
      </c>
    </row>
    <row r="156" ht="106" customHeight="1">
      <c r="A156" s="17" t="inlineStr">
        <is>
          <t>RC-134</t>
        </is>
      </c>
      <c r="B156" s="9" t="inlineStr">
        <is>
          <t>Project &amp; Program Management</t>
        </is>
      </c>
      <c r="C156" s="9" t="inlineStr">
        <is>
          <t>Project &amp; Program Delivery</t>
        </is>
      </c>
      <c r="D156" s="21" t="inlineStr">
        <is>
          <t>B1</t>
        </is>
      </c>
      <c r="E156" s="22" t="inlineStr">
        <is>
          <t>Specialist</t>
        </is>
      </c>
      <c r="F156" s="9" t="inlineStr">
        <is>
          <t>IC</t>
        </is>
      </c>
      <c r="G156" s="9" t="inlineStr">
        <is>
          <t>Associate Project Manager · Associate Project Manager – POD Lead · Project Manager – POD Lead</t>
        </is>
      </c>
      <c r="H156" s="8" t="n">
        <v>4</v>
      </c>
      <c r="I156" s="9" t="inlineStr">
        <is>
          <t>iFile 3 · iDEAL 1</t>
        </is>
      </c>
      <c r="J156" s="9" t="inlineStr">
        <is>
          <r>
            <rPr>
              <rFont val="Calibri"/>
              <sz val="10"/>
            </rPr>
            <t xml:space="preserve">Plans and delivers projects/programmes to scope, time and cost; manages CRs, risks and stakeholders. At B1: a domain / module, or a small team.
</t>
          </r>
          <r>
            <rPr>
              <rFont val="Calibri"/>
              <b val="1"/>
              <sz val="10"/>
            </rPr>
            <t>Common themes in role-holders' answers:</t>
          </r>
          <r>
            <rPr>
              <rFont val="Calibri"/>
              <sz val="10"/>
            </rPr>
            <t xml:space="preserve"> business · understood · requirements · project</t>
          </r>
        </is>
      </c>
      <c r="K156" s="9" t="inlineStr">
        <is>
          <r>
            <rPr>
              <rFont val="Calibri"/>
              <sz val="10"/>
            </rPr>
            <t xml:space="preserve">Plans and delivers projects/programmes to scope, time and cost; manages CRs, risks and stakeholders; Domain specialist work; A domain or a small team
</t>
          </r>
          <r>
            <rPr>
              <rFont val="Calibri"/>
              <b val="1"/>
              <sz val="10"/>
            </rPr>
            <t>Common themes in role-holders' answers:</t>
          </r>
          <r>
            <rPr>
              <rFont val="Calibri"/>
              <sz val="10"/>
            </rPr>
            <t xml:space="preserve"> management · timelines · delivery · coordination · gathering · requirement</t>
          </r>
        </is>
      </c>
      <c r="L156" s="9" t="inlineStr">
        <is>
          <r>
            <rPr>
              <rFont val="Calibri"/>
              <sz val="10"/>
            </rPr>
            <t xml:space="preserve">A domain or a small team
</t>
          </r>
          <r>
            <rPr>
              <rFont val="Calibri"/>
              <b val="1"/>
              <sz val="10"/>
            </rPr>
            <t>Common themes in role-holders' answers:</t>
          </r>
          <r>
            <rPr>
              <rFont val="Calibri"/>
              <sz val="10"/>
            </rPr>
            <t xml:space="preserve"> project · time</t>
          </r>
        </is>
      </c>
      <c r="M156" s="9" t="inlineStr">
        <is>
          <r>
            <rPr>
              <rFont val="Calibri"/>
              <sz val="10"/>
            </rPr>
            <t xml:space="preserve">A domain or a small team
</t>
          </r>
          <r>
            <rPr>
              <rFont val="Calibri"/>
              <b val="1"/>
              <sz val="10"/>
            </rPr>
            <t>Common themes in role-holders' answers:</t>
          </r>
          <r>
            <rPr>
              <rFont val="Calibri"/>
              <sz val="10"/>
            </rPr>
            <t xml:space="preserve"> client · timelines</t>
          </r>
        </is>
      </c>
      <c r="N156" s="9" t="inlineStr">
        <is>
          <r>
            <rPr>
              <rFont val="Calibri"/>
              <sz val="10"/>
            </rPr>
            <t xml:space="preserve">Technical / QC / client calls for the domain
</t>
          </r>
          <r>
            <rPr>
              <rFont val="Calibri"/>
              <b val="1"/>
              <sz val="10"/>
            </rPr>
            <t>Common themes in role-holders' answers:</t>
          </r>
          <r>
            <rPr>
              <rFont val="Calibri"/>
              <sz val="10"/>
            </rPr>
            <t xml:space="preserve"> client · requirement</t>
          </r>
        </is>
      </c>
      <c r="O156" s="9" t="inlineStr">
        <is>
          <r>
            <rPr>
              <rFont val="Calibri"/>
              <b val="1"/>
              <sz val="10"/>
            </rPr>
            <t>Common themes in manager-set KRAs:</t>
          </r>
          <r>
            <rPr>
              <rFont val="Calibri"/>
              <sz val="10"/>
            </rPr>
            <t xml:space="preserve"> projects · support · maintain · pm · reporting · on-time</t>
          </r>
        </is>
      </c>
      <c r="P156" s="9" t="inlineStr">
        <is>
          <t>Project Management · Stakeholder Management</t>
        </is>
      </c>
      <c r="Q156" s="9" t="inlineStr">
        <is>
          <t>Excel · Quick Scrum</t>
        </is>
      </c>
      <c r="R156" s="9" t="inlineStr">
        <is>
          <t>A domain / module, or a small team</t>
        </is>
      </c>
      <c r="S156" s="9" t="inlineStr">
        <is>
          <t>Domain specialist work</t>
        </is>
      </c>
      <c r="T156" s="9" t="inlineStr">
        <is>
          <t>Technical / QC / client calls for the domain</t>
        </is>
      </c>
      <c r="U156" s="9" t="inlineStr">
        <is>
          <t>A domain or a small team</t>
        </is>
      </c>
      <c r="V156" s="9" t="inlineStr">
        <is>
          <r>
            <rPr>
              <rFont val="Calibri"/>
              <b val="1"/>
              <sz val="10"/>
            </rPr>
            <t>IC:</t>
          </r>
          <r>
            <rPr>
              <rFont val="Calibri"/>
              <sz val="10"/>
            </rPr>
            <t xml:space="preserve"> mentors and reviews · People: hands-on team lead of 3–5</t>
          </r>
        </is>
      </c>
      <c r="W156" s="9" t="inlineStr">
        <is>
          <t>4–7 yrs</t>
        </is>
      </c>
      <c r="X156" s="9" t="inlineStr">
        <is>
          <t>Graduate + relevant qualification or certification preferred</t>
        </is>
      </c>
      <c r="Y156" s="9" t="inlineStr">
        <is>
          <t>PMP / PRINCE2 / CSM / SAFe</t>
        </is>
      </c>
      <c r="Z156" s="9" t="inlineStr">
        <is>
          <r>
            <rPr>
              <rFont val="Calibri"/>
              <b val="1"/>
              <sz val="10"/>
            </rPr>
            <t>IC:</t>
          </r>
          <r>
            <rPr>
              <rFont val="Calibri"/>
              <sz val="10"/>
            </rPr>
            <t xml:space="preserve"> none · Team Lead: 3–5</t>
          </r>
        </is>
      </c>
      <c r="AA156" s="9" t="inlineStr">
        <is>
          <t>Core 3 · Future-ready 3 · Functional 3 · Leadership 1</t>
        </is>
      </c>
      <c r="AB156" s="9" t="inlineStr">
        <is>
          <t>Project, Program &amp; Agile Management · Stakeholder &amp; Client Management</t>
        </is>
      </c>
      <c r="AC156" s="9" t="inlineStr">
        <is>
          <t>Communication &amp; Presentation · Process Improvement &amp; Quality Mindset · Strategic Thinking &amp; Business Acumen · Product, Platform &amp; Domain Knowledge</t>
        </is>
      </c>
      <c r="AD156" s="8" t="inlineStr">
        <is>
          <t>P3 / M2</t>
        </is>
      </c>
      <c r="AE156" s="8" t="inlineStr">
        <is>
          <t>4 Enable</t>
        </is>
      </c>
      <c r="AF156" s="9" t="inlineStr">
        <is>
          <t>IRIS Vs Competitor Benchmark — PMI pathway + SaaS delivery ladder: Project Manager · PMP</t>
        </is>
      </c>
      <c r="AG156" s="9" t="inlineStr">
        <is>
          <t>PMI PMBOK and Talent Triangle; CAPM · entry → PMP → PgMP; Scrum / SAFe</t>
        </is>
      </c>
      <c r="AH156" s="9" t="inlineStr">
        <is>
          <t>B2 · Senior Specialist</t>
        </is>
      </c>
      <c r="AI156" s="9" t="inlineStr">
        <is>
          <t>Project / programme management · Certification / formal course · Leadership &amp; people management · Technical depth &amp; architecture · Strategy &amp; business acumen</t>
        </is>
      </c>
      <c r="AJ156" s="9" t="inlineStr">
        <is>
          <t>pmp · tools · management estimation · estimation reporting/governance · stakeholder management</t>
        </is>
      </c>
      <c r="AK156" s="9" t="inlineStr">
        <is>
          <t>On-the-job / hands-on · Formal / classroom training · Mentoring / guidance from seniors · Certification</t>
        </is>
      </c>
      <c r="AL156" s="9" t="inlineStr">
        <is>
          <t>dependency</t>
        </is>
      </c>
      <c r="AM156" s="9" t="inlineStr">
        <is>
          <t>No common theme</t>
        </is>
      </c>
      <c r="AN156" s="9" t="inlineStr">
        <is>
          <t>3 of 4 say the role is changing because of AI / automation</t>
        </is>
      </c>
      <c r="AO156" s="9" t="inlineStr">
        <is>
          <t>Deliver change and govern investment execution. Includes: Project, programme, portfolio and PMO work with distinct mandates. Excludes: Ongoing product strategy; routine service operations.</t>
        </is>
      </c>
      <c r="AP156" s="9" t="inlineStr">
        <is>
          <t>PMO01-3 · Senior Project Manager</t>
        </is>
      </c>
      <c r="AQ156" s="9" t="inlineStr">
        <is>
          <t>Own complex dependencies, commercial changes and delivery trade-offs.</t>
        </is>
      </c>
      <c r="AR156" s="9" t="inlineStr">
        <is>
          <t>Evidence of complex work, decisions and outcomes beyond routine delivery.</t>
        </is>
      </c>
      <c r="AS156" s="9" t="inlineStr">
        <is>
          <t>A delivered project with baseline, managed changes, acceptance and benefit review</t>
        </is>
      </c>
      <c r="AT156" s="9" t="inlineStr">
        <is>
          <r>
            <rPr>
              <rFont val="Calibri"/>
              <b val="1"/>
              <sz val="10"/>
            </rPr>
            <t>Workiva:</t>
          </r>
          <r>
            <rPr>
              <rFont val="Calibri"/>
              <sz val="10"/>
            </rPr>
            <t xml:space="preserve"> Lead program manager · Related work. Gap: Programme posting supports complex delivery, not every project or PMO stage</t>
          </r>
        </is>
      </c>
      <c r="AU156" s="22" t="inlineStr">
        <is>
          <t>Framework + role-holders' themes · 3+ answered</t>
        </is>
      </c>
      <c r="AV156" s="9" t="inlineStr">
        <is>
          <t>4 holders, 4 answered the survey; sub-family 14 answered</t>
        </is>
      </c>
    </row>
    <row r="157" ht="145" customHeight="1">
      <c r="A157" s="17" t="inlineStr">
        <is>
          <t>RC-135</t>
        </is>
      </c>
      <c r="B157" s="9" t="inlineStr">
        <is>
          <t>Project &amp; Program Management</t>
        </is>
      </c>
      <c r="C157" s="9" t="inlineStr">
        <is>
          <t>Project &amp; Program Delivery</t>
        </is>
      </c>
      <c r="D157" s="21" t="inlineStr">
        <is>
          <t>B2</t>
        </is>
      </c>
      <c r="E157" s="22" t="inlineStr">
        <is>
          <t>Senior Specialist</t>
        </is>
      </c>
      <c r="F157" s="9" t="inlineStr">
        <is>
          <t>IC</t>
        </is>
      </c>
      <c r="G157" s="9" t="inlineStr">
        <is>
          <t>Project Manager</t>
        </is>
      </c>
      <c r="H157" s="8" t="n">
        <v>2</v>
      </c>
      <c r="I157" s="9" t="inlineStr">
        <is>
          <t>CARBON 1 · iFile 1</t>
        </is>
      </c>
      <c r="J157" s="9" t="inlineStr">
        <is>
          <r>
            <rPr>
              <rFont val="Calibri"/>
              <sz val="10"/>
            </rPr>
            <t xml:space="preserve">Plans and delivers projects/programmes to scope, time and cost; manages CRs, risks and stakeholders. At B2: deep domain expertise, or one team.
</t>
          </r>
          <r>
            <rPr>
              <rFont val="Calibri"/>
              <b val="1"/>
              <sz val="10"/>
            </rPr>
            <t>Common themes in sub-family holders, all levels' answers:</t>
          </r>
          <r>
            <rPr>
              <rFont val="Calibri"/>
              <sz val="10"/>
            </rPr>
            <t xml:space="preserve"> project · business · client · manager · management · bridge</t>
          </r>
        </is>
      </c>
      <c r="K157" s="9" t="inlineStr">
        <is>
          <r>
            <rPr>
              <rFont val="Calibri"/>
              <sz val="10"/>
            </rPr>
            <t xml:space="preserve">Plans and delivers projects/programmes to scope, time and cost; manages CRs, risks and stakeholders; Hardest problems in the domain; One team or a client portfolio
</t>
          </r>
          <r>
            <rPr>
              <rFont val="Calibri"/>
              <b val="1"/>
              <sz val="10"/>
            </rPr>
            <t>Common themes in sub-family holders, all levels' answers:</t>
          </r>
          <r>
            <rPr>
              <rFont val="Calibri"/>
              <sz val="10"/>
            </rPr>
            <t xml:space="preserve"> management · project · delivery · client · define · priorities</t>
          </r>
        </is>
      </c>
      <c r="L157" s="9" t="inlineStr">
        <is>
          <r>
            <rPr>
              <rFont val="Calibri"/>
              <sz val="10"/>
            </rPr>
            <t xml:space="preserve">One team or a client portfolio
</t>
          </r>
          <r>
            <rPr>
              <rFont val="Calibri"/>
              <b val="1"/>
              <sz val="10"/>
            </rPr>
            <t>Common themes in sub-family holders, all levels' answers:</t>
          </r>
          <r>
            <rPr>
              <rFont val="Calibri"/>
              <sz val="10"/>
            </rPr>
            <t xml:space="preserve"> project · delivery · product · client · transformation · timely</t>
          </r>
        </is>
      </c>
      <c r="M157" s="9" t="inlineStr">
        <is>
          <r>
            <rPr>
              <rFont val="Calibri"/>
              <sz val="10"/>
            </rPr>
            <t xml:space="preserve">One team or a client portfolio
</t>
          </r>
          <r>
            <rPr>
              <rFont val="Calibri"/>
              <b val="1"/>
              <sz val="10"/>
            </rPr>
            <t>Common themes in sub-family holders, all levels' answers:</t>
          </r>
          <r>
            <rPr>
              <rFont val="Calibri"/>
              <sz val="10"/>
            </rPr>
            <t xml:space="preserve"> delivery · project · accountable · timelines · quality · management</t>
          </r>
        </is>
      </c>
      <c r="N157" s="9" t="inlineStr">
        <is>
          <r>
            <rPr>
              <rFont val="Calibri"/>
              <sz val="10"/>
            </rPr>
            <t xml:space="preserve">Allocates people and sets team priorities
</t>
          </r>
          <r>
            <rPr>
              <rFont val="Calibri"/>
              <b val="1"/>
              <sz val="10"/>
            </rPr>
            <t>Common themes in sub-family holders, all levels' answers:</t>
          </r>
          <r>
            <rPr>
              <rFont val="Calibri"/>
              <sz val="10"/>
            </rPr>
            <t xml:space="preserve"> client · project · issue · product · allocation · delivery</t>
          </r>
        </is>
      </c>
      <c r="O157" s="9" t="inlineStr">
        <is>
          <t>—</t>
        </is>
      </c>
      <c r="P157" s="9" t="inlineStr">
        <is>
          <t>Project Management · Stakeholder management · Requirement analysis</t>
        </is>
      </c>
      <c r="Q157" s="9" t="inlineStr">
        <is>
          <t>Excel · Claude · Quickscrum · Quick Scrum</t>
        </is>
      </c>
      <c r="R157" s="9" t="inlineStr">
        <is>
          <t>Deep domain expertise, or one team</t>
        </is>
      </c>
      <c r="S157" s="9" t="inlineStr">
        <is>
          <t>Hardest problems in the domain</t>
        </is>
      </c>
      <c r="T157" s="9" t="inlineStr">
        <is>
          <t>Allocates people and sets team priorities</t>
        </is>
      </c>
      <c r="U157" s="9" t="inlineStr">
        <is>
          <t>One team or a client portfolio</t>
        </is>
      </c>
      <c r="V157" s="9" t="inlineStr">
        <is>
          <r>
            <rPr>
              <rFont val="Calibri"/>
              <b val="1"/>
              <sz val="10"/>
            </rPr>
            <t>IC:</t>
          </r>
          <r>
            <rPr>
              <rFont val="Calibri"/>
              <sz val="10"/>
            </rPr>
            <t xml:space="preserve"> guides others in the domain · People: manages a team of 6+</t>
          </r>
        </is>
      </c>
      <c r="W157" s="9" t="inlineStr">
        <is>
          <t>6–9 yrs</t>
        </is>
      </c>
      <c r="X157" s="9" t="inlineStr">
        <is>
          <t>Graduate or postgraduate; professional qualification preferred</t>
        </is>
      </c>
      <c r="Y157" s="9" t="inlineStr">
        <is>
          <t>PMP / PRINCE2 / CSM / SAFe</t>
        </is>
      </c>
      <c r="Z157" s="9" t="inlineStr">
        <is>
          <r>
            <rPr>
              <rFont val="Calibri"/>
              <b val="1"/>
              <sz val="10"/>
            </rPr>
            <t>IC:</t>
          </r>
          <r>
            <rPr>
              <rFont val="Calibri"/>
              <sz val="10"/>
            </rPr>
            <t xml:space="preserve"> none · People: 6–8 knowledge work, 8–12 standardised delivery</t>
          </r>
        </is>
      </c>
      <c r="AA157" s="9" t="inlineStr">
        <is>
          <t>Core 3 · Future-ready 3 · Functional 4 · Leadership 2</t>
        </is>
      </c>
      <c r="AB157" s="9" t="inlineStr">
        <is>
          <t>Project, Program &amp; Agile Management · Stakeholder &amp; Client Management</t>
        </is>
      </c>
      <c r="AC157" s="9" t="inlineStr">
        <is>
          <t>Communication &amp; Presentation · Process Improvement &amp; Quality Mindset · Strategic Thinking &amp; Business Acumen · Product, Platform &amp; Domain Knowledge</t>
        </is>
      </c>
      <c r="AD157" s="8" t="inlineStr">
        <is>
          <t>P4 / M3</t>
        </is>
      </c>
      <c r="AE157" s="8" t="inlineStr">
        <is>
          <t>4–5</t>
        </is>
      </c>
      <c r="AF157" s="9" t="inlineStr">
        <is>
          <t>IRIS Vs Competitor Benchmark — PMI pathway + SaaS delivery ladder: Senior PM</t>
        </is>
      </c>
      <c r="AG157" s="9" t="inlineStr">
        <is>
          <t>PMI PMBOK and Talent Triangle; CAPM · entry → PMP → PgMP; Scrum / SAFe</t>
        </is>
      </c>
      <c r="AH157" s="9" t="inlineStr">
        <is>
          <t>B3 · Lead Specialist</t>
        </is>
      </c>
      <c r="AI157" s="9" t="inlineStr">
        <is>
          <t>AI / automation · Project / programme management · Product &amp; tool knowledge · Client, sales &amp; stakeholders · Strategy &amp; business acumen</t>
        </is>
      </c>
      <c r="AJ157" s="9" t="inlineStr">
        <is>
          <t>Agile/Scrum &amp; PMP fundamentals; risk &amp; stakeholder management; estimation; reporting/governance tools | Transition to leadership: people management &amp; delegation, mentoring/coaching, project ownership &amp; stakeholder management, prioritisation under ambiguity, presentation &amp; influence skills</t>
        </is>
      </c>
      <c r="AK157" s="9" t="inlineStr">
        <is>
          <t>Formal / classroom training · Mentoring / guidance from seniors · On-the-job / hands-on · Certification</t>
        </is>
      </c>
      <c r="AL157" s="9" t="inlineStr">
        <is>
          <t>dependency · priorities · client · changes · priority</t>
        </is>
      </c>
      <c r="AM157" s="9" t="inlineStr">
        <is>
          <t>project · responsibilities · reduce · improve · pm</t>
        </is>
      </c>
      <c r="AN157" s="9" t="inlineStr">
        <is>
          <t>10 of 14 say the role is changing because of AI / automation</t>
        </is>
      </c>
      <c r="AO157" s="9" t="inlineStr">
        <is>
          <t>Deliver change and govern investment execution. Includes: Project, programme, portfolio and PMO work with distinct mandates. Excludes: Ongoing product strategy; routine service operations.</t>
        </is>
      </c>
      <c r="AP157" s="9" t="inlineStr">
        <is>
          <t>PMO01-3 · Senior Project Manager</t>
        </is>
      </c>
      <c r="AQ157" s="9" t="inlineStr">
        <is>
          <t>Own complex dependencies, commercial changes and delivery trade-offs.</t>
        </is>
      </c>
      <c r="AR157" s="9" t="inlineStr">
        <is>
          <t>Evidence of complex work, decisions and outcomes beyond routine delivery.</t>
        </is>
      </c>
      <c r="AS157" s="9" t="inlineStr">
        <is>
          <t>A delivered project with baseline, managed changes, acceptance and benefit review</t>
        </is>
      </c>
      <c r="AT157" s="9" t="inlineStr">
        <is>
          <r>
            <rPr>
              <rFont val="Calibri"/>
              <b val="1"/>
              <sz val="10"/>
            </rPr>
            <t>Workiva:</t>
          </r>
          <r>
            <rPr>
              <rFont val="Calibri"/>
              <sz val="10"/>
            </rPr>
            <t xml:space="preserve"> Lead program manager · Related work. Gap: Programme posting supports complex delivery, not every project or PMO stage</t>
          </r>
        </is>
      </c>
      <c r="AU157" s="19" t="inlineStr">
        <is>
          <t>Framework + sub-family themes · 3+ answered</t>
        </is>
      </c>
      <c r="AV157" s="9" t="inlineStr">
        <is>
          <t>2 holders, 2 answered the survey; sub-family 14 answered</t>
        </is>
      </c>
    </row>
    <row r="158" ht="93" customHeight="1">
      <c r="A158" s="17" t="inlineStr">
        <is>
          <t>RC-136</t>
        </is>
      </c>
      <c r="B158" s="9" t="inlineStr">
        <is>
          <t>Project &amp; Program Management</t>
        </is>
      </c>
      <c r="C158" s="9" t="inlineStr">
        <is>
          <t>Project &amp; Program Delivery</t>
        </is>
      </c>
      <c r="D158" s="21" t="inlineStr">
        <is>
          <t>B2</t>
        </is>
      </c>
      <c r="E158" s="22" t="inlineStr">
        <is>
          <t>Manager</t>
        </is>
      </c>
      <c r="F158" s="9" t="inlineStr">
        <is>
          <t>Manager</t>
        </is>
      </c>
      <c r="G158" s="9" t="inlineStr">
        <is>
          <t>Delivery Manager · Project Manager</t>
        </is>
      </c>
      <c r="H158" s="8" t="n">
        <v>7</v>
      </c>
      <c r="I158" s="9" t="inlineStr">
        <is>
          <t>iFile 6 · Consume 1</t>
        </is>
      </c>
      <c r="J158" s="9" t="inlineStr">
        <is>
          <r>
            <rPr>
              <rFont val="Calibri"/>
              <sz val="10"/>
            </rPr>
            <t xml:space="preserve">Plans and delivers projects/programmes to scope, time and cost; manages CRs, risks and stakeholders. At B2: deep domain expertise, or one team.
</t>
          </r>
          <r>
            <rPr>
              <rFont val="Calibri"/>
              <b val="1"/>
              <sz val="10"/>
            </rPr>
            <t>Common themes in role-holders' answers:</t>
          </r>
          <r>
            <rPr>
              <rFont val="Calibri"/>
              <sz val="10"/>
            </rPr>
            <t xml:space="preserve"> project · management · support · business · stakeholder · client</t>
          </r>
        </is>
      </c>
      <c r="K158" s="9" t="inlineStr">
        <is>
          <r>
            <rPr>
              <rFont val="Calibri"/>
              <sz val="10"/>
            </rPr>
            <t xml:space="preserve">Plans and delivers projects/programmes to scope, time and cost; manages CRs, risks and stakeholders; Hardest problems in the domain; One team or a client portfolio
</t>
          </r>
          <r>
            <rPr>
              <rFont val="Calibri"/>
              <b val="1"/>
              <sz val="10"/>
            </rPr>
            <t>Common themes in role-holders' answers:</t>
          </r>
          <r>
            <rPr>
              <rFont val="Calibri"/>
              <sz val="10"/>
            </rPr>
            <t xml:space="preserve"> client · management · project · delivery · documentation</t>
          </r>
        </is>
      </c>
      <c r="L158" s="9" t="inlineStr">
        <is>
          <r>
            <rPr>
              <rFont val="Calibri"/>
              <sz val="10"/>
            </rPr>
            <t xml:space="preserve">One team or a client portfolio
</t>
          </r>
          <r>
            <rPr>
              <rFont val="Calibri"/>
              <b val="1"/>
              <sz val="10"/>
            </rPr>
            <t>Common themes in role-holders' answers:</t>
          </r>
          <r>
            <rPr>
              <rFont val="Calibri"/>
              <sz val="10"/>
            </rPr>
            <t xml:space="preserve"> project</t>
          </r>
        </is>
      </c>
      <c r="M158" s="9" t="inlineStr">
        <is>
          <r>
            <rPr>
              <rFont val="Calibri"/>
              <sz val="10"/>
            </rPr>
            <t xml:space="preserve">One team or a client portfolio
</t>
          </r>
          <r>
            <rPr>
              <rFont val="Calibri"/>
              <b val="1"/>
              <sz val="10"/>
            </rPr>
            <t>Common themes in role-holders' answers:</t>
          </r>
          <r>
            <rPr>
              <rFont val="Calibri"/>
              <sz val="10"/>
            </rPr>
            <t xml:space="preserve"> project · delivery · accountable · deliverables · timelines · scope quality</t>
          </r>
        </is>
      </c>
      <c r="N158" s="9" t="inlineStr">
        <is>
          <r>
            <rPr>
              <rFont val="Calibri"/>
              <sz val="10"/>
            </rPr>
            <t xml:space="preserve">Allocates people and sets team priorities
</t>
          </r>
          <r>
            <rPr>
              <rFont val="Calibri"/>
              <b val="1"/>
              <sz val="10"/>
            </rPr>
            <t>Common themes in role-holders' answers:</t>
          </r>
          <r>
            <rPr>
              <rFont val="Calibri"/>
              <sz val="10"/>
            </rPr>
            <t xml:space="preserve"> project · issue</t>
          </r>
        </is>
      </c>
      <c r="O158" s="9" t="inlineStr">
        <is>
          <r>
            <rPr>
              <rFont val="Calibri"/>
              <b val="1"/>
              <sz val="10"/>
            </rPr>
            <t>Common themes in manager-set KRAs:</t>
          </r>
          <r>
            <rPr>
              <rFont val="Calibri"/>
              <sz val="10"/>
            </rPr>
            <t xml:space="preserve"> project · management · level · support · scope · client</t>
          </r>
        </is>
      </c>
      <c r="P158" s="9" t="inlineStr">
        <is>
          <t>Project Management · Stakeholder management</t>
        </is>
      </c>
      <c r="Q158" s="9" t="inlineStr">
        <is>
          <t>Claude</t>
        </is>
      </c>
      <c r="R158" s="9" t="inlineStr">
        <is>
          <t>Deep domain expertise, or one team</t>
        </is>
      </c>
      <c r="S158" s="9" t="inlineStr">
        <is>
          <t>Hardest problems in the domain</t>
        </is>
      </c>
      <c r="T158" s="9" t="inlineStr">
        <is>
          <t>Allocates people and sets team priorities</t>
        </is>
      </c>
      <c r="U158" s="9" t="inlineStr">
        <is>
          <t>One team or a client portfolio</t>
        </is>
      </c>
      <c r="V158" s="9" t="inlineStr">
        <is>
          <r>
            <rPr>
              <rFont val="Calibri"/>
              <b val="1"/>
              <sz val="10"/>
            </rPr>
            <t>IC:</t>
          </r>
          <r>
            <rPr>
              <rFont val="Calibri"/>
              <sz val="10"/>
            </rPr>
            <t xml:space="preserve"> guides others in the domain · People: manages a team of 6+</t>
          </r>
        </is>
      </c>
      <c r="W158" s="9" t="inlineStr">
        <is>
          <t>6–9 yrs</t>
        </is>
      </c>
      <c r="X158" s="9" t="inlineStr">
        <is>
          <t>Graduate or postgraduate; professional qualification preferred</t>
        </is>
      </c>
      <c r="Y158" s="9" t="inlineStr">
        <is>
          <t>PMP / PRINCE2 / CSM / SAFe</t>
        </is>
      </c>
      <c r="Z158" s="9" t="inlineStr">
        <is>
          <r>
            <rPr>
              <rFont val="Calibri"/>
              <b val="1"/>
              <sz val="10"/>
            </rPr>
            <t>IC:</t>
          </r>
          <r>
            <rPr>
              <rFont val="Calibri"/>
              <sz val="10"/>
            </rPr>
            <t xml:space="preserve"> none · People: 6–8 knowledge work, 8–12 standardised delivery</t>
          </r>
        </is>
      </c>
      <c r="AA158" s="9" t="inlineStr">
        <is>
          <t>Core 3 · Future-ready 3 · Functional 4 · Leadership 3</t>
        </is>
      </c>
      <c r="AB158" s="9" t="inlineStr">
        <is>
          <t>Project, Program &amp; Agile Management · Stakeholder &amp; Client Management</t>
        </is>
      </c>
      <c r="AC158" s="9" t="inlineStr">
        <is>
          <t>Communication &amp; Presentation · Process Improvement &amp; Quality Mindset · Strategic Thinking &amp; Business Acumen · Product, Platform &amp; Domain Knowledge</t>
        </is>
      </c>
      <c r="AD158" s="8" t="inlineStr">
        <is>
          <t>P4 / M3</t>
        </is>
      </c>
      <c r="AE158" s="8" t="inlineStr">
        <is>
          <t>4–5</t>
        </is>
      </c>
      <c r="AF158" s="9" t="inlineStr">
        <is>
          <t>IRIS Vs Competitor Benchmark — PMI pathway + SaaS delivery ladder: Senior PM</t>
        </is>
      </c>
      <c r="AG158" s="9" t="inlineStr">
        <is>
          <t>PMI PMBOK and Talent Triangle; CAPM · entry → PMP → PgMP; Scrum / SAFe</t>
        </is>
      </c>
      <c r="AH158" s="9" t="inlineStr">
        <is>
          <t>B3 · Lead Specialist</t>
        </is>
      </c>
      <c r="AI158" s="9" t="inlineStr">
        <is>
          <t>Domain, regulatory &amp; XBRL · Product &amp; tool knowledge · Broader exposure &amp; ownership · Project / programme management · Certification / formal course</t>
        </is>
      </c>
      <c r="AJ158" s="9" t="inlineStr">
        <is>
          <t>goal-setting · pmp fundamentals · estimation reporting/governance · stakeholder management · succession</t>
        </is>
      </c>
      <c r="AK158" s="9" t="inlineStr">
        <is>
          <t>Formal / classroom training · Mentoring / guidance from seniors</t>
        </is>
      </c>
      <c r="AL158" s="9" t="inlineStr">
        <is>
          <t>client</t>
        </is>
      </c>
      <c r="AM158" s="9" t="inlineStr">
        <is>
          <t>responsibilities · clarity · reduce · support · improve</t>
        </is>
      </c>
      <c r="AN158" s="9" t="inlineStr">
        <is>
          <t>4 of 7 say the role is changing because of AI / automation</t>
        </is>
      </c>
      <c r="AO158" s="9" t="inlineStr">
        <is>
          <t>Deliver change and govern investment execution. Includes: Project, programme, portfolio and PMO work with distinct mandates. Excludes: Ongoing product strategy; routine service operations.</t>
        </is>
      </c>
      <c r="AP158" s="9" t="inlineStr">
        <is>
          <t>LD11-1 · Delivery / PMO Manager</t>
        </is>
      </c>
      <c r="AQ158" s="9" t="inlineStr">
        <is>
          <t>Own staffing decisions, performance support, service quality and delegated team resources</t>
        </is>
      </c>
      <c r="AR158" s="9" t="inlineStr">
        <is>
          <t>Do not manufacture three reporting layers. Choose roles the organisation needs. A specialist may remain on an equally valued expert path.</t>
        </is>
      </c>
      <c r="AS158" s="9" t="inlineStr">
        <is>
          <t>—</t>
        </is>
      </c>
      <c r="AT158" s="9" t="inlineStr">
        <is>
          <t>—</t>
        </is>
      </c>
      <c r="AU158" s="22" t="inlineStr">
        <is>
          <t>Framework + role-holders' themes · 3+ answered</t>
        </is>
      </c>
      <c r="AV158" s="9" t="inlineStr">
        <is>
          <t>7 holders, 7 answered the survey; sub-family 14 answered</t>
        </is>
      </c>
    </row>
    <row r="159" ht="119" customHeight="1">
      <c r="A159" s="17" t="inlineStr">
        <is>
          <t>RC-137</t>
        </is>
      </c>
      <c r="B159" s="9" t="inlineStr">
        <is>
          <t>Project &amp; Program Management</t>
        </is>
      </c>
      <c r="C159" s="9" t="inlineStr">
        <is>
          <t>Project &amp; Program Delivery</t>
        </is>
      </c>
      <c r="D159" s="21" t="inlineStr">
        <is>
          <t>B3</t>
        </is>
      </c>
      <c r="E159" s="22" t="inlineStr">
        <is>
          <t>Lead Specialist</t>
        </is>
      </c>
      <c r="F159" s="9" t="inlineStr">
        <is>
          <t>IC</t>
        </is>
      </c>
      <c r="G159" s="9" t="inlineStr">
        <is>
          <t>Program Manager</t>
        </is>
      </c>
      <c r="H159" s="8" t="n">
        <v>1</v>
      </c>
      <c r="I159" s="9" t="inlineStr">
        <is>
          <t>iFile 1</t>
        </is>
      </c>
      <c r="J159" s="9" t="inlineStr">
        <is>
          <r>
            <rPr>
              <rFont val="Calibri"/>
              <sz val="10"/>
            </rPr>
            <t xml:space="preserve">Plans and delivers projects/programmes to scope, time and cost; manages CRs, risks and stakeholders. At B3: a practice, or several teams through team leads.
</t>
          </r>
          <r>
            <rPr>
              <rFont val="Calibri"/>
              <b val="1"/>
              <sz val="10"/>
            </rPr>
            <t>Common themes in sub-family holders, all levels' answers:</t>
          </r>
          <r>
            <rPr>
              <rFont val="Calibri"/>
              <sz val="10"/>
            </rPr>
            <t xml:space="preserve"> project · business · client · manager · management · bridge</t>
          </r>
        </is>
      </c>
      <c r="K159" s="9" t="inlineStr">
        <is>
          <r>
            <rPr>
              <rFont val="Calibri"/>
              <sz val="10"/>
            </rPr>
            <t xml:space="preserve">Plans and delivers projects/programmes to scope, time and cost; manages CRs, risks and stakeholders; Sets standards for a practice; cross-team problems; Several teams or a practice
</t>
          </r>
          <r>
            <rPr>
              <rFont val="Calibri"/>
              <b val="1"/>
              <sz val="10"/>
            </rPr>
            <t>Common themes in sub-family holders, all levels' answers:</t>
          </r>
          <r>
            <rPr>
              <rFont val="Calibri"/>
              <sz val="10"/>
            </rPr>
            <t xml:space="preserve"> management · project · delivery · client · define · priorities</t>
          </r>
        </is>
      </c>
      <c r="L159" s="9" t="inlineStr">
        <is>
          <r>
            <rPr>
              <rFont val="Calibri"/>
              <sz val="10"/>
            </rPr>
            <t xml:space="preserve">Several teams or a practice
</t>
          </r>
          <r>
            <rPr>
              <rFont val="Calibri"/>
              <b val="1"/>
              <sz val="10"/>
            </rPr>
            <t>Common themes in sub-family holders, all levels' answers:</t>
          </r>
          <r>
            <rPr>
              <rFont val="Calibri"/>
              <sz val="10"/>
            </rPr>
            <t xml:space="preserve"> project · delivery · product · client · transformation · timely</t>
          </r>
        </is>
      </c>
      <c r="M159" s="9" t="inlineStr">
        <is>
          <r>
            <rPr>
              <rFont val="Calibri"/>
              <sz val="10"/>
            </rPr>
            <t xml:space="preserve">Several teams or a practice
</t>
          </r>
          <r>
            <rPr>
              <rFont val="Calibri"/>
              <b val="1"/>
              <sz val="10"/>
            </rPr>
            <t>Common themes in sub-family holders, all levels' answers:</t>
          </r>
          <r>
            <rPr>
              <rFont val="Calibri"/>
              <sz val="10"/>
            </rPr>
            <t xml:space="preserve"> delivery · project · accountable · timelines · quality · management</t>
          </r>
        </is>
      </c>
      <c r="N159" s="9" t="inlineStr">
        <is>
          <r>
            <rPr>
              <rFont val="Calibri"/>
              <sz val="10"/>
            </rPr>
            <t xml:space="preserve">Commercial / strategic calls for the unit
</t>
          </r>
          <r>
            <rPr>
              <rFont val="Calibri"/>
              <b val="1"/>
              <sz val="10"/>
            </rPr>
            <t>Common themes in sub-family holders, all levels' answers:</t>
          </r>
          <r>
            <rPr>
              <rFont val="Calibri"/>
              <sz val="10"/>
            </rPr>
            <t xml:space="preserve"> client · project · issue · product · allocation · delivery</t>
          </r>
        </is>
      </c>
      <c r="O159" s="9" t="inlineStr">
        <is>
          <t>—</t>
        </is>
      </c>
      <c r="P159" s="9" t="inlineStr">
        <is>
          <t>Project Management · Stakeholder management · Requirement analysis</t>
        </is>
      </c>
      <c r="Q159" s="9" t="inlineStr">
        <is>
          <t>Excel · Claude · Quickscrum · Quick Scrum</t>
        </is>
      </c>
      <c r="R159" s="9" t="inlineStr">
        <is>
          <t>A practice, or several teams through team leads</t>
        </is>
      </c>
      <c r="S159" s="9" t="inlineStr">
        <is>
          <t>Sets standards for a practice; cross-team problems</t>
        </is>
      </c>
      <c r="T159" s="9" t="inlineStr">
        <is>
          <t>Commercial / strategic calls for the unit</t>
        </is>
      </c>
      <c r="U159" s="9" t="inlineStr">
        <is>
          <t>Several teams or a practice</t>
        </is>
      </c>
      <c r="V159" s="9" t="inlineStr">
        <is>
          <r>
            <rPr>
              <rFont val="Calibri"/>
              <b val="1"/>
              <sz val="10"/>
            </rPr>
            <t>IC:</t>
          </r>
          <r>
            <rPr>
              <rFont val="Calibri"/>
              <sz val="10"/>
            </rPr>
            <t xml:space="preserve"> leads a practice · People: team leads / managers report in</t>
          </r>
        </is>
      </c>
      <c r="W159" s="9" t="inlineStr">
        <is>
          <t>8–12 yrs</t>
        </is>
      </c>
      <c r="X159" s="9" t="inlineStr">
        <is>
          <t>Postgraduate or professional qualification preferred</t>
        </is>
      </c>
      <c r="Y159" s="9" t="inlineStr">
        <is>
          <t>PMP / PRINCE2 / CSM / SAFe</t>
        </is>
      </c>
      <c r="Z159" s="9" t="inlineStr">
        <is>
          <r>
            <rPr>
              <rFont val="Calibri"/>
              <b val="1"/>
              <sz val="10"/>
            </rPr>
            <t>IC:</t>
          </r>
          <r>
            <rPr>
              <rFont val="Calibri"/>
              <sz val="10"/>
            </rPr>
            <t xml:space="preserve"> none · People: 5–8 incl. team leads</t>
          </r>
        </is>
      </c>
      <c r="AA159" s="9" t="inlineStr">
        <is>
          <t>Core 4 · Future-ready 3 · Functional 4 · Leadership 3</t>
        </is>
      </c>
      <c r="AB159" s="9" t="inlineStr">
        <is>
          <t>Project, Program &amp; Agile Management · Stakeholder &amp; Client Management</t>
        </is>
      </c>
      <c r="AC159" s="9" t="inlineStr">
        <is>
          <t>Communication &amp; Presentation · Process Improvement &amp; Quality Mindset · Strategic Thinking &amp; Business Acumen · Product, Platform &amp; Domain Knowledge</t>
        </is>
      </c>
      <c r="AD159" s="8" t="inlineStr">
        <is>
          <t>P5 / M4</t>
        </is>
      </c>
      <c r="AE159" s="8" t="inlineStr">
        <is>
          <t>5 Ensure, advise</t>
        </is>
      </c>
      <c r="AF159" s="9" t="inlineStr">
        <is>
          <t>IRIS Vs Competitor Benchmark — PMI pathway + SaaS delivery ladder: Program Manager · PgMP · Infosys / Accenture: JL6B Project Manager · L7 Manager</t>
        </is>
      </c>
      <c r="AG159" s="9" t="inlineStr">
        <is>
          <t>PMI PMBOK and Talent Triangle; CAPM · entry → PMP → PgMP; Scrum / SAFe</t>
        </is>
      </c>
      <c r="AH159" s="9" t="inlineStr">
        <is>
          <t>C1 · Principal · or B+ · Player-Coach transition step if leading people hands-on</t>
        </is>
      </c>
      <c r="AI159" s="9" t="inlineStr">
        <is>
          <t>—</t>
        </is>
      </c>
      <c r="AJ159" s="9" t="inlineStr">
        <is>
          <t>SupTech Domain, Tax Domain</t>
        </is>
      </c>
      <c r="AK159" s="9" t="inlineStr">
        <is>
          <t>Formal / classroom training · Mentoring / guidance from seniors · On-the-job / hands-on · Certification</t>
        </is>
      </c>
      <c r="AL159" s="9" t="inlineStr">
        <is>
          <t>dependency · priorities · client · changes · priority</t>
        </is>
      </c>
      <c r="AM159" s="9" t="inlineStr">
        <is>
          <t>project · responsibilities · reduce · improve · pm</t>
        </is>
      </c>
      <c r="AN159" s="9" t="inlineStr">
        <is>
          <t>10 of 14 say the role is changing because of AI / automation</t>
        </is>
      </c>
      <c r="AO159" s="9" t="inlineStr">
        <is>
          <t>Deliver change and govern investment execution. Includes: Project, programme, portfolio and PMO work with distinct mandates. Excludes: Ongoing product strategy; routine service operations.</t>
        </is>
      </c>
      <c r="AP159" s="9" t="inlineStr">
        <is>
          <t>PMO01-4 · Programme Manager · transition</t>
        </is>
      </c>
      <c r="AQ159" s="9" t="inlineStr">
        <is>
          <t>Enter programme work through benefits and multi-project accountability, not tenure.</t>
        </is>
      </c>
      <c r="AR159" s="9" t="inlineStr">
        <is>
          <t>Adoption beyond own work; recurring authority and measurable wider outcomes.</t>
        </is>
      </c>
      <c r="AS159" s="9" t="inlineStr">
        <is>
          <t>A delivered project with baseline, managed changes, acceptance and benefit review</t>
        </is>
      </c>
      <c r="AT159" s="9" t="inlineStr">
        <is>
          <r>
            <rPr>
              <rFont val="Calibri"/>
              <b val="1"/>
              <sz val="10"/>
            </rPr>
            <t>Workiva:</t>
          </r>
          <r>
            <rPr>
              <rFont val="Calibri"/>
              <sz val="10"/>
            </rPr>
            <t xml:space="preserve"> Lead program manager · Related work. Gap: Programme posting supports complex delivery, not every project or PMO stage</t>
          </r>
        </is>
      </c>
      <c r="AU159" s="19" t="inlineStr">
        <is>
          <t>Framework + sub-family themes · 3+ answered</t>
        </is>
      </c>
      <c r="AV159" s="9" t="inlineStr">
        <is>
          <t>1 holder, 0 answered the survey; sub-family 14 answered</t>
        </is>
      </c>
    </row>
    <row r="160" ht="145" customHeight="1">
      <c r="A160" s="17" t="inlineStr">
        <is>
          <t>RC-138</t>
        </is>
      </c>
      <c r="B160" s="9" t="inlineStr">
        <is>
          <t>Project &amp; Program Management</t>
        </is>
      </c>
      <c r="C160" s="9" t="inlineStr">
        <is>
          <t>Project &amp; Program Delivery</t>
        </is>
      </c>
      <c r="D160" s="24" t="inlineStr">
        <is>
          <t>B+</t>
        </is>
      </c>
      <c r="E160" s="25" t="inlineStr">
        <is>
          <t>Practice Lead · Player-Coach</t>
        </is>
      </c>
      <c r="F160" s="9" t="inlineStr">
        <is>
          <t>IC</t>
        </is>
      </c>
      <c r="G160" s="9" t="inlineStr">
        <is>
          <t>Practice Lead – Project &amp; Program Delivery · Player-Coach</t>
        </is>
      </c>
      <c r="H160" s="8" t="n">
        <v>1</v>
      </c>
      <c r="I160" s="9" t="inlineStr">
        <is>
          <t>iFile 1</t>
        </is>
      </c>
      <c r="J160" s="9" t="inlineStr">
        <is>
          <r>
            <rPr>
              <rFont val="Calibri"/>
              <sz val="10"/>
            </rPr>
            <t xml:space="preserve">Plans and delivers projects/programmes to scope, time and cost; manages CRs, risks and stakeholders. At B+: a practice or product area: does the hardest hands-on work itself and leads 3–6 people · player-coach.
</t>
          </r>
          <r>
            <rPr>
              <rFont val="Calibri"/>
              <b val="1"/>
              <sz val="10"/>
            </rPr>
            <t>Common themes in sub-family holders, all levels' answers:</t>
          </r>
          <r>
            <rPr>
              <rFont val="Calibri"/>
              <sz val="10"/>
            </rPr>
            <t xml:space="preserve"> project · business · client · manager · management · bridge</t>
          </r>
        </is>
      </c>
      <c r="K160" s="9" t="inlineStr">
        <is>
          <r>
            <rPr>
              <rFont val="Calibri"/>
              <sz val="10"/>
            </rPr>
            <t xml:space="preserve">Plans and delivers projects/programmes to scope, time and cost; manages CRs, risks and stakeholders; Principal-level problems in own domain; sets technical or quality standards and still builds; Practice outcomes plus own deliverables; quality and delivery of the team
</t>
          </r>
          <r>
            <rPr>
              <rFont val="Calibri"/>
              <b val="1"/>
              <sz val="10"/>
            </rPr>
            <t>Common themes in sub-family holders, all levels' answers:</t>
          </r>
          <r>
            <rPr>
              <rFont val="Calibri"/>
              <sz val="10"/>
            </rPr>
            <t xml:space="preserve"> management · project · delivery · client · define · priorities</t>
          </r>
        </is>
      </c>
      <c r="L160" s="9" t="inlineStr">
        <is>
          <r>
            <rPr>
              <rFont val="Calibri"/>
              <sz val="10"/>
            </rPr>
            <t xml:space="preserve">Practice outcomes plus own deliverables; quality and delivery of the team
</t>
          </r>
          <r>
            <rPr>
              <rFont val="Calibri"/>
              <b val="1"/>
              <sz val="10"/>
            </rPr>
            <t>Common themes in sub-family holders, all levels' answers:</t>
          </r>
          <r>
            <rPr>
              <rFont val="Calibri"/>
              <sz val="10"/>
            </rPr>
            <t xml:space="preserve"> project · delivery · product · client · transformation · timely</t>
          </r>
        </is>
      </c>
      <c r="M160" s="9" t="inlineStr">
        <is>
          <r>
            <rPr>
              <rFont val="Calibri"/>
              <sz val="10"/>
            </rPr>
            <t xml:space="preserve">Practice outcomes plus own deliverables; quality and delivery of the team
</t>
          </r>
          <r>
            <rPr>
              <rFont val="Calibri"/>
              <b val="1"/>
              <sz val="10"/>
            </rPr>
            <t>Common themes in sub-family holders, all levels' answers:</t>
          </r>
          <r>
            <rPr>
              <rFont val="Calibri"/>
              <sz val="10"/>
            </rPr>
            <t xml:space="preserve"> delivery · project · accountable · timelines · quality · management</t>
          </r>
        </is>
      </c>
      <c r="N160" s="9" t="inlineStr">
        <is>
          <r>
            <rPr>
              <rFont val="Calibri"/>
              <sz val="10"/>
            </rPr>
            <t xml:space="preserve">Decides approach and priorities for the practice; escalates only cross-function trade-offs
</t>
          </r>
          <r>
            <rPr>
              <rFont val="Calibri"/>
              <b val="1"/>
              <sz val="10"/>
            </rPr>
            <t>Common themes in sub-family holders, all levels' answers:</t>
          </r>
          <r>
            <rPr>
              <rFont val="Calibri"/>
              <sz val="10"/>
            </rPr>
            <t xml:space="preserve"> client · project · issue · product · allocation · delivery</t>
          </r>
        </is>
      </c>
      <c r="O160" s="9" t="inlineStr">
        <is>
          <t>—</t>
        </is>
      </c>
      <c r="P160" s="9" t="inlineStr">
        <is>
          <t>Project Management · Stakeholder management · Requirement analysis</t>
        </is>
      </c>
      <c r="Q160" s="9" t="inlineStr">
        <is>
          <t>Excel · Claude · Quickscrum · Quick Scrum</t>
        </is>
      </c>
      <c r="R160" s="9" t="inlineStr">
        <is>
          <r>
            <rPr>
              <rFont val="Calibri"/>
              <b val="1"/>
              <sz val="10"/>
            </rPr>
            <t>A practice or product area:</t>
          </r>
          <r>
            <rPr>
              <rFont val="Calibri"/>
              <sz val="10"/>
            </rPr>
            <t xml:space="preserve"> does the hardest hands-on work itself and leads 3–6 people · player-coach</t>
          </r>
        </is>
      </c>
      <c r="S160" s="9" t="inlineStr">
        <is>
          <t>Principal-level problems in own domain; sets technical or quality standards and still builds</t>
        </is>
      </c>
      <c r="T160" s="9" t="inlineStr">
        <is>
          <t>Decides approach and priorities for the practice; escalates only cross-function trade-offs</t>
        </is>
      </c>
      <c r="U160" s="9" t="inlineStr">
        <is>
          <t>Practice outcomes plus own deliverables; quality and delivery of the team</t>
        </is>
      </c>
      <c r="V160" s="9" t="inlineStr">
        <is>
          <t>Leads 3–6 people · or a pod while remaining a hands-on expert; coaches, allocates, reviews</t>
        </is>
      </c>
      <c r="W160" s="9" t="inlineStr">
        <is>
          <t>9–14 yrs</t>
        </is>
      </c>
      <c r="X160" s="9" t="inlineStr">
        <is>
          <t>Postgraduate or professional qualification preferred</t>
        </is>
      </c>
      <c r="Y160" s="9" t="inlineStr">
        <is>
          <t>PMP / PRINCE2 / CSM / SAFe</t>
        </is>
      </c>
      <c r="Z160" s="9" t="inlineStr">
        <is>
          <t>3–6 direct reports with ≥ 40% of time on own delivery · McKinsey player/coach 3–5; Google Tech Lead Manager</t>
        </is>
      </c>
      <c r="AA160" s="9" t="inlineStr">
        <is>
          <t>Core 4 · Future-ready 4 · Functional 4 · Leadership 4</t>
        </is>
      </c>
      <c r="AB160" s="9" t="inlineStr">
        <is>
          <t>Project, Program &amp; Agile Management · Stakeholder &amp; Client Management</t>
        </is>
      </c>
      <c r="AC160" s="9" t="inlineStr">
        <is>
          <t>Communication &amp; Presentation · Process Improvement &amp; Quality Mindset · Strategic Thinking &amp; Business Acumen · Product, Platform &amp; Domain Knowledge</t>
        </is>
      </c>
      <c r="AD160" s="8" t="inlineStr">
        <is>
          <t>P5–P6 / M4–M5</t>
        </is>
      </c>
      <c r="AE160" s="8" t="inlineStr">
        <is>
          <t>5 Ensure, advise</t>
        </is>
      </c>
      <c r="AF160" s="9" t="inlineStr">
        <is>
          <r>
            <rPr>
              <rFont val="Calibri"/>
              <b val="1"/>
              <sz val="10"/>
            </rPr>
            <t>Google:</t>
          </r>
          <r>
            <rPr>
              <rFont val="Calibri"/>
              <sz val="10"/>
            </rPr>
            <t xml:space="preserve"> Tech Lead Manager · TLM · McKinsey player/coach · 3–5 reports · SaaS: player-coach team lead carrying own work</t>
          </r>
        </is>
      </c>
      <c r="AG160" s="9" t="inlineStr">
        <is>
          <t>PMI PMBOK and Talent Triangle; CAPM · entry → PMP → PgMP; Scrum / SAFe</t>
        </is>
      </c>
      <c r="AH160" s="9" t="inlineStr">
        <is>
          <t>C1 · Principal</t>
        </is>
      </c>
      <c r="AI160" s="9" t="inlineStr">
        <is>
          <t>Strategy &amp; business acumen</t>
        </is>
      </c>
      <c r="AJ160" s="9" t="inlineStr">
        <is>
          <t>TOGAF, Tax Domain</t>
        </is>
      </c>
      <c r="AK160" s="9" t="inlineStr">
        <is>
          <t>Formal / classroom training · Mentoring / guidance from seniors · On-the-job / hands-on · Certification</t>
        </is>
      </c>
      <c r="AL160" s="9" t="inlineStr">
        <is>
          <t>dependency · priorities · client · changes · priority</t>
        </is>
      </c>
      <c r="AM160" s="9" t="inlineStr">
        <is>
          <t>project · responsibilities · reduce · improve · pm</t>
        </is>
      </c>
      <c r="AN160" s="9" t="inlineStr">
        <is>
          <t>10 of 14 say the role is changing because of AI / automation</t>
        </is>
      </c>
      <c r="AO160" s="9" t="inlineStr">
        <is>
          <t>Deliver change and govern investment execution. Includes: Project, programme, portfolio and PMO work with distinct mandates. Excludes: Ongoing product strategy; routine service operations.</t>
        </is>
      </c>
      <c r="AP160" s="9" t="inlineStr">
        <is>
          <t>PMO01-4 · Programme Manager · transition</t>
        </is>
      </c>
      <c r="AQ160" s="9" t="inlineStr">
        <is>
          <t>Enter programme work through benefits and multi-project accountability, not tenure.</t>
        </is>
      </c>
      <c r="AR160" s="9" t="inlineStr">
        <is>
          <t>Adoption beyond own work; recurring authority and measurable wider outcomes.</t>
        </is>
      </c>
      <c r="AS160" s="9" t="inlineStr">
        <is>
          <t>A delivered project with baseline, managed changes, acceptance and benefit review</t>
        </is>
      </c>
      <c r="AT160" s="9" t="inlineStr">
        <is>
          <r>
            <rPr>
              <rFont val="Calibri"/>
              <b val="1"/>
              <sz val="10"/>
            </rPr>
            <t>Workiva:</t>
          </r>
          <r>
            <rPr>
              <rFont val="Calibri"/>
              <sz val="10"/>
            </rPr>
            <t xml:space="preserve"> Lead program manager · Related work. Gap: Programme posting supports complex delivery, not every project or PMO stage</t>
          </r>
        </is>
      </c>
      <c r="AU160" s="19" t="inlineStr">
        <is>
          <t>Framework + sub-family themes · 3+ answered</t>
        </is>
      </c>
      <c r="AV160" s="9" t="inlineStr">
        <is>
          <t>1 holder, 1 answered the survey; sub-family 14 answered</t>
        </is>
      </c>
    </row>
    <row r="161">
      <c r="A161" s="94" t="inlineStr">
        <is>
          <t>Quality Assurance — 10 roles · 38 people</t>
        </is>
      </c>
    </row>
    <row r="162" ht="106" customHeight="1">
      <c r="A162" s="17" t="inlineStr">
        <is>
          <t>RC-139</t>
        </is>
      </c>
      <c r="B162" s="9" t="inlineStr">
        <is>
          <t>Quality Assurance</t>
        </is>
      </c>
      <c r="C162" s="9" t="inlineStr">
        <is>
          <t>Functional &amp; Domain Testing</t>
        </is>
      </c>
      <c r="D162" s="18" t="inlineStr">
        <is>
          <t>A1</t>
        </is>
      </c>
      <c r="E162" s="19" t="inlineStr">
        <is>
          <t>Intern / Trainee</t>
        </is>
      </c>
      <c r="F162" s="9" t="inlineStr">
        <is>
          <t>IC</t>
        </is>
      </c>
      <c r="G162" s="9" t="inlineStr">
        <is>
          <t>Intern – Functional &amp; Domain Testing</t>
        </is>
      </c>
      <c r="H162" s="8" t="n">
        <v>1</v>
      </c>
      <c r="I162" s="9" t="inlineStr">
        <is>
          <t>iFile 1</t>
        </is>
      </c>
      <c r="J162" s="9" t="inlineStr">
        <is>
          <r>
            <rPr>
              <rFont val="Calibri"/>
              <sz val="10"/>
            </rPr>
            <t xml:space="preserve">Designs and executes functional, regression and domain/AI-feature test cases; logs defects; supports sign-off. At A1: learning the role; all work reviewed.
</t>
          </r>
          <r>
            <rPr>
              <rFont val="Calibri"/>
              <b val="1"/>
              <sz val="10"/>
            </rPr>
            <t>Common themes in sub-family holders, all levels' answers:</t>
          </r>
          <r>
            <rPr>
              <rFont val="Calibri"/>
              <sz val="10"/>
            </rPr>
            <t xml:space="preserve"> software · quality · product · requirements · user · before</t>
          </r>
        </is>
      </c>
      <c r="K162" s="9" t="inlineStr">
        <is>
          <r>
            <rPr>
              <rFont val="Calibri"/>
              <sz val="10"/>
            </rPr>
            <t xml:space="preserve">Designs and executes functional, regression and domain/AI-feature test cases; logs defects; supports sign-off; Learning; follows worked examples; Learning tasks
</t>
          </r>
          <r>
            <rPr>
              <rFont val="Calibri"/>
              <b val="1"/>
              <sz val="10"/>
            </rPr>
            <t>Common themes in sub-family holders, all levels' answers:</t>
          </r>
          <r>
            <rPr>
              <rFont val="Calibri"/>
              <sz val="10"/>
            </rPr>
            <t xml:space="preserve"> test · defect · reporting · regression · case · execution</t>
          </r>
        </is>
      </c>
      <c r="L162" s="9" t="inlineStr">
        <is>
          <r>
            <rPr>
              <rFont val="Calibri"/>
              <sz val="10"/>
            </rPr>
            <t xml:space="preserve">Learning tasks
</t>
          </r>
          <r>
            <rPr>
              <rFont val="Calibri"/>
              <b val="1"/>
              <sz val="10"/>
            </rPr>
            <t>Common themes in sub-family holders, all levels' answers:</t>
          </r>
          <r>
            <rPr>
              <rFont val="Calibri"/>
              <sz val="10"/>
            </rPr>
            <t xml:space="preserve"> test · quality · reports · bug · cases · defect</t>
          </r>
        </is>
      </c>
      <c r="M162" s="9" t="inlineStr">
        <is>
          <r>
            <rPr>
              <rFont val="Calibri"/>
              <sz val="10"/>
            </rPr>
            <t xml:space="preserve">Learning tasks
</t>
          </r>
          <r>
            <rPr>
              <rFont val="Calibri"/>
              <b val="1"/>
              <sz val="10"/>
            </rPr>
            <t>Common themes in sub-family holders, all levels' answers:</t>
          </r>
          <r>
            <rPr>
              <rFont val="Calibri"/>
              <sz val="10"/>
            </rPr>
            <t xml:space="preserve"> quality · test · accountable · am · release · reporting</t>
          </r>
        </is>
      </c>
      <c r="N162" s="9" t="inlineStr">
        <is>
          <r>
            <rPr>
              <rFont val="Calibri"/>
              <sz val="10"/>
            </rPr>
            <t xml:space="preserve">Needs approval / close guidance
</t>
          </r>
          <r>
            <rPr>
              <rFont val="Calibri"/>
              <b val="1"/>
              <sz val="10"/>
            </rPr>
            <t>Common themes in sub-family holders, all levels' answers:</t>
          </r>
          <r>
            <rPr>
              <rFont val="Calibri"/>
              <sz val="10"/>
            </rPr>
            <t xml:space="preserve"> test · prioritize · independently · scenarios · identify · issues</t>
          </r>
        </is>
      </c>
      <c r="O162" s="9" t="inlineStr">
        <is>
          <t>—</t>
        </is>
      </c>
      <c r="P162" s="9" t="inlineStr">
        <is>
          <t>Software testing · Test case design · regression testing · Functional testing · Manual Testing · Test Case execution · Analytical thinking · Attention to detail</t>
        </is>
      </c>
      <c r="Q162" s="9" t="inlineStr">
        <is>
          <t>Quickscrum · Postman · Bug tracking tool · Mail access · Visual Studio · Notepad plus plus · Test management tool · Jira</t>
        </is>
      </c>
      <c r="R162" s="9" t="inlineStr">
        <is>
          <t>Learning the role; all work reviewed</t>
        </is>
      </c>
      <c r="S162" s="9" t="inlineStr">
        <is>
          <t>Learning; follows worked examples</t>
        </is>
      </c>
      <c r="T162" s="9" t="inlineStr">
        <is>
          <t>Needs approval / close guidance</t>
        </is>
      </c>
      <c r="U162" s="9" t="inlineStr">
        <is>
          <t>Learning tasks</t>
        </is>
      </c>
      <c r="V162" s="9" t="inlineStr">
        <is>
          <t>Not scored in Band A</t>
        </is>
      </c>
      <c r="W162" s="9" t="inlineStr">
        <is>
          <t>0 yrs · fresher / intern</t>
        </is>
      </c>
      <c r="X162" s="9" t="inlineStr">
        <is>
          <t>Pursuing or completed graduation / diploma</t>
        </is>
      </c>
      <c r="Y162" s="9" t="inlineStr">
        <is>
          <t>ISTQB Foundation / Advanced; Internal product certification</t>
        </is>
      </c>
      <c r="Z162" s="9" t="inlineStr">
        <is>
          <t>No direct reports</t>
        </is>
      </c>
      <c r="AA162" s="9" t="inlineStr">
        <is>
          <t>Core 1 · Future-ready 1 · Functional 1 · Leadership —</t>
        </is>
      </c>
      <c r="AB162" s="9" t="inlineStr">
        <is>
          <t>Test Automation &amp; QA Engineering · Product, Platform &amp; Domain Knowledge</t>
        </is>
      </c>
      <c r="AC162" s="9" t="inlineStr">
        <is>
          <t>Database, SQL &amp; Data Engineering · AI, GenAI &amp; Prompt Engineering · Process Improvement &amp; Quality Mindset · Communication &amp; Presentation</t>
        </is>
      </c>
      <c r="AD162" s="8" t="inlineStr">
        <is>
          <t>Entry / P1 · intern</t>
        </is>
      </c>
      <c r="AE162" s="8" t="inlineStr">
        <is>
          <t>1 Follow</t>
        </is>
      </c>
      <c r="AF162" s="9" t="inlineStr">
        <is>
          <t>—</t>
        </is>
      </c>
      <c r="AG162" s="9" t="inlineStr">
        <is>
          <t>ISTQB Foundation → Advanced → Expert; SFIA testing</t>
        </is>
      </c>
      <c r="AH162" s="9" t="inlineStr">
        <is>
          <t>A2 · Associate</t>
        </is>
      </c>
      <c r="AI162" s="9" t="inlineStr">
        <is>
          <t>AI / automation · Product &amp; tool knowledge</t>
        </is>
      </c>
      <c r="AJ162" s="9" t="inlineStr">
        <is>
          <t>Automation training</t>
        </is>
      </c>
      <c r="AK162" s="9" t="inlineStr">
        <is>
          <t>Formal / classroom training · Mentoring / guidance from seniors · On-the-job / hands-on · Knowledge transfer · KT · Online courses / self-learning · Certification</t>
        </is>
      </c>
      <c r="AL162" s="9" t="inlineStr">
        <is>
          <t>unclear · requirements · frequent · priorities · changing</t>
        </is>
      </c>
      <c r="AM162" s="9" t="inlineStr">
        <is>
          <t>requirement · test · clearer · qa · documentation</t>
        </is>
      </c>
      <c r="AN162" s="9" t="inlineStr">
        <is>
          <t>23 of 26 say the role is changing because of AI / automation</t>
        </is>
      </c>
      <c r="AO162" s="9" t="inlineStr">
        <is>
          <t>Provide systematic product-quality assurance. Includes: Test design, automation, risk-based coverage and quality architecture. Excludes: Data-production checking where the primary output is data.</t>
        </is>
      </c>
      <c r="AP162" s="9" t="inlineStr">
        <is>
          <t>QA01-0 · Testing Intern</t>
        </is>
      </c>
      <c r="AQ162" s="9" t="inlineStr">
        <is>
          <r>
            <rPr>
              <rFont val="Calibri"/>
              <b val="1"/>
              <sz val="10"/>
            </rPr>
            <t>Assist with a supervised work sample:</t>
          </r>
          <r>
            <rPr>
              <rFont val="Calibri"/>
              <sz val="10"/>
            </rPr>
            <t xml:space="preserve"> design tests from requirements and report reproducible defects.</t>
          </r>
        </is>
      </c>
      <c r="AR162" s="9" t="inlineStr">
        <is>
          <t>Reviewed learning assignment; no independent material sign-off.</t>
        </is>
      </c>
      <c r="AS162" s="9" t="inlineStr">
        <is>
          <t>A risk-based test plan with traceability, reproducible defects and release recommendation</t>
        </is>
      </c>
      <c r="AT162" s="9" t="inlineStr">
        <is>
          <r>
            <rPr>
              <rFont val="Calibri"/>
              <b val="1"/>
              <sz val="10"/>
            </rPr>
            <t>Regnology:</t>
          </r>
          <r>
            <rPr>
              <rFont val="Calibri"/>
              <sz val="10"/>
            </rPr>
            <t xml:space="preserve"> Senior Software Engineer, Pune
</t>
          </r>
          <r>
            <rPr>
              <rFont val="Calibri"/>
              <b val="1"/>
              <sz val="10"/>
            </rPr>
            <t>Regnology:</t>
          </r>
          <r>
            <rPr>
              <rFont val="Calibri"/>
              <sz val="10"/>
            </rPr>
            <t xml:space="preserve"> Release Engineer, Pune · Related work. Gap: Competitor engineering roles include testing; dedicated competitor QA levels remain unverified</t>
          </r>
        </is>
      </c>
      <c r="AU162" s="19" t="inlineStr">
        <is>
          <t>Framework + sub-family themes · 3+ answered</t>
        </is>
      </c>
      <c r="AV162" s="9" t="inlineStr">
        <is>
          <t>1 holder, 1 answered the survey; sub-family 26 answered</t>
        </is>
      </c>
    </row>
    <row r="163" ht="119" customHeight="1">
      <c r="A163" s="17" t="inlineStr">
        <is>
          <t>RC-140</t>
        </is>
      </c>
      <c r="B163" s="9" t="inlineStr">
        <is>
          <t>Quality Assurance</t>
        </is>
      </c>
      <c r="C163" s="9" t="inlineStr">
        <is>
          <t>Functional &amp; Domain Testing</t>
        </is>
      </c>
      <c r="D163" s="18" t="inlineStr">
        <is>
          <t>A2</t>
        </is>
      </c>
      <c r="E163" s="19" t="inlineStr">
        <is>
          <t>Associate</t>
        </is>
      </c>
      <c r="F163" s="9" t="inlineStr">
        <is>
          <t>IC</t>
        </is>
      </c>
      <c r="G163" s="9" t="inlineStr">
        <is>
          <t>QA Engineer</t>
        </is>
      </c>
      <c r="H163" s="8" t="n">
        <v>1</v>
      </c>
      <c r="I163" s="9" t="inlineStr">
        <is>
          <t>iFile 1</t>
        </is>
      </c>
      <c r="J163" s="9" t="inlineStr">
        <is>
          <r>
            <rPr>
              <rFont val="Calibri"/>
              <sz val="10"/>
            </rPr>
            <t xml:space="preserve">Designs and executes functional, regression and domain/AI-feature test cases; logs defects; supports sign-off. At A2: standard work delivered independently.
</t>
          </r>
          <r>
            <rPr>
              <rFont val="Calibri"/>
              <b val="1"/>
              <sz val="10"/>
            </rPr>
            <t>Common themes in sub-family holders, all levels' answers:</t>
          </r>
          <r>
            <rPr>
              <rFont val="Calibri"/>
              <sz val="10"/>
            </rPr>
            <t xml:space="preserve"> software · quality · product · requirements · user · before</t>
          </r>
        </is>
      </c>
      <c r="K163" s="9" t="inlineStr">
        <is>
          <r>
            <rPr>
              <rFont val="Calibri"/>
              <sz val="10"/>
            </rPr>
            <t xml:space="preserve">Designs and executes functional, regression and domain/AI-feature test cases; logs defects; supports sign-off; Standard work of the discipline; Own deliverables · accuracy, TAT
</t>
          </r>
          <r>
            <rPr>
              <rFont val="Calibri"/>
              <b val="1"/>
              <sz val="10"/>
            </rPr>
            <t>Common themes in sub-family holders, all levels' answers:</t>
          </r>
          <r>
            <rPr>
              <rFont val="Calibri"/>
              <sz val="10"/>
            </rPr>
            <t xml:space="preserve"> test · defect · reporting · regression · case · execution</t>
          </r>
        </is>
      </c>
      <c r="L163" s="9" t="inlineStr">
        <is>
          <r>
            <rPr>
              <rFont val="Calibri"/>
              <sz val="10"/>
            </rPr>
            <t xml:space="preserve">Own deliverables · accuracy, TAT
</t>
          </r>
          <r>
            <rPr>
              <rFont val="Calibri"/>
              <b val="1"/>
              <sz val="10"/>
            </rPr>
            <t>Common themes in sub-family holders, all levels' answers:</t>
          </r>
          <r>
            <rPr>
              <rFont val="Calibri"/>
              <sz val="10"/>
            </rPr>
            <t xml:space="preserve"> test · quality · reports · bug · cases · defect</t>
          </r>
        </is>
      </c>
      <c r="M163" s="9" t="inlineStr">
        <is>
          <r>
            <rPr>
              <rFont val="Calibri"/>
              <sz val="10"/>
            </rPr>
            <t xml:space="preserve">Own deliverables · accuracy, TAT
</t>
          </r>
          <r>
            <rPr>
              <rFont val="Calibri"/>
              <b val="1"/>
              <sz val="10"/>
            </rPr>
            <t>Common themes in sub-family holders, all levels' answers:</t>
          </r>
          <r>
            <rPr>
              <rFont val="Calibri"/>
              <sz val="10"/>
            </rPr>
            <t xml:space="preserve"> quality · test · accountable · am · release · reporting</t>
          </r>
        </is>
      </c>
      <c r="N163" s="9" t="inlineStr">
        <is>
          <r>
            <rPr>
              <rFont val="Calibri"/>
              <sz val="10"/>
            </rPr>
            <t xml:space="preserve">Chooses own approach within standards
</t>
          </r>
          <r>
            <rPr>
              <rFont val="Calibri"/>
              <b val="1"/>
              <sz val="10"/>
            </rPr>
            <t>Common themes in sub-family holders, all levels' answers:</t>
          </r>
          <r>
            <rPr>
              <rFont val="Calibri"/>
              <sz val="10"/>
            </rPr>
            <t xml:space="preserve"> test · prioritize · independently · scenarios · identify · issues</t>
          </r>
        </is>
      </c>
      <c r="O163" s="9" t="inlineStr">
        <is>
          <t>—</t>
        </is>
      </c>
      <c r="P163" s="9" t="inlineStr">
        <is>
          <t>Software testing · Test case design · regression testing · Functional testing · Manual Testing · Test Case execution · Analytical thinking · Attention to detail</t>
        </is>
      </c>
      <c r="Q163" s="9" t="inlineStr">
        <is>
          <t>Quickscrum · Postman · Bug tracking tool · Mail access · Visual Studio · Notepad plus plus · Test management tool · Jira</t>
        </is>
      </c>
      <c r="R163" s="9" t="inlineStr">
        <is>
          <t>Standard work delivered independently</t>
        </is>
      </c>
      <c r="S163" s="9" t="inlineStr">
        <is>
          <t>Standard work of the discipline</t>
        </is>
      </c>
      <c r="T163" s="9" t="inlineStr">
        <is>
          <t>Chooses own approach within standards</t>
        </is>
      </c>
      <c r="U163" s="9" t="inlineStr">
        <is>
          <t>Own deliverables · accuracy, TAT</t>
        </is>
      </c>
      <c r="V163" s="9" t="inlineStr">
        <is>
          <t>Not scored in Band A</t>
        </is>
      </c>
      <c r="W163" s="9" t="inlineStr">
        <is>
          <t>0–2 yrs</t>
        </is>
      </c>
      <c r="X163" s="9" t="inlineStr">
        <is>
          <t>Graduate · or diploma with experience</t>
        </is>
      </c>
      <c r="Y163" s="9" t="inlineStr">
        <is>
          <t>ISTQB Foundation / Advanced; Internal product certification</t>
        </is>
      </c>
      <c r="Z163" s="9" t="inlineStr">
        <is>
          <t>No direct reports</t>
        </is>
      </c>
      <c r="AA163" s="9" t="inlineStr">
        <is>
          <t>Core 2 · Future-ready 2 · Functional 2 · Leadership —</t>
        </is>
      </c>
      <c r="AB163" s="9" t="inlineStr">
        <is>
          <t>Test Automation &amp; QA Engineering · Product, Platform &amp; Domain Knowledge</t>
        </is>
      </c>
      <c r="AC163" s="9" t="inlineStr">
        <is>
          <t>Database, SQL &amp; Data Engineering · AI, GenAI &amp; Prompt Engineering · Process Improvement &amp; Quality Mindset · Communication &amp; Presentation</t>
        </is>
      </c>
      <c r="AD163" s="8" t="inlineStr">
        <is>
          <t>P1–P2</t>
        </is>
      </c>
      <c r="AE163" s="8" t="inlineStr">
        <is>
          <t>2 Assist</t>
        </is>
      </c>
      <c r="AF163" s="9" t="inlineStr">
        <is>
          <r>
            <rPr>
              <rFont val="Calibri"/>
              <b val="1"/>
              <sz val="10"/>
            </rPr>
            <t>Workiva:</t>
          </r>
          <r>
            <rPr>
              <rFont val="Calibri"/>
              <sz val="10"/>
            </rPr>
            <t xml:space="preserve"> Associate SE · Broadridge India: SE · Nasdaq / AxiomSL: SE · IRIS Vs Market Benchmark — ISTQB certification pathway: Foundation</t>
          </r>
        </is>
      </c>
      <c r="AG163" s="9" t="inlineStr">
        <is>
          <t>ISTQB Foundation → Advanced → Expert; SFIA testing</t>
        </is>
      </c>
      <c r="AH163" s="9" t="inlineStr">
        <is>
          <t>A3 · Senior Associate</t>
        </is>
      </c>
      <c r="AI163" s="9" t="inlineStr">
        <is>
          <t>Communication &amp; presentation · Broader exposure &amp; ownership</t>
        </is>
      </c>
      <c r="AJ163" s="9" t="inlineStr">
        <is>
          <t>—</t>
        </is>
      </c>
      <c r="AK163" s="9" t="inlineStr">
        <is>
          <t>Formal / classroom training · Mentoring / guidance from seniors · On-the-job / hands-on · Knowledge transfer · KT · Online courses / self-learning · Certification</t>
        </is>
      </c>
      <c r="AL163" s="9" t="inlineStr">
        <is>
          <t>unclear · requirements · frequent · priorities · changing</t>
        </is>
      </c>
      <c r="AM163" s="9" t="inlineStr">
        <is>
          <t>requirement · test · clearer · qa · documentation</t>
        </is>
      </c>
      <c r="AN163" s="9" t="inlineStr">
        <is>
          <t>23 of 26 say the role is changing because of AI / automation</t>
        </is>
      </c>
      <c r="AO163" s="9" t="inlineStr">
        <is>
          <t>Provide systematic product-quality assurance. Includes: Test design, automation, risk-based coverage and quality architecture. Excludes: Data-production checking where the primary output is data.</t>
        </is>
      </c>
      <c r="AP163" s="9" t="inlineStr">
        <is>
          <t>QA01-1 · Associate Test Engineer</t>
        </is>
      </c>
      <c r="AQ163" s="9" t="inlineStr">
        <is>
          <r>
            <rPr>
              <rFont val="Calibri"/>
              <b val="1"/>
              <sz val="10"/>
            </rPr>
            <t>Complete defined parts under review:</t>
          </r>
          <r>
            <rPr>
              <rFont val="Calibri"/>
              <sz val="10"/>
            </rPr>
            <t xml:space="preserve"> design tests from requirements and report reproducible defects.</t>
          </r>
        </is>
      </c>
      <c r="AR163" s="9" t="inlineStr">
        <is>
          <t>Repeatable correct delivery, safe escalation and required entry eligibility.</t>
        </is>
      </c>
      <c r="AS163" s="9" t="inlineStr">
        <is>
          <t>A risk-based test plan with traceability, reproducible defects and release recommendation</t>
        </is>
      </c>
      <c r="AT163" s="9" t="inlineStr">
        <is>
          <r>
            <rPr>
              <rFont val="Calibri"/>
              <b val="1"/>
              <sz val="10"/>
            </rPr>
            <t>Regnology:</t>
          </r>
          <r>
            <rPr>
              <rFont val="Calibri"/>
              <sz val="10"/>
            </rPr>
            <t xml:space="preserve"> Senior Software Engineer, Pune
</t>
          </r>
          <r>
            <rPr>
              <rFont val="Calibri"/>
              <b val="1"/>
              <sz val="10"/>
            </rPr>
            <t>Regnology:</t>
          </r>
          <r>
            <rPr>
              <rFont val="Calibri"/>
              <sz val="10"/>
            </rPr>
            <t xml:space="preserve"> Release Engineer, Pune · Related work. Gap: Competitor engineering roles include testing; dedicated competitor QA levels remain unverified</t>
          </r>
        </is>
      </c>
      <c r="AU163" s="19" t="inlineStr">
        <is>
          <t>Framework + sub-family themes · 3+ answered</t>
        </is>
      </c>
      <c r="AV163" s="9" t="inlineStr">
        <is>
          <t>1 holder, 1 answered the survey; sub-family 26 answered</t>
        </is>
      </c>
    </row>
    <row r="164" ht="119" customHeight="1">
      <c r="A164" s="17" t="inlineStr">
        <is>
          <t>RC-141</t>
        </is>
      </c>
      <c r="B164" s="9" t="inlineStr">
        <is>
          <t>Quality Assurance</t>
        </is>
      </c>
      <c r="C164" s="9" t="inlineStr">
        <is>
          <t>Functional &amp; Domain Testing</t>
        </is>
      </c>
      <c r="D164" s="18" t="inlineStr">
        <is>
          <t>A3</t>
        </is>
      </c>
      <c r="E164" s="19" t="inlineStr">
        <is>
          <t>Senior Associate</t>
        </is>
      </c>
      <c r="F164" s="9" t="inlineStr">
        <is>
          <t>IC</t>
        </is>
      </c>
      <c r="G164" s="9" t="inlineStr">
        <is>
          <t>Senior QA Engineer · QA Specialist</t>
        </is>
      </c>
      <c r="H164" s="8" t="n">
        <v>20</v>
      </c>
      <c r="I164" s="9" t="inlineStr">
        <is>
          <t>iFile 11 · CARBON 7 · iDEAL 1 · Datatech 1</t>
        </is>
      </c>
      <c r="J164" s="9" t="inlineStr">
        <is>
          <r>
            <rPr>
              <rFont val="Calibri"/>
              <sz val="10"/>
            </rPr>
            <t xml:space="preserve">Designs and executes functional, regression and domain/AI-feature test cases; logs defects; supports sign-off. At A3: varied work; reviews juniors; go-to for a process.
</t>
          </r>
          <r>
            <rPr>
              <rFont val="Calibri"/>
              <b val="1"/>
              <sz val="10"/>
            </rPr>
            <t>Common themes in role-holders' answers:</t>
          </r>
          <r>
            <rPr>
              <rFont val="Calibri"/>
              <sz val="10"/>
            </rPr>
            <t xml:space="preserve"> software · product · user · quality · works · requirements</t>
          </r>
        </is>
      </c>
      <c r="K164" s="9" t="inlineStr">
        <is>
          <r>
            <rPr>
              <rFont val="Calibri"/>
              <sz val="10"/>
            </rPr>
            <t xml:space="preserve">Designs and executes functional, regression and domain/AI-feature test cases; logs defects; supports sign-off; Varied and non-standard work; handles exceptions; A module / process, or work with client or regulatory consequences
</t>
          </r>
          <r>
            <rPr>
              <rFont val="Calibri"/>
              <b val="1"/>
              <sz val="10"/>
            </rPr>
            <t>Common themes in role-holders' answers:</t>
          </r>
          <r>
            <rPr>
              <rFont val="Calibri"/>
              <sz val="10"/>
            </rPr>
            <t xml:space="preserve"> test · regression · defect · case · reporting · execution</t>
          </r>
        </is>
      </c>
      <c r="L164" s="9" t="inlineStr">
        <is>
          <r>
            <rPr>
              <rFont val="Calibri"/>
              <sz val="10"/>
            </rPr>
            <t xml:space="preserve">A module / process, or work with client or regulatory consequences
</t>
          </r>
          <r>
            <rPr>
              <rFont val="Calibri"/>
              <b val="1"/>
              <sz val="10"/>
            </rPr>
            <t>Common themes in role-holders' answers:</t>
          </r>
          <r>
            <rPr>
              <rFont val="Calibri"/>
              <sz val="10"/>
            </rPr>
            <t xml:space="preserve"> test · quality · reports · cases · product · bug</t>
          </r>
        </is>
      </c>
      <c r="M164" s="9" t="inlineStr">
        <is>
          <r>
            <rPr>
              <rFont val="Calibri"/>
              <sz val="10"/>
            </rPr>
            <t xml:space="preserve">A module / process, or work with client or regulatory consequences
</t>
          </r>
          <r>
            <rPr>
              <rFont val="Calibri"/>
              <b val="1"/>
              <sz val="10"/>
            </rPr>
            <t>Common themes in role-holders' answers:</t>
          </r>
          <r>
            <rPr>
              <rFont val="Calibri"/>
              <sz val="10"/>
            </rPr>
            <t xml:space="preserve"> accountable · quality · am · test · release · missed</t>
          </r>
        </is>
      </c>
      <c r="N164" s="9" t="inlineStr">
        <is>
          <r>
            <rPr>
              <rFont val="Calibri"/>
              <sz val="10"/>
            </rPr>
            <t xml:space="preserve">Technical / QC / client calls on own work
</t>
          </r>
          <r>
            <rPr>
              <rFont val="Calibri"/>
              <b val="1"/>
              <sz val="10"/>
            </rPr>
            <t>Common themes in role-holders' answers:</t>
          </r>
          <r>
            <rPr>
              <rFont val="Calibri"/>
              <sz val="10"/>
            </rPr>
            <t xml:space="preserve"> testing · prioritize · scenarios · independently · cases · routine</t>
          </r>
        </is>
      </c>
      <c r="O164" s="9" t="inlineStr">
        <is>
          <r>
            <rPr>
              <rFont val="Calibri"/>
              <b val="1"/>
              <sz val="10"/>
            </rPr>
            <t>Common themes in manager-set KRAs:</t>
          </r>
          <r>
            <rPr>
              <rFont val="Calibri"/>
              <sz val="10"/>
            </rPr>
            <t xml:space="preserve"> project · qa · quality · production · knowledge · test</t>
          </r>
        </is>
      </c>
      <c r="P164" s="9" t="inlineStr">
        <is>
          <t>Software testing · regression testing · Test case design · Manual Testing · Execution · Test case execution</t>
        </is>
      </c>
      <c r="Q164" s="9" t="inlineStr">
        <is>
          <t>Quickscrum · Mail access · Test management tool · Bug tracking tool · POSTMAN</t>
        </is>
      </c>
      <c r="R164" s="9" t="inlineStr">
        <is>
          <t>Varied work; reviews juniors; go-to for a process</t>
        </is>
      </c>
      <c r="S164" s="9" t="inlineStr">
        <is>
          <t>Varied and non-standard work; handles exceptions</t>
        </is>
      </c>
      <c r="T164" s="9" t="inlineStr">
        <is>
          <t>Technical / QC / client calls on own work</t>
        </is>
      </c>
      <c r="U164" s="9" t="inlineStr">
        <is>
          <t>A module / process, or work with client or regulatory consequences</t>
        </is>
      </c>
      <c r="V164" s="9" t="inlineStr">
        <is>
          <t>Not scored in Band A</t>
        </is>
      </c>
      <c r="W164" s="9" t="inlineStr">
        <is>
          <t>2–4 yrs</t>
        </is>
      </c>
      <c r="X164" s="9" t="inlineStr">
        <is>
          <t>Graduate; relevant certification preferred</t>
        </is>
      </c>
      <c r="Y164" s="9" t="inlineStr">
        <is>
          <t>ISTQB Foundation / Advanced; Internal product certification</t>
        </is>
      </c>
      <c r="Z164" s="9" t="inlineStr">
        <is>
          <t>None · guides 1–3 juniors informally</t>
        </is>
      </c>
      <c r="AA164" s="9" t="inlineStr">
        <is>
          <t>Core 2 · Future-ready 2 · Functional 3 · Leadership —</t>
        </is>
      </c>
      <c r="AB164" s="9" t="inlineStr">
        <is>
          <t>Test Automation &amp; QA Engineering · Product, Platform &amp; Domain Knowledge</t>
        </is>
      </c>
      <c r="AC164" s="9" t="inlineStr">
        <is>
          <t>Database, SQL &amp; Data Engineering · AI, GenAI &amp; Prompt Engineering · Process Improvement &amp; Quality Mindset · Communication &amp; Presentation</t>
        </is>
      </c>
      <c r="AD164" s="8" t="inlineStr">
        <is>
          <t>P2</t>
        </is>
      </c>
      <c r="AE164" s="8" t="inlineStr">
        <is>
          <t>3 Apply</t>
        </is>
      </c>
      <c r="AF164" s="9" t="inlineStr">
        <is>
          <r>
            <rPr>
              <rFont val="Calibri"/>
              <b val="1"/>
              <sz val="10"/>
            </rPr>
            <t>Workiva:</t>
          </r>
          <r>
            <rPr>
              <rFont val="Calibri"/>
              <sz val="10"/>
            </rPr>
            <t xml:space="preserve"> SE · Broadridge India: SE · Nasdaq / AxiomSL: SE · IRIS Vs Market Benchmark — ISTQB certification pathway: Foundation</t>
          </r>
        </is>
      </c>
      <c r="AG164" s="9" t="inlineStr">
        <is>
          <t>ISTQB Foundation → Advanced → Expert; SFIA testing</t>
        </is>
      </c>
      <c r="AH164" s="9" t="inlineStr">
        <is>
          <t>B1 · Specialist</t>
        </is>
      </c>
      <c r="AI164" s="9" t="inlineStr">
        <is>
          <t>AI / automation · Testing &amp; quality · Broader exposure &amp; ownership · Product &amp; tool knowledge · Data, SQL &amp; analytics</t>
        </is>
      </c>
      <c r="AJ164" s="9" t="inlineStr">
        <is>
          <t>automation · training · presentation influence · ownership · stakeholder management</t>
        </is>
      </c>
      <c r="AK164" s="9" t="inlineStr">
        <is>
          <t>Formal / classroom training · On-the-job / hands-on · Mentoring / guidance from seniors · Knowledge transfer · KT · Online courses / self-learning</t>
        </is>
      </c>
      <c r="AL164" s="9" t="inlineStr">
        <is>
          <t>unclear · frequent · requirements · changes · priorities</t>
        </is>
      </c>
      <c r="AM164" s="9" t="inlineStr">
        <is>
          <t>requirement · test · clearer · rework · environments</t>
        </is>
      </c>
      <c r="AN164" s="9" t="inlineStr">
        <is>
          <t>17 of 19 say the role is changing because of AI / automation</t>
        </is>
      </c>
      <c r="AO164" s="9" t="inlineStr">
        <is>
          <t>Provide systematic product-quality assurance. Includes: Test design, automation, risk-based coverage and quality architecture. Excludes: Data-production checking where the primary output is data.</t>
        </is>
      </c>
      <c r="AP164" s="9" t="inlineStr">
        <is>
          <t>QA01-2 · Test Engineer</t>
        </is>
      </c>
      <c r="AQ164" s="9" t="inlineStr">
        <is>
          <t>Design tests from requirements and report reproducible defects.</t>
        </is>
      </c>
      <c r="AR164" s="9" t="inlineStr">
        <is>
          <t>Demonstrate routine delivery plus judgement in bounded exceptions.</t>
        </is>
      </c>
      <c r="AS164" s="9" t="inlineStr">
        <is>
          <t>A risk-based test plan with traceability, reproducible defects and release recommendation</t>
        </is>
      </c>
      <c r="AT164" s="9" t="inlineStr">
        <is>
          <r>
            <rPr>
              <rFont val="Calibri"/>
              <b val="1"/>
              <sz val="10"/>
            </rPr>
            <t>Regnology:</t>
          </r>
          <r>
            <rPr>
              <rFont val="Calibri"/>
              <sz val="10"/>
            </rPr>
            <t xml:space="preserve"> Senior Software Engineer, Pune
</t>
          </r>
          <r>
            <rPr>
              <rFont val="Calibri"/>
              <b val="1"/>
              <sz val="10"/>
            </rPr>
            <t>Regnology:</t>
          </r>
          <r>
            <rPr>
              <rFont val="Calibri"/>
              <sz val="10"/>
            </rPr>
            <t xml:space="preserve"> Release Engineer, Pune · Related work. Gap: Competitor engineering roles include testing; dedicated competitor QA levels remain unverified</t>
          </r>
        </is>
      </c>
      <c r="AU164" s="22" t="inlineStr">
        <is>
          <t>Framework + role-holders' themes · 3+ answered</t>
        </is>
      </c>
      <c r="AV164" s="9" t="inlineStr">
        <is>
          <t>20 holders, 19 answered the survey; sub-family 26 answered</t>
        </is>
      </c>
    </row>
    <row r="165" ht="93" customHeight="1">
      <c r="A165" s="17" t="inlineStr">
        <is>
          <t>RC-142</t>
        </is>
      </c>
      <c r="B165" s="9" t="inlineStr">
        <is>
          <t>Quality Assurance</t>
        </is>
      </c>
      <c r="C165" s="9" t="inlineStr">
        <is>
          <t>Functional &amp; Domain Testing</t>
        </is>
      </c>
      <c r="D165" s="21" t="inlineStr">
        <is>
          <t>B1</t>
        </is>
      </c>
      <c r="E165" s="22" t="inlineStr">
        <is>
          <t>Specialist</t>
        </is>
      </c>
      <c r="F165" s="9" t="inlineStr">
        <is>
          <t>IC</t>
        </is>
      </c>
      <c r="G165" s="9" t="inlineStr">
        <is>
          <t>QA Specialist – POD Lead</t>
        </is>
      </c>
      <c r="H165" s="8" t="n">
        <v>3</v>
      </c>
      <c r="I165" s="9" t="inlineStr">
        <is>
          <t>iFile 3</t>
        </is>
      </c>
      <c r="J165" s="9" t="inlineStr">
        <is>
          <r>
            <rPr>
              <rFont val="Calibri"/>
              <sz val="10"/>
            </rPr>
            <t xml:space="preserve">Designs and executes functional, regression and domain/AI-feature test cases; logs defects; supports sign-off. At B1: a domain / module, or a small team.
</t>
          </r>
          <r>
            <rPr>
              <rFont val="Calibri"/>
              <b val="1"/>
              <sz val="10"/>
            </rPr>
            <t>Common themes in role-holders' answers:</t>
          </r>
          <r>
            <rPr>
              <rFont val="Calibri"/>
              <sz val="10"/>
            </rPr>
            <t xml:space="preserve"> quality · testing · software</t>
          </r>
        </is>
      </c>
      <c r="K165" s="9" t="inlineStr">
        <is>
          <r>
            <rPr>
              <rFont val="Calibri"/>
              <sz val="10"/>
            </rPr>
            <t xml:space="preserve">Designs and executes functional, regression and domain/AI-feature test cases; logs defects; supports sign-off; Domain specialist work; A domain or a small team
</t>
          </r>
          <r>
            <rPr>
              <rFont val="Calibri"/>
              <b val="1"/>
              <sz val="10"/>
            </rPr>
            <t>Common themes in role-holders' answers:</t>
          </r>
          <r>
            <rPr>
              <rFont val="Calibri"/>
              <sz val="10"/>
            </rPr>
            <t xml:space="preserve"> automation testing · review · preparation · defect</t>
          </r>
        </is>
      </c>
      <c r="L165" s="9" t="inlineStr">
        <is>
          <r>
            <rPr>
              <rFont val="Calibri"/>
              <sz val="10"/>
            </rPr>
            <t xml:space="preserve">A domain or a small team
</t>
          </r>
          <r>
            <rPr>
              <rFont val="Calibri"/>
              <b val="1"/>
              <sz val="10"/>
            </rPr>
            <t>Common themes in role-holders' answers:</t>
          </r>
          <r>
            <rPr>
              <rFont val="Calibri"/>
              <sz val="10"/>
            </rPr>
            <t xml:space="preserve"> report</t>
          </r>
        </is>
      </c>
      <c r="M165" s="9" t="inlineStr">
        <is>
          <r>
            <rPr>
              <rFont val="Calibri"/>
              <sz val="10"/>
            </rPr>
            <t xml:space="preserve">A domain or a small team
</t>
          </r>
          <r>
            <rPr>
              <rFont val="Calibri"/>
              <b val="1"/>
              <sz val="10"/>
            </rPr>
            <t>Common themes in role-holders' answers:</t>
          </r>
          <r>
            <rPr>
              <rFont val="Calibri"/>
              <sz val="10"/>
            </rPr>
            <t xml:space="preserve"> deliverables · testing</t>
          </r>
        </is>
      </c>
      <c r="N165" s="9" t="inlineStr">
        <is>
          <t>Technical / QC / client calls for the domain</t>
        </is>
      </c>
      <c r="O165" s="9" t="inlineStr">
        <is>
          <r>
            <rPr>
              <rFont val="Calibri"/>
              <b val="1"/>
              <sz val="10"/>
            </rPr>
            <t>Common themes in manager-set KRAs:</t>
          </r>
          <r>
            <rPr>
              <rFont val="Calibri"/>
              <sz val="10"/>
            </rPr>
            <t xml:space="preserve"> business · portal · testing · maintained · resolution · automation</t>
          </r>
        </is>
      </c>
      <c r="P165" s="9" t="inlineStr">
        <is>
          <t>Software Testing · Functional testing</t>
        </is>
      </c>
      <c r="Q165" s="9" t="inlineStr">
        <is>
          <t>Notepad plus plus · Postman</t>
        </is>
      </c>
      <c r="R165" s="9" t="inlineStr">
        <is>
          <t>A domain / module, or a small team</t>
        </is>
      </c>
      <c r="S165" s="9" t="inlineStr">
        <is>
          <t>Domain specialist work</t>
        </is>
      </c>
      <c r="T165" s="9" t="inlineStr">
        <is>
          <t>Technical / QC / client calls for the domain</t>
        </is>
      </c>
      <c r="U165" s="9" t="inlineStr">
        <is>
          <t>A domain or a small team</t>
        </is>
      </c>
      <c r="V165" s="9" t="inlineStr">
        <is>
          <r>
            <rPr>
              <rFont val="Calibri"/>
              <b val="1"/>
              <sz val="10"/>
            </rPr>
            <t>IC:</t>
          </r>
          <r>
            <rPr>
              <rFont val="Calibri"/>
              <sz val="10"/>
            </rPr>
            <t xml:space="preserve"> mentors and reviews · People: hands-on team lead of 3–5</t>
          </r>
        </is>
      </c>
      <c r="W165" s="9" t="inlineStr">
        <is>
          <t>4–7 yrs</t>
        </is>
      </c>
      <c r="X165" s="9" t="inlineStr">
        <is>
          <t>Graduate + relevant qualification or certification preferred</t>
        </is>
      </c>
      <c r="Y165" s="9" t="inlineStr">
        <is>
          <t>ISTQB Foundation / Advanced; Internal product certification</t>
        </is>
      </c>
      <c r="Z165" s="9" t="inlineStr">
        <is>
          <r>
            <rPr>
              <rFont val="Calibri"/>
              <b val="1"/>
              <sz val="10"/>
            </rPr>
            <t>IC:</t>
          </r>
          <r>
            <rPr>
              <rFont val="Calibri"/>
              <sz val="10"/>
            </rPr>
            <t xml:space="preserve"> none · Team Lead: 3–5</t>
          </r>
        </is>
      </c>
      <c r="AA165" s="9" t="inlineStr">
        <is>
          <t>Core 3 · Future-ready 3 · Functional 3 · Leadership 1</t>
        </is>
      </c>
      <c r="AB165" s="9" t="inlineStr">
        <is>
          <t>Test Automation &amp; QA Engineering · Product, Platform &amp; Domain Knowledge</t>
        </is>
      </c>
      <c r="AC165" s="9" t="inlineStr">
        <is>
          <t>Database, SQL &amp; Data Engineering · AI, GenAI &amp; Prompt Engineering · Process Improvement &amp; Quality Mindset · Communication &amp; Presentation</t>
        </is>
      </c>
      <c r="AD165" s="8" t="inlineStr">
        <is>
          <t>P3 / M2</t>
        </is>
      </c>
      <c r="AE165" s="8" t="inlineStr">
        <is>
          <t>4 Enable</t>
        </is>
      </c>
      <c r="AF165" s="9" t="inlineStr">
        <is>
          <r>
            <rPr>
              <rFont val="Calibri"/>
              <b val="1"/>
              <sz val="10"/>
            </rPr>
            <t>Workiva:</t>
          </r>
          <r>
            <rPr>
              <rFont val="Calibri"/>
              <sz val="10"/>
            </rPr>
            <t xml:space="preserve"> SE / Senior SE · Broadridge India: Senior SE · Nasdaq / AxiomSL: Senior SE · IRIS Vs Market Benchmark — ISTQB certification pathway: Advanced · Test Analyst</t>
          </r>
        </is>
      </c>
      <c r="AG165" s="9" t="inlineStr">
        <is>
          <t>ISTQB Foundation → Advanced → Expert; SFIA testing</t>
        </is>
      </c>
      <c r="AH165" s="9" t="inlineStr">
        <is>
          <t>B2 · Senior Specialist</t>
        </is>
      </c>
      <c r="AI165" s="9" t="inlineStr">
        <is>
          <t>Testing &amp; quality · AI / automation · Strategy &amp; business acumen · Leadership &amp; people management · Client, sales &amp; stakeholders</t>
        </is>
      </c>
      <c r="AJ165" s="9" t="inlineStr">
        <is>
          <t>training · automation · cross-functional influence · succession talent · development change</t>
        </is>
      </c>
      <c r="AK165" s="9" t="inlineStr">
        <is>
          <t>Mentoring / guidance from seniors · On-the-job / hands-on</t>
        </is>
      </c>
      <c r="AL165" s="9" t="inlineStr">
        <is>
          <t>No common theme</t>
        </is>
      </c>
      <c r="AM165" s="9" t="inlineStr">
        <is>
          <t>documentation · requirements · qa</t>
        </is>
      </c>
      <c r="AN165" s="9" t="inlineStr">
        <is>
          <t>3 of 3 say the role is changing because of AI / automation</t>
        </is>
      </c>
      <c r="AO165" s="9" t="inlineStr">
        <is>
          <t>Provide systematic product-quality assurance. Includes: Test design, automation, risk-based coverage and quality architecture. Excludes: Data-production checking where the primary output is data.</t>
        </is>
      </c>
      <c r="AP165" s="9" t="inlineStr">
        <is>
          <t>QA01-3 · Senior Test Engineer</t>
        </is>
      </c>
      <c r="AQ165" s="9" t="inlineStr">
        <is>
          <t>Own risk-based coverage and release-quality recommendations.</t>
        </is>
      </c>
      <c r="AR165" s="9" t="inlineStr">
        <is>
          <t>Evidence of complex work, decisions and outcomes beyond routine delivery.</t>
        </is>
      </c>
      <c r="AS165" s="9" t="inlineStr">
        <is>
          <t>A risk-based test plan with traceability, reproducible defects and release recommendation</t>
        </is>
      </c>
      <c r="AT165" s="9" t="inlineStr">
        <is>
          <r>
            <rPr>
              <rFont val="Calibri"/>
              <b val="1"/>
              <sz val="10"/>
            </rPr>
            <t>Regnology:</t>
          </r>
          <r>
            <rPr>
              <rFont val="Calibri"/>
              <sz val="10"/>
            </rPr>
            <t xml:space="preserve"> Senior Software Engineer, Pune
</t>
          </r>
          <r>
            <rPr>
              <rFont val="Calibri"/>
              <b val="1"/>
              <sz val="10"/>
            </rPr>
            <t>Regnology:</t>
          </r>
          <r>
            <rPr>
              <rFont val="Calibri"/>
              <sz val="10"/>
            </rPr>
            <t xml:space="preserve"> Release Engineer, Pune · Related work. Gap: Competitor engineering roles include testing; dedicated competitor QA levels remain unverified</t>
          </r>
        </is>
      </c>
      <c r="AU165" s="22" t="inlineStr">
        <is>
          <t>Framework + role-holders' themes · 3+ answered</t>
        </is>
      </c>
      <c r="AV165" s="9" t="inlineStr">
        <is>
          <t>3 holders, 3 answered the survey; sub-family 26 answered</t>
        </is>
      </c>
    </row>
    <row r="166" ht="106" customHeight="1">
      <c r="A166" s="17" t="inlineStr">
        <is>
          <t>RC-143</t>
        </is>
      </c>
      <c r="B166" s="9" t="inlineStr">
        <is>
          <t>Quality Assurance</t>
        </is>
      </c>
      <c r="C166" s="9" t="inlineStr">
        <is>
          <t>Functional &amp; Domain Testing</t>
        </is>
      </c>
      <c r="D166" s="21" t="inlineStr">
        <is>
          <t>B1</t>
        </is>
      </c>
      <c r="E166" s="22" t="inlineStr">
        <is>
          <t>Team Lead</t>
        </is>
      </c>
      <c r="F166" s="9" t="inlineStr">
        <is>
          <t>Manager</t>
        </is>
      </c>
      <c r="G166" s="9" t="inlineStr">
        <is>
          <t>QA Manager</t>
        </is>
      </c>
      <c r="H166" s="8" t="n">
        <v>1</v>
      </c>
      <c r="I166" s="9" t="inlineStr">
        <is>
          <t>iDEAL 1</t>
        </is>
      </c>
      <c r="J166" s="9" t="inlineStr">
        <is>
          <r>
            <rPr>
              <rFont val="Calibri"/>
              <sz val="10"/>
            </rPr>
            <t xml:space="preserve">Designs and executes functional, regression and domain/AI-feature test cases; logs defects; supports sign-off. At B1: a domain / module, or a small team.
</t>
          </r>
          <r>
            <rPr>
              <rFont val="Calibri"/>
              <b val="1"/>
              <sz val="10"/>
            </rPr>
            <t>Common themes in sub-family holders, all levels' answers:</t>
          </r>
          <r>
            <rPr>
              <rFont val="Calibri"/>
              <sz val="10"/>
            </rPr>
            <t xml:space="preserve"> software · quality · product · requirements · user · before</t>
          </r>
        </is>
      </c>
      <c r="K166" s="9" t="inlineStr">
        <is>
          <r>
            <rPr>
              <rFont val="Calibri"/>
              <sz val="10"/>
            </rPr>
            <t xml:space="preserve">Designs and executes functional, regression and domain/AI-feature test cases; logs defects; supports sign-off; Domain specialist work; A domain or a small team
</t>
          </r>
          <r>
            <rPr>
              <rFont val="Calibri"/>
              <b val="1"/>
              <sz val="10"/>
            </rPr>
            <t>Common themes in sub-family holders, all levels' answers:</t>
          </r>
          <r>
            <rPr>
              <rFont val="Calibri"/>
              <sz val="10"/>
            </rPr>
            <t xml:space="preserve"> test · defect · reporting · regression · case · execution</t>
          </r>
        </is>
      </c>
      <c r="L166" s="9" t="inlineStr">
        <is>
          <r>
            <rPr>
              <rFont val="Calibri"/>
              <sz val="10"/>
            </rPr>
            <t xml:space="preserve">A domain or a small team
</t>
          </r>
          <r>
            <rPr>
              <rFont val="Calibri"/>
              <b val="1"/>
              <sz val="10"/>
            </rPr>
            <t>Common themes in sub-family holders, all levels' answers:</t>
          </r>
          <r>
            <rPr>
              <rFont val="Calibri"/>
              <sz val="10"/>
            </rPr>
            <t xml:space="preserve"> test · quality · reports · bug · cases · defect</t>
          </r>
        </is>
      </c>
      <c r="M166" s="9" t="inlineStr">
        <is>
          <r>
            <rPr>
              <rFont val="Calibri"/>
              <sz val="10"/>
            </rPr>
            <t xml:space="preserve">A domain or a small team
</t>
          </r>
          <r>
            <rPr>
              <rFont val="Calibri"/>
              <b val="1"/>
              <sz val="10"/>
            </rPr>
            <t>Common themes in sub-family holders, all levels' answers:</t>
          </r>
          <r>
            <rPr>
              <rFont val="Calibri"/>
              <sz val="10"/>
            </rPr>
            <t xml:space="preserve"> quality · test · accountable · am · release · reporting</t>
          </r>
        </is>
      </c>
      <c r="N166" s="9" t="inlineStr">
        <is>
          <r>
            <rPr>
              <rFont val="Calibri"/>
              <sz val="10"/>
            </rPr>
            <t xml:space="preserve">Technical / QC / client calls for the domain
</t>
          </r>
          <r>
            <rPr>
              <rFont val="Calibri"/>
              <b val="1"/>
              <sz val="10"/>
            </rPr>
            <t>Common themes in sub-family holders, all levels' answers:</t>
          </r>
          <r>
            <rPr>
              <rFont val="Calibri"/>
              <sz val="10"/>
            </rPr>
            <t xml:space="preserve"> test · prioritize · independently · scenarios · identify · issues</t>
          </r>
        </is>
      </c>
      <c r="O166" s="9" t="inlineStr">
        <is>
          <t>—</t>
        </is>
      </c>
      <c r="P166" s="9" t="inlineStr">
        <is>
          <t>Software testing · Test case design · regression testing · Functional testing · Manual Testing · Test Case execution · Analytical thinking · Attention to detail</t>
        </is>
      </c>
      <c r="Q166" s="9" t="inlineStr">
        <is>
          <t>Quickscrum · Postman · Bug tracking tool · Mail access · Visual Studio · Notepad plus plus · Test management tool · Jira</t>
        </is>
      </c>
      <c r="R166" s="9" t="inlineStr">
        <is>
          <t>A domain / module, or a small team</t>
        </is>
      </c>
      <c r="S166" s="9" t="inlineStr">
        <is>
          <t>Domain specialist work</t>
        </is>
      </c>
      <c r="T166" s="9" t="inlineStr">
        <is>
          <t>Technical / QC / client calls for the domain</t>
        </is>
      </c>
      <c r="U166" s="9" t="inlineStr">
        <is>
          <t>A domain or a small team</t>
        </is>
      </c>
      <c r="V166" s="9" t="inlineStr">
        <is>
          <r>
            <rPr>
              <rFont val="Calibri"/>
              <b val="1"/>
              <sz val="10"/>
            </rPr>
            <t>IC:</t>
          </r>
          <r>
            <rPr>
              <rFont val="Calibri"/>
              <sz val="10"/>
            </rPr>
            <t xml:space="preserve"> mentors and reviews · People: hands-on team lead of 3–5</t>
          </r>
        </is>
      </c>
      <c r="W166" s="9" t="inlineStr">
        <is>
          <t>4–7 yrs</t>
        </is>
      </c>
      <c r="X166" s="9" t="inlineStr">
        <is>
          <t>Graduate + relevant qualification or certification preferred</t>
        </is>
      </c>
      <c r="Y166" s="9" t="inlineStr">
        <is>
          <t>ISTQB Foundation / Advanced; Internal product certification</t>
        </is>
      </c>
      <c r="Z166" s="9" t="inlineStr">
        <is>
          <r>
            <rPr>
              <rFont val="Calibri"/>
              <b val="1"/>
              <sz val="10"/>
            </rPr>
            <t>IC:</t>
          </r>
          <r>
            <rPr>
              <rFont val="Calibri"/>
              <sz val="10"/>
            </rPr>
            <t xml:space="preserve"> none · Team Lead: 3–5</t>
          </r>
        </is>
      </c>
      <c r="AA166" s="9" t="inlineStr">
        <is>
          <t>Core 3 · Future-ready 3 · Functional 3 · Leadership 2</t>
        </is>
      </c>
      <c r="AB166" s="9" t="inlineStr">
        <is>
          <t>Test Automation &amp; QA Engineering · Product, Platform &amp; Domain Knowledge</t>
        </is>
      </c>
      <c r="AC166" s="9" t="inlineStr">
        <is>
          <t>Database, SQL &amp; Data Engineering · AI, GenAI &amp; Prompt Engineering · Process Improvement &amp; Quality Mindset · Communication &amp; Presentation</t>
        </is>
      </c>
      <c r="AD166" s="8" t="inlineStr">
        <is>
          <t>P3 / M2</t>
        </is>
      </c>
      <c r="AE166" s="8" t="inlineStr">
        <is>
          <t>4 Enable</t>
        </is>
      </c>
      <c r="AF166" s="9" t="inlineStr">
        <is>
          <r>
            <rPr>
              <rFont val="Calibri"/>
              <b val="1"/>
              <sz val="10"/>
            </rPr>
            <t>Workiva:</t>
          </r>
          <r>
            <rPr>
              <rFont val="Calibri"/>
              <sz val="10"/>
            </rPr>
            <t xml:space="preserve"> SE / Senior SE · Broadridge India: Senior SE · Nasdaq / AxiomSL: Senior SE · IRIS Vs Market Benchmark — ISTQB certification pathway: Advanced · Test Analyst</t>
          </r>
        </is>
      </c>
      <c r="AG166" s="9" t="inlineStr">
        <is>
          <t>ISTQB Foundation → Advanced → Expert; SFIA testing</t>
        </is>
      </c>
      <c r="AH166" s="9" t="inlineStr">
        <is>
          <t>B2 · Senior Specialist</t>
        </is>
      </c>
      <c r="AI166" s="9" t="inlineStr">
        <is>
          <t>Client, sales &amp; stakeholders · Communication &amp; presentation · Broader exposure &amp; ownership</t>
        </is>
      </c>
      <c r="AJ166" s="9" t="inlineStr">
        <is>
          <t>Training on the effective utilization of AI tools.</t>
        </is>
      </c>
      <c r="AK166" s="9" t="inlineStr">
        <is>
          <t>Formal / classroom training · Mentoring / guidance from seniors · On-the-job / hands-on · Knowledge transfer · KT · Online courses / self-learning · Certification</t>
        </is>
      </c>
      <c r="AL166" s="9" t="inlineStr">
        <is>
          <t>unclear · requirements · frequent · priorities · changing</t>
        </is>
      </c>
      <c r="AM166" s="9" t="inlineStr">
        <is>
          <t>requirement · test · clearer · qa · documentation</t>
        </is>
      </c>
      <c r="AN166" s="9" t="inlineStr">
        <is>
          <t>23 of 26 say the role is changing because of AI / automation</t>
        </is>
      </c>
      <c r="AO166" s="9" t="inlineStr">
        <is>
          <t>Provide systematic product-quality assurance. Includes: Test design, automation, risk-based coverage and quality architecture. Excludes: Data-production checking where the primary output is data.</t>
        </is>
      </c>
      <c r="AP166" s="9" t="inlineStr">
        <is>
          <t>LD06-1 · Quality Engineering Manager</t>
        </is>
      </c>
      <c r="AQ166" s="9" t="inlineStr">
        <is>
          <t>Own staffing decisions, performance support, service quality and delegated team resources</t>
        </is>
      </c>
      <c r="AR166" s="9" t="inlineStr">
        <is>
          <t>Do not manufacture three reporting layers. Choose roles the organisation needs. A specialist may remain on an equally valued expert path.</t>
        </is>
      </c>
      <c r="AS166" s="9" t="inlineStr">
        <is>
          <t>—</t>
        </is>
      </c>
      <c r="AT166" s="9" t="inlineStr">
        <is>
          <t>—</t>
        </is>
      </c>
      <c r="AU166" s="19" t="inlineStr">
        <is>
          <t>Framework + sub-family themes · 3+ answered</t>
        </is>
      </c>
      <c r="AV166" s="9" t="inlineStr">
        <is>
          <t>1 holder, 1 answered the survey; sub-family 26 answered</t>
        </is>
      </c>
    </row>
    <row r="167" ht="119" customHeight="1">
      <c r="A167" s="17" t="inlineStr">
        <is>
          <t>RC-144</t>
        </is>
      </c>
      <c r="B167" s="9" t="inlineStr">
        <is>
          <t>Quality Assurance</t>
        </is>
      </c>
      <c r="C167" s="9" t="inlineStr">
        <is>
          <t>Functional &amp; Domain Testing</t>
        </is>
      </c>
      <c r="D167" s="21" t="inlineStr">
        <is>
          <t>B2</t>
        </is>
      </c>
      <c r="E167" s="22" t="inlineStr">
        <is>
          <t>Senior Specialist</t>
        </is>
      </c>
      <c r="F167" s="9" t="inlineStr">
        <is>
          <t>IC</t>
        </is>
      </c>
      <c r="G167" s="9" t="inlineStr">
        <is>
          <t>Senior QA Specialist – POD Lead</t>
        </is>
      </c>
      <c r="H167" s="8" t="n">
        <v>1</v>
      </c>
      <c r="I167" s="9" t="inlineStr">
        <is>
          <t>CARBON 1</t>
        </is>
      </c>
      <c r="J167" s="9" t="inlineStr">
        <is>
          <r>
            <rPr>
              <rFont val="Calibri"/>
              <sz val="10"/>
            </rPr>
            <t xml:space="preserve">Designs and executes functional, regression and domain/AI-feature test cases; logs defects; supports sign-off. At B2: deep domain expertise, or one team.
</t>
          </r>
          <r>
            <rPr>
              <rFont val="Calibri"/>
              <b val="1"/>
              <sz val="10"/>
            </rPr>
            <t>Common themes in sub-family holders, all levels' answers:</t>
          </r>
          <r>
            <rPr>
              <rFont val="Calibri"/>
              <sz val="10"/>
            </rPr>
            <t xml:space="preserve"> software · quality · product · requirements · user · before</t>
          </r>
        </is>
      </c>
      <c r="K167" s="9" t="inlineStr">
        <is>
          <r>
            <rPr>
              <rFont val="Calibri"/>
              <sz val="10"/>
            </rPr>
            <t xml:space="preserve">Designs and executes functional, regression and domain/AI-feature test cases; logs defects; supports sign-off; Hardest problems in the domain; One team or a client portfolio
</t>
          </r>
          <r>
            <rPr>
              <rFont val="Calibri"/>
              <b val="1"/>
              <sz val="10"/>
            </rPr>
            <t>Common themes in sub-family holders, all levels' answers:</t>
          </r>
          <r>
            <rPr>
              <rFont val="Calibri"/>
              <sz val="10"/>
            </rPr>
            <t xml:space="preserve"> test · defect · reporting · regression · case · execution</t>
          </r>
        </is>
      </c>
      <c r="L167" s="9" t="inlineStr">
        <is>
          <r>
            <rPr>
              <rFont val="Calibri"/>
              <sz val="10"/>
            </rPr>
            <t xml:space="preserve">One team or a client portfolio
</t>
          </r>
          <r>
            <rPr>
              <rFont val="Calibri"/>
              <b val="1"/>
              <sz val="10"/>
            </rPr>
            <t>Common themes in sub-family holders, all levels' answers:</t>
          </r>
          <r>
            <rPr>
              <rFont val="Calibri"/>
              <sz val="10"/>
            </rPr>
            <t xml:space="preserve"> test · quality · reports · bug · cases · defect</t>
          </r>
        </is>
      </c>
      <c r="M167" s="9" t="inlineStr">
        <is>
          <r>
            <rPr>
              <rFont val="Calibri"/>
              <sz val="10"/>
            </rPr>
            <t xml:space="preserve">One team or a client portfolio
</t>
          </r>
          <r>
            <rPr>
              <rFont val="Calibri"/>
              <b val="1"/>
              <sz val="10"/>
            </rPr>
            <t>Common themes in sub-family holders, all levels' answers:</t>
          </r>
          <r>
            <rPr>
              <rFont val="Calibri"/>
              <sz val="10"/>
            </rPr>
            <t xml:space="preserve"> quality · test · accountable · am · release · reporting</t>
          </r>
        </is>
      </c>
      <c r="N167" s="9" t="inlineStr">
        <is>
          <r>
            <rPr>
              <rFont val="Calibri"/>
              <sz val="10"/>
            </rPr>
            <t xml:space="preserve">Allocates people and sets team priorities
</t>
          </r>
          <r>
            <rPr>
              <rFont val="Calibri"/>
              <b val="1"/>
              <sz val="10"/>
            </rPr>
            <t>Common themes in sub-family holders, all levels' answers:</t>
          </r>
          <r>
            <rPr>
              <rFont val="Calibri"/>
              <sz val="10"/>
            </rPr>
            <t xml:space="preserve"> test · prioritize · independently · scenarios · identify · issues</t>
          </r>
        </is>
      </c>
      <c r="O167" s="9" t="inlineStr">
        <is>
          <t>—</t>
        </is>
      </c>
      <c r="P167" s="9" t="inlineStr">
        <is>
          <t>Software testing · Test case design · regression testing · Functional testing · Manual Testing · Test Case execution · Analytical thinking · Attention to detail</t>
        </is>
      </c>
      <c r="Q167" s="9" t="inlineStr">
        <is>
          <t>Quickscrum · Postman · Bug tracking tool · Mail access · Visual Studio · Notepad plus plus · Test management tool · Jira</t>
        </is>
      </c>
      <c r="R167" s="9" t="inlineStr">
        <is>
          <t>Deep domain expertise, or one team</t>
        </is>
      </c>
      <c r="S167" s="9" t="inlineStr">
        <is>
          <t>Hardest problems in the domain</t>
        </is>
      </c>
      <c r="T167" s="9" t="inlineStr">
        <is>
          <t>Allocates people and sets team priorities</t>
        </is>
      </c>
      <c r="U167" s="9" t="inlineStr">
        <is>
          <t>One team or a client portfolio</t>
        </is>
      </c>
      <c r="V167" s="9" t="inlineStr">
        <is>
          <r>
            <rPr>
              <rFont val="Calibri"/>
              <b val="1"/>
              <sz val="10"/>
            </rPr>
            <t>IC:</t>
          </r>
          <r>
            <rPr>
              <rFont val="Calibri"/>
              <sz val="10"/>
            </rPr>
            <t xml:space="preserve"> guides others in the domain · People: manages a team of 6+</t>
          </r>
        </is>
      </c>
      <c r="W167" s="9" t="inlineStr">
        <is>
          <t>6–9 yrs</t>
        </is>
      </c>
      <c r="X167" s="9" t="inlineStr">
        <is>
          <t>Graduate or postgraduate; professional qualification preferred</t>
        </is>
      </c>
      <c r="Y167" s="9" t="inlineStr">
        <is>
          <t>ISTQB Foundation / Advanced; Internal product certification</t>
        </is>
      </c>
      <c r="Z167" s="9" t="inlineStr">
        <is>
          <r>
            <rPr>
              <rFont val="Calibri"/>
              <b val="1"/>
              <sz val="10"/>
            </rPr>
            <t>IC:</t>
          </r>
          <r>
            <rPr>
              <rFont val="Calibri"/>
              <sz val="10"/>
            </rPr>
            <t xml:space="preserve"> none · People: 6–8 knowledge work, 8–12 standardised delivery</t>
          </r>
        </is>
      </c>
      <c r="AA167" s="9" t="inlineStr">
        <is>
          <t>Core 3 · Future-ready 3 · Functional 4 · Leadership 2</t>
        </is>
      </c>
      <c r="AB167" s="9" t="inlineStr">
        <is>
          <t>Test Automation &amp; QA Engineering · Product, Platform &amp; Domain Knowledge</t>
        </is>
      </c>
      <c r="AC167" s="9" t="inlineStr">
        <is>
          <t>Database, SQL &amp; Data Engineering · AI, GenAI &amp; Prompt Engineering · Process Improvement &amp; Quality Mindset · Communication &amp; Presentation</t>
        </is>
      </c>
      <c r="AD167" s="8" t="inlineStr">
        <is>
          <t>P4 / M3</t>
        </is>
      </c>
      <c r="AE167" s="8" t="inlineStr">
        <is>
          <t>4–5</t>
        </is>
      </c>
      <c r="AF167" s="9" t="inlineStr">
        <is>
          <r>
            <rPr>
              <rFont val="Calibri"/>
              <b val="1"/>
              <sz val="10"/>
            </rPr>
            <t>Workiva:</t>
          </r>
          <r>
            <rPr>
              <rFont val="Calibri"/>
              <sz val="10"/>
            </rPr>
            <t xml:space="preserve"> Senior SE · Broadridge India: Lead SE · Nasdaq / AxiomSL: Senior SE · IRIS Vs Market Benchmark — ISTQB certification pathway: Advanced · Test Manager / TAE</t>
          </r>
        </is>
      </c>
      <c r="AG167" s="9" t="inlineStr">
        <is>
          <t>ISTQB Foundation → Advanced → Expert; SFIA testing</t>
        </is>
      </c>
      <c r="AH167" s="9" t="inlineStr">
        <is>
          <t>B3 · Lead Specialist</t>
        </is>
      </c>
      <c r="AI167" s="9" t="inlineStr">
        <is>
          <t>AI / automation · Testing &amp; quality · Data, SQL &amp; analytics · Strategy &amp; business acumen · Broader exposure &amp; ownership</t>
        </is>
      </c>
      <c r="AJ167" s="9" t="inlineStr">
        <is>
          <t>—</t>
        </is>
      </c>
      <c r="AK167" s="9" t="inlineStr">
        <is>
          <t>Formal / classroom training · Mentoring / guidance from seniors · On-the-job / hands-on · Knowledge transfer · KT · Online courses / self-learning · Certification</t>
        </is>
      </c>
      <c r="AL167" s="9" t="inlineStr">
        <is>
          <t>unclear · requirements · frequent · priorities · changing</t>
        </is>
      </c>
      <c r="AM167" s="9" t="inlineStr">
        <is>
          <t>requirement · test · clearer · qa · documentation</t>
        </is>
      </c>
      <c r="AN167" s="9" t="inlineStr">
        <is>
          <t>23 of 26 say the role is changing because of AI / automation</t>
        </is>
      </c>
      <c r="AO167" s="9" t="inlineStr">
        <is>
          <t>Provide systematic product-quality assurance. Includes: Test design, automation, risk-based coverage and quality architecture. Excludes: Data-production checking where the primary output is data.</t>
        </is>
      </c>
      <c r="AP167" s="9" t="inlineStr">
        <is>
          <t>QA01-3 · Senior Test Engineer</t>
        </is>
      </c>
      <c r="AQ167" s="9" t="inlineStr">
        <is>
          <t>Own risk-based coverage and release-quality recommendations.</t>
        </is>
      </c>
      <c r="AR167" s="9" t="inlineStr">
        <is>
          <t>Evidence of complex work, decisions and outcomes beyond routine delivery.</t>
        </is>
      </c>
      <c r="AS167" s="9" t="inlineStr">
        <is>
          <t>A risk-based test plan with traceability, reproducible defects and release recommendation</t>
        </is>
      </c>
      <c r="AT167" s="9" t="inlineStr">
        <is>
          <r>
            <rPr>
              <rFont val="Calibri"/>
              <b val="1"/>
              <sz val="10"/>
            </rPr>
            <t>Regnology:</t>
          </r>
          <r>
            <rPr>
              <rFont val="Calibri"/>
              <sz val="10"/>
            </rPr>
            <t xml:space="preserve"> Senior Software Engineer, Pune
</t>
          </r>
          <r>
            <rPr>
              <rFont val="Calibri"/>
              <b val="1"/>
              <sz val="10"/>
            </rPr>
            <t>Regnology:</t>
          </r>
          <r>
            <rPr>
              <rFont val="Calibri"/>
              <sz val="10"/>
            </rPr>
            <t xml:space="preserve"> Release Engineer, Pune · Related work. Gap: Competitor engineering roles include testing; dedicated competitor QA levels remain unverified</t>
          </r>
        </is>
      </c>
      <c r="AU167" s="19" t="inlineStr">
        <is>
          <t>Framework + sub-family themes · 3+ answered</t>
        </is>
      </c>
      <c r="AV167" s="9" t="inlineStr">
        <is>
          <t>1 holder, 1 answered the survey; sub-family 26 answered</t>
        </is>
      </c>
    </row>
    <row r="168" ht="145" customHeight="1">
      <c r="A168" s="17" t="inlineStr">
        <is>
          <t>RC-145</t>
        </is>
      </c>
      <c r="B168" s="9" t="inlineStr">
        <is>
          <t>Quality Assurance</t>
        </is>
      </c>
      <c r="C168" s="9" t="inlineStr">
        <is>
          <t>Test Automation</t>
        </is>
      </c>
      <c r="D168" s="18" t="inlineStr">
        <is>
          <t>A1</t>
        </is>
      </c>
      <c r="E168" s="19" t="inlineStr">
        <is>
          <t>Intern / Trainee</t>
        </is>
      </c>
      <c r="F168" s="9" t="inlineStr">
        <is>
          <t>IC</t>
        </is>
      </c>
      <c r="G168" s="9" t="inlineStr">
        <is>
          <t>Trainee QA Automation Engineer</t>
        </is>
      </c>
      <c r="H168" s="8" t="n">
        <v>2</v>
      </c>
      <c r="I168" s="9" t="inlineStr">
        <is>
          <t>iFile 2</t>
        </is>
      </c>
      <c r="J168" s="9" t="inlineStr">
        <is>
          <r>
            <rPr>
              <rFont val="Calibri"/>
              <sz val="10"/>
            </rPr>
            <t xml:space="preserve">Builds and runs automated UI/API test suites integrated with CI. At A1: learning the role; all work reviewed.
</t>
          </r>
          <r>
            <rPr>
              <rFont val="Calibri"/>
              <b val="1"/>
              <sz val="10"/>
            </rPr>
            <t>Common themes in sub-family holders, all levels' answers:</t>
          </r>
          <r>
            <rPr>
              <rFont val="Calibri"/>
              <sz val="10"/>
            </rPr>
            <t xml:space="preserve"> product · quality · early · defects · automation · meets</t>
          </r>
        </is>
      </c>
      <c r="K168" s="9" t="inlineStr">
        <is>
          <r>
            <rPr>
              <rFont val="Calibri"/>
              <sz val="10"/>
            </rPr>
            <t xml:space="preserve">Builds and runs automated UI/API test suites integrated with CI; Learning; follows worked examples; Learning tasks
</t>
          </r>
          <r>
            <rPr>
              <rFont val="Calibri"/>
              <b val="1"/>
              <sz val="10"/>
            </rPr>
            <t>Common themes in sub-family holders, all levels' answers:</t>
          </r>
          <r>
            <rPr>
              <rFont val="Calibri"/>
              <sz val="10"/>
            </rPr>
            <t xml:space="preserve"> testing · scripts · defects · testcase · automation · report</t>
          </r>
        </is>
      </c>
      <c r="L168" s="9" t="inlineStr">
        <is>
          <r>
            <rPr>
              <rFont val="Calibri"/>
              <sz val="10"/>
            </rPr>
            <t xml:space="preserve">Learning tasks
</t>
          </r>
          <r>
            <rPr>
              <rFont val="Calibri"/>
              <b val="1"/>
              <sz val="10"/>
            </rPr>
            <t>Common themes in sub-family holders, all levels' answers:</t>
          </r>
          <r>
            <rPr>
              <rFont val="Calibri"/>
              <sz val="10"/>
            </rPr>
            <t xml:space="preserve"> reports · software · scripts · quality · test</t>
          </r>
        </is>
      </c>
      <c r="M168" s="9" t="inlineStr">
        <is>
          <r>
            <rPr>
              <rFont val="Calibri"/>
              <sz val="10"/>
            </rPr>
            <t xml:space="preserve">Learning tasks
</t>
          </r>
          <r>
            <rPr>
              <rFont val="Calibri"/>
              <b val="1"/>
              <sz val="10"/>
            </rPr>
            <t>Common themes in sub-family holders, all levels' answers:</t>
          </r>
          <r>
            <rPr>
              <rFont val="Calibri"/>
              <sz val="10"/>
            </rPr>
            <t xml:space="preserve"> quality · accountable · test · defect · automation · validation</t>
          </r>
        </is>
      </c>
      <c r="N168" s="9" t="inlineStr">
        <is>
          <r>
            <rPr>
              <rFont val="Calibri"/>
              <sz val="10"/>
            </rPr>
            <t xml:space="preserve">Needs approval / close guidance
</t>
          </r>
          <r>
            <rPr>
              <rFont val="Calibri"/>
              <b val="1"/>
              <sz val="10"/>
            </rPr>
            <t>Common themes in sub-family holders, all levels' answers:</t>
          </r>
          <r>
            <rPr>
              <rFont val="Calibri"/>
              <sz val="10"/>
            </rPr>
            <t xml:space="preserve"> testing</t>
          </r>
        </is>
      </c>
      <c r="O168" s="9" t="inlineStr">
        <is>
          <r>
            <rPr>
              <rFont val="Calibri"/>
              <b val="1"/>
              <sz val="10"/>
            </rPr>
            <t>Common themes in manager-set KRAs:</t>
          </r>
          <r>
            <rPr>
              <rFont val="Calibri"/>
              <sz val="10"/>
            </rPr>
            <t xml:space="preserve"> learning · defect · test · assigned · execution · resolve</t>
          </r>
        </is>
      </c>
      <c r="P168" s="9" t="inlineStr">
        <is>
          <t>Software Testing · Manual testing · Playwright · Automation · Api testing</t>
        </is>
      </c>
      <c r="Q168" s="9" t="inlineStr">
        <is>
          <t>Selenium · Postman</t>
        </is>
      </c>
      <c r="R168" s="9" t="inlineStr">
        <is>
          <t>Learning the role; all work reviewed</t>
        </is>
      </c>
      <c r="S168" s="9" t="inlineStr">
        <is>
          <t>Learning; follows worked examples</t>
        </is>
      </c>
      <c r="T168" s="9" t="inlineStr">
        <is>
          <t>Needs approval / close guidance</t>
        </is>
      </c>
      <c r="U168" s="9" t="inlineStr">
        <is>
          <t>Learning tasks</t>
        </is>
      </c>
      <c r="V168" s="9" t="inlineStr">
        <is>
          <t>Not scored in Band A</t>
        </is>
      </c>
      <c r="W168" s="9" t="inlineStr">
        <is>
          <t>0 yrs · fresher / intern</t>
        </is>
      </c>
      <c r="X168" s="9" t="inlineStr">
        <is>
          <t>Pursuing or completed graduation / diploma</t>
        </is>
      </c>
      <c r="Y168" s="9" t="inlineStr">
        <is>
          <t>ISTQB Foundation / Advanced; Internal product certification</t>
        </is>
      </c>
      <c r="Z168" s="9" t="inlineStr">
        <is>
          <t>No direct reports</t>
        </is>
      </c>
      <c r="AA168" s="9" t="inlineStr">
        <is>
          <t>Core 1 · Future-ready 1 · Functional 1 · Leadership —</t>
        </is>
      </c>
      <c r="AB168" s="9" t="inlineStr">
        <is>
          <t>Test Automation &amp; QA Engineering · Product, Platform &amp; Domain Knowledge</t>
        </is>
      </c>
      <c r="AC168" s="9" t="inlineStr">
        <is>
          <t>Database, SQL &amp; Data Engineering · AI, GenAI &amp; Prompt Engineering · Process Improvement &amp; Quality Mindset · Communication &amp; Presentation</t>
        </is>
      </c>
      <c r="AD168" s="8" t="inlineStr">
        <is>
          <t>Entry / P1 · intern</t>
        </is>
      </c>
      <c r="AE168" s="8" t="inlineStr">
        <is>
          <t>1 Follow</t>
        </is>
      </c>
      <c r="AF168" s="9" t="inlineStr">
        <is>
          <t>—</t>
        </is>
      </c>
      <c r="AG168" s="9" t="inlineStr">
        <is>
          <t>ISTQB Foundation → Advanced → Expert; SFIA testing</t>
        </is>
      </c>
      <c r="AH168" s="9" t="inlineStr">
        <is>
          <t>A2 · Associate</t>
        </is>
      </c>
      <c r="AI168" s="9" t="inlineStr">
        <is>
          <t>AI / automation · Testing &amp; quality · Leadership &amp; people management · Technical depth &amp; architecture</t>
        </is>
      </c>
      <c r="AJ168" s="9" t="inlineStr">
        <is>
          <t>Test automation frameworks · Selenium/Playwright; API testing; CI/CD test integration; defect analytics | Transition to leadership: people management &amp; delegation, mentoring/coaching, project ownership &amp; stakeholder management, prioritisation under ambiguity, presentation &amp; influence skills</t>
        </is>
      </c>
      <c r="AK168" s="9" t="inlineStr">
        <is>
          <t>Mentoring / guidance from seniors · On-the-job / hands-on · Formal / classroom training · Knowledge transfer · KT · Online courses / self-learning</t>
        </is>
      </c>
      <c r="AL168" s="9" t="inlineStr">
        <is>
          <t>unclear · requirements · environment · test · multiple</t>
        </is>
      </c>
      <c r="AM168" s="9" t="inlineStr">
        <is>
          <t>time · test · environments · better · automation</t>
        </is>
      </c>
      <c r="AN168" s="9" t="inlineStr">
        <is>
          <t>6 of 7 say the role is changing because of AI / automation</t>
        </is>
      </c>
      <c r="AO168" s="9" t="inlineStr">
        <is>
          <t>Provide systematic product-quality assurance. Includes: Test design, automation, risk-based coverage and quality architecture. Excludes: Data-production checking where the primary output is data.</t>
        </is>
      </c>
      <c r="AP168" s="9" t="inlineStr">
        <is>
          <t>QA02-0 · Test Engineering Intern</t>
        </is>
      </c>
      <c r="AQ168" s="9" t="inlineStr">
        <is>
          <r>
            <rPr>
              <rFont val="Calibri"/>
              <b val="1"/>
              <sz val="10"/>
            </rPr>
            <t>Assist with a supervised work sample:</t>
          </r>
          <r>
            <rPr>
              <rFont val="Calibri"/>
              <sz val="10"/>
            </rPr>
            <t xml:space="preserve"> build reliable automated tests with useful failure signals.</t>
          </r>
        </is>
      </c>
      <c r="AR168" s="9" t="inlineStr">
        <is>
          <t>Reviewed learning assignment; no independent material sign-off.</t>
        </is>
      </c>
      <c r="AS168" s="9" t="inlineStr">
        <is>
          <t>A maintained automation suite with reliable signals and reduced regression effort</t>
        </is>
      </c>
      <c r="AT168" s="9" t="inlineStr">
        <is>
          <r>
            <rPr>
              <rFont val="Calibri"/>
              <b val="1"/>
              <sz val="10"/>
            </rPr>
            <t>Regnology:</t>
          </r>
          <r>
            <rPr>
              <rFont val="Calibri"/>
              <sz val="10"/>
            </rPr>
            <t xml:space="preserve"> Senior Software Engineer, Pune
</t>
          </r>
          <r>
            <rPr>
              <rFont val="Calibri"/>
              <b val="1"/>
              <sz val="10"/>
            </rPr>
            <t>Regnology:</t>
          </r>
          <r>
            <rPr>
              <rFont val="Calibri"/>
              <sz val="10"/>
            </rPr>
            <t xml:space="preserve"> Release Engineer, Pune · Related work. Gap: Competitor engineering roles include testing; dedicated competitor QA levels remain unverified</t>
          </r>
        </is>
      </c>
      <c r="AU168" s="19" t="inlineStr">
        <is>
          <t>Framework + sub-family themes · 3+ answered</t>
        </is>
      </c>
      <c r="AV168" s="9" t="inlineStr">
        <is>
          <t>2 holders, 2 answered the survey; sub-family 8 answered</t>
        </is>
      </c>
    </row>
    <row r="169" ht="106" customHeight="1">
      <c r="A169" s="17" t="inlineStr">
        <is>
          <t>RC-146</t>
        </is>
      </c>
      <c r="B169" s="9" t="inlineStr">
        <is>
          <t>Quality Assurance</t>
        </is>
      </c>
      <c r="C169" s="9" t="inlineStr">
        <is>
          <t>Test Automation</t>
        </is>
      </c>
      <c r="D169" s="18" t="inlineStr">
        <is>
          <t>A3</t>
        </is>
      </c>
      <c r="E169" s="19" t="inlineStr">
        <is>
          <t>Senior Associate</t>
        </is>
      </c>
      <c r="F169" s="9" t="inlineStr">
        <is>
          <t>IC</t>
        </is>
      </c>
      <c r="G169" s="9" t="inlineStr">
        <is>
          <t>Senior QA Automation Engineer</t>
        </is>
      </c>
      <c r="H169" s="8" t="n">
        <v>6</v>
      </c>
      <c r="I169" s="9" t="inlineStr">
        <is>
          <t>iDEAL 3 · CARBON 1 · iFile 1 · Datatech 1</t>
        </is>
      </c>
      <c r="J169" s="9" t="inlineStr">
        <is>
          <r>
            <rPr>
              <rFont val="Calibri"/>
              <sz val="10"/>
            </rPr>
            <t xml:space="preserve">Builds and runs automated UI/API test suites integrated with CI. At A3: varied work; reviews juniors; go-to for a process.
</t>
          </r>
          <r>
            <rPr>
              <rFont val="Calibri"/>
              <b val="1"/>
              <sz val="10"/>
            </rPr>
            <t>Common themes in role-holders' answers:</t>
          </r>
          <r>
            <rPr>
              <rFont val="Calibri"/>
              <sz val="10"/>
            </rPr>
            <t xml:space="preserve"> early · product · quality · automation · tests · testing</t>
          </r>
        </is>
      </c>
      <c r="K169" s="9" t="inlineStr">
        <is>
          <r>
            <rPr>
              <rFont val="Calibri"/>
              <sz val="10"/>
            </rPr>
            <t xml:space="preserve">Builds and runs automated UI/API test suites integrated with CI; Varied and non-standard work; handles exceptions; A module / process, or work with client or regulatory consequences
</t>
          </r>
          <r>
            <rPr>
              <rFont val="Calibri"/>
              <b val="1"/>
              <sz val="10"/>
            </rPr>
            <t>Common themes in role-holders' answers:</t>
          </r>
          <r>
            <rPr>
              <rFont val="Calibri"/>
              <sz val="10"/>
            </rPr>
            <t xml:space="preserve"> testing · scripts · defects · testcase · automation · report</t>
          </r>
        </is>
      </c>
      <c r="L169" s="9" t="inlineStr">
        <is>
          <r>
            <rPr>
              <rFont val="Calibri"/>
              <sz val="10"/>
            </rPr>
            <t xml:space="preserve">A module / process, or work with client or regulatory consequences
</t>
          </r>
          <r>
            <rPr>
              <rFont val="Calibri"/>
              <b val="1"/>
              <sz val="10"/>
            </rPr>
            <t>Common themes in role-holders' answers:</t>
          </r>
          <r>
            <rPr>
              <rFont val="Calibri"/>
              <sz val="10"/>
            </rPr>
            <t xml:space="preserve"> reports · software · scripts · quality · test</t>
          </r>
        </is>
      </c>
      <c r="M169" s="9" t="inlineStr">
        <is>
          <r>
            <rPr>
              <rFont val="Calibri"/>
              <sz val="10"/>
            </rPr>
            <t xml:space="preserve">A module / process, or work with client or regulatory consequences
</t>
          </r>
          <r>
            <rPr>
              <rFont val="Calibri"/>
              <b val="1"/>
              <sz val="10"/>
            </rPr>
            <t>Common themes in role-holders' answers:</t>
          </r>
          <r>
            <rPr>
              <rFont val="Calibri"/>
              <sz val="10"/>
            </rPr>
            <t xml:space="preserve"> test · automation · quality · accountable · defect · identification</t>
          </r>
        </is>
      </c>
      <c r="N169" s="9" t="inlineStr">
        <is>
          <r>
            <rPr>
              <rFont val="Calibri"/>
              <sz val="10"/>
            </rPr>
            <t xml:space="preserve">Technical / QC / client calls on own work
</t>
          </r>
          <r>
            <rPr>
              <rFont val="Calibri"/>
              <b val="1"/>
              <sz val="10"/>
            </rPr>
            <t>Common themes in role-holders' answers:</t>
          </r>
          <r>
            <rPr>
              <rFont val="Calibri"/>
              <sz val="10"/>
            </rPr>
            <t xml:space="preserve"> testing</t>
          </r>
        </is>
      </c>
      <c r="O169" s="9" t="inlineStr">
        <is>
          <r>
            <rPr>
              <rFont val="Calibri"/>
              <b val="1"/>
              <sz val="10"/>
            </rPr>
            <t>Common themes in manager-set KRAs:</t>
          </r>
          <r>
            <rPr>
              <rFont val="Calibri"/>
              <sz val="10"/>
            </rPr>
            <t xml:space="preserve"> test coverage · business · automation · knowledge · activities · comprehensive</t>
          </r>
        </is>
      </c>
      <c r="P169" s="9" t="inlineStr">
        <is>
          <t>Software Testing · Manual testing · Playwright</t>
        </is>
      </c>
      <c r="Q169" s="9" t="inlineStr">
        <is>
          <t>Postman</t>
        </is>
      </c>
      <c r="R169" s="9" t="inlineStr">
        <is>
          <t>Varied work; reviews juniors; go-to for a process</t>
        </is>
      </c>
      <c r="S169" s="9" t="inlineStr">
        <is>
          <t>Varied and non-standard work; handles exceptions</t>
        </is>
      </c>
      <c r="T169" s="9" t="inlineStr">
        <is>
          <t>Technical / QC / client calls on own work</t>
        </is>
      </c>
      <c r="U169" s="9" t="inlineStr">
        <is>
          <t>A module / process, or work with client or regulatory consequences</t>
        </is>
      </c>
      <c r="V169" s="9" t="inlineStr">
        <is>
          <t>Not scored in Band A</t>
        </is>
      </c>
      <c r="W169" s="9" t="inlineStr">
        <is>
          <t>2–4 yrs</t>
        </is>
      </c>
      <c r="X169" s="9" t="inlineStr">
        <is>
          <t>Graduate; relevant certification preferred</t>
        </is>
      </c>
      <c r="Y169" s="9" t="inlineStr">
        <is>
          <t>ISTQB Foundation / Advanced; Internal product certification</t>
        </is>
      </c>
      <c r="Z169" s="9" t="inlineStr">
        <is>
          <t>None · guides 1–3 juniors informally</t>
        </is>
      </c>
      <c r="AA169" s="9" t="inlineStr">
        <is>
          <t>Core 2 · Future-ready 2 · Functional 3 · Leadership —</t>
        </is>
      </c>
      <c r="AB169" s="9" t="inlineStr">
        <is>
          <t>Test Automation &amp; QA Engineering · Product, Platform &amp; Domain Knowledge</t>
        </is>
      </c>
      <c r="AC169" s="9" t="inlineStr">
        <is>
          <t>Database, SQL &amp; Data Engineering · AI, GenAI &amp; Prompt Engineering · Process Improvement &amp; Quality Mindset · Communication &amp; Presentation</t>
        </is>
      </c>
      <c r="AD169" s="8" t="inlineStr">
        <is>
          <t>P2</t>
        </is>
      </c>
      <c r="AE169" s="8" t="inlineStr">
        <is>
          <t>3 Apply</t>
        </is>
      </c>
      <c r="AF169" s="9" t="inlineStr">
        <is>
          <r>
            <rPr>
              <rFont val="Calibri"/>
              <b val="1"/>
              <sz val="10"/>
            </rPr>
            <t>Workiva:</t>
          </r>
          <r>
            <rPr>
              <rFont val="Calibri"/>
              <sz val="10"/>
            </rPr>
            <t xml:space="preserve"> SE · Broadridge India: SE · Nasdaq / AxiomSL: SE · IRIS Vs Market Benchmark — ISTQB certification pathway: Foundation</t>
          </r>
        </is>
      </c>
      <c r="AG169" s="9" t="inlineStr">
        <is>
          <t>ISTQB Foundation → Advanced → Expert; SFIA testing</t>
        </is>
      </c>
      <c r="AH169" s="9" t="inlineStr">
        <is>
          <t>B1 · Specialist</t>
        </is>
      </c>
      <c r="AI169" s="9" t="inlineStr">
        <is>
          <t>AI / automation · Testing &amp; quality · Broader exposure &amp; ownership · Leadership &amp; people management · Project / programme management</t>
        </is>
      </c>
      <c r="AJ169" s="9" t="inlineStr">
        <is>
          <t>training effective · utilization · training training · ai tools · xbrl training</t>
        </is>
      </c>
      <c r="AK169" s="9" t="inlineStr">
        <is>
          <t>Mentoring / guidance from seniors · On-the-job / hands-on · Formal / classroom training · Online courses / self-learning</t>
        </is>
      </c>
      <c r="AL169" s="9" t="inlineStr">
        <is>
          <t>requirements · unclear · test · multiple · unstable</t>
        </is>
      </c>
      <c r="AM169" s="9" t="inlineStr">
        <is>
          <t>time · automation · improve · test · environments</t>
        </is>
      </c>
      <c r="AN169" s="9" t="inlineStr">
        <is>
          <t>5 of 6 say the role is changing because of AI / automation</t>
        </is>
      </c>
      <c r="AO169" s="9" t="inlineStr">
        <is>
          <t>Provide systematic product-quality assurance. Includes: Test design, automation, risk-based coverage and quality architecture. Excludes: Data-production checking where the primary output is data.</t>
        </is>
      </c>
      <c r="AP169" s="9" t="inlineStr">
        <is>
          <t>QA02-2 · Test Automation Engineer / SDET</t>
        </is>
      </c>
      <c r="AQ169" s="9" t="inlineStr">
        <is>
          <t>Build reliable automated tests with useful failure signals.</t>
        </is>
      </c>
      <c r="AR169" s="9" t="inlineStr">
        <is>
          <t>Demonstrate routine delivery plus judgement in bounded exceptions.</t>
        </is>
      </c>
      <c r="AS169" s="9" t="inlineStr">
        <is>
          <t>A maintained automation suite with reliable signals and reduced regression effort</t>
        </is>
      </c>
      <c r="AT169" s="9" t="inlineStr">
        <is>
          <r>
            <rPr>
              <rFont val="Calibri"/>
              <b val="1"/>
              <sz val="10"/>
            </rPr>
            <t>Regnology:</t>
          </r>
          <r>
            <rPr>
              <rFont val="Calibri"/>
              <sz val="10"/>
            </rPr>
            <t xml:space="preserve"> Senior Software Engineer, Pune
</t>
          </r>
          <r>
            <rPr>
              <rFont val="Calibri"/>
              <b val="1"/>
              <sz val="10"/>
            </rPr>
            <t>Regnology:</t>
          </r>
          <r>
            <rPr>
              <rFont val="Calibri"/>
              <sz val="10"/>
            </rPr>
            <t xml:space="preserve"> Release Engineer, Pune · Related work. Gap: Competitor engineering roles include testing; dedicated competitor QA levels remain unverified</t>
          </r>
        </is>
      </c>
      <c r="AU169" s="22" t="inlineStr">
        <is>
          <t>Framework + role-holders' themes · 3+ answered</t>
        </is>
      </c>
      <c r="AV169" s="9" t="inlineStr">
        <is>
          <t>6 holders, 6 answered the survey; sub-family 8 answered</t>
        </is>
      </c>
    </row>
    <row r="170" ht="93" customHeight="1">
      <c r="A170" s="17" t="inlineStr">
        <is>
          <t>RC-147</t>
        </is>
      </c>
      <c r="B170" s="9" t="inlineStr">
        <is>
          <t>Quality Assurance</t>
        </is>
      </c>
      <c r="C170" s="9" t="inlineStr">
        <is>
          <t>Test Management &amp; QA Leadership</t>
        </is>
      </c>
      <c r="D170" s="21" t="inlineStr">
        <is>
          <t>B2</t>
        </is>
      </c>
      <c r="E170" s="22" t="inlineStr">
        <is>
          <t>Senior Specialist</t>
        </is>
      </c>
      <c r="F170" s="9" t="inlineStr">
        <is>
          <t>IC</t>
        </is>
      </c>
      <c r="G170" s="9" t="inlineStr">
        <is>
          <t>Senior QA Specialist – POD Lead</t>
        </is>
      </c>
      <c r="H170" s="8" t="n">
        <v>1</v>
      </c>
      <c r="I170" s="9" t="inlineStr">
        <is>
          <t>iFile 1</t>
        </is>
      </c>
      <c r="J170" s="9" t="inlineStr">
        <is>
          <r>
            <rPr>
              <rFont val="Calibri"/>
              <sz val="10"/>
            </rPr>
            <t xml:space="preserve">Owns test strategy, test planning, QA sign-off and QA team allocation. At B2: deep domain expertise, or one team.
</t>
          </r>
          <r>
            <rPr>
              <rFont val="Calibri"/>
              <b val="1"/>
              <sz val="10"/>
            </rPr>
            <t>Common themes in sub-family holders, all levels' answers:</t>
          </r>
          <r>
            <rPr>
              <rFont val="Calibri"/>
              <sz val="10"/>
            </rPr>
            <t xml:space="preserve"> testing · lead</t>
          </r>
        </is>
      </c>
      <c r="K170" s="9" t="inlineStr">
        <is>
          <r>
            <rPr>
              <rFont val="Calibri"/>
              <sz val="10"/>
            </rPr>
            <t xml:space="preserve">Owns test strategy, test planning, QA sign-off and QA team allocation; Hardest problems in the domain; One team or a client portfolio
</t>
          </r>
          <r>
            <rPr>
              <rFont val="Calibri"/>
              <b val="1"/>
              <sz val="10"/>
            </rPr>
            <t>Common themes in sub-family holders, all levels' answers:</t>
          </r>
          <r>
            <rPr>
              <rFont val="Calibri"/>
              <sz val="10"/>
            </rPr>
            <t xml:space="preserve"> test · quality · planning</t>
          </r>
        </is>
      </c>
      <c r="L170" s="9" t="inlineStr">
        <is>
          <t>One team or a client portfolio</t>
        </is>
      </c>
      <c r="M170" s="9" t="inlineStr">
        <is>
          <r>
            <rPr>
              <rFont val="Calibri"/>
              <sz val="10"/>
            </rPr>
            <t xml:space="preserve">One team or a client portfolio
</t>
          </r>
          <r>
            <rPr>
              <rFont val="Calibri"/>
              <b val="1"/>
              <sz val="10"/>
            </rPr>
            <t>Common themes in sub-family holders, all levels' answers:</t>
          </r>
          <r>
            <rPr>
              <rFont val="Calibri"/>
              <sz val="10"/>
            </rPr>
            <t xml:space="preserve"> test results · software</t>
          </r>
        </is>
      </c>
      <c r="N170" s="9" t="inlineStr">
        <is>
          <t>Allocates people and sets team priorities</t>
        </is>
      </c>
      <c r="O170" s="9" t="inlineStr">
        <is>
          <t>—</t>
        </is>
      </c>
      <c r="P170" s="9" t="inlineStr">
        <is>
          <t>Software Testing</t>
        </is>
      </c>
      <c r="Q170" s="9" t="inlineStr">
        <is>
          <t>—</t>
        </is>
      </c>
      <c r="R170" s="9" t="inlineStr">
        <is>
          <t>Deep domain expertise, or one team</t>
        </is>
      </c>
      <c r="S170" s="9" t="inlineStr">
        <is>
          <t>Hardest problems in the domain</t>
        </is>
      </c>
      <c r="T170" s="9" t="inlineStr">
        <is>
          <t>Allocates people and sets team priorities</t>
        </is>
      </c>
      <c r="U170" s="9" t="inlineStr">
        <is>
          <t>One team or a client portfolio</t>
        </is>
      </c>
      <c r="V170" s="9" t="inlineStr">
        <is>
          <r>
            <rPr>
              <rFont val="Calibri"/>
              <b val="1"/>
              <sz val="10"/>
            </rPr>
            <t>IC:</t>
          </r>
          <r>
            <rPr>
              <rFont val="Calibri"/>
              <sz val="10"/>
            </rPr>
            <t xml:space="preserve"> guides others in the domain · People: manages a team of 6+</t>
          </r>
        </is>
      </c>
      <c r="W170" s="9" t="inlineStr">
        <is>
          <t>6–9 yrs</t>
        </is>
      </c>
      <c r="X170" s="9" t="inlineStr">
        <is>
          <t>Graduate or postgraduate; professional qualification preferred</t>
        </is>
      </c>
      <c r="Y170" s="9" t="inlineStr">
        <is>
          <t>ISTQB Foundation / Advanced; Internal product certification</t>
        </is>
      </c>
      <c r="Z170" s="9" t="inlineStr">
        <is>
          <r>
            <rPr>
              <rFont val="Calibri"/>
              <b val="1"/>
              <sz val="10"/>
            </rPr>
            <t>IC:</t>
          </r>
          <r>
            <rPr>
              <rFont val="Calibri"/>
              <sz val="10"/>
            </rPr>
            <t xml:space="preserve"> none · People: 6–8 knowledge work, 8–12 standardised delivery</t>
          </r>
        </is>
      </c>
      <c r="AA170" s="9" t="inlineStr">
        <is>
          <t>Core 3 · Future-ready 3 · Functional 4 · Leadership 2</t>
        </is>
      </c>
      <c r="AB170" s="9" t="inlineStr">
        <is>
          <t>Test Automation &amp; QA Engineering · Product, Platform &amp; Domain Knowledge</t>
        </is>
      </c>
      <c r="AC170" s="9" t="inlineStr">
        <is>
          <t>Database, SQL &amp; Data Engineering · AI, GenAI &amp; Prompt Engineering · Process Improvement &amp; Quality Mindset · Communication &amp; Presentation</t>
        </is>
      </c>
      <c r="AD170" s="8" t="inlineStr">
        <is>
          <t>P4 / M3</t>
        </is>
      </c>
      <c r="AE170" s="8" t="inlineStr">
        <is>
          <t>4–5</t>
        </is>
      </c>
      <c r="AF170" s="9" t="inlineStr">
        <is>
          <r>
            <rPr>
              <rFont val="Calibri"/>
              <b val="1"/>
              <sz val="10"/>
            </rPr>
            <t>Workiva:</t>
          </r>
          <r>
            <rPr>
              <rFont val="Calibri"/>
              <sz val="10"/>
            </rPr>
            <t xml:space="preserve"> Senior SE · Broadridge India: Lead SE · Nasdaq / AxiomSL: Senior SE · IRIS Vs Market Benchmark — ISTQB certification pathway: Advanced · Test Manager / TAE</t>
          </r>
        </is>
      </c>
      <c r="AG170" s="9" t="inlineStr">
        <is>
          <t>ISTQB Foundation → Advanced → Expert; SFIA testing</t>
        </is>
      </c>
      <c r="AH170" s="9" t="inlineStr">
        <is>
          <t>B3 · Lead Specialist</t>
        </is>
      </c>
      <c r="AI170" s="9" t="inlineStr">
        <is>
          <t>Technical depth &amp; architecture · Testing &amp; quality · Client, sales &amp; stakeholders · Strategy &amp; business acumen</t>
        </is>
      </c>
      <c r="AJ170" s="9" t="inlineStr">
        <is>
          <t>AI Knowledge, Ai trainee</t>
        </is>
      </c>
      <c r="AK170" s="9" t="inlineStr">
        <is>
          <t>Mentoring / guidance from seniors</t>
        </is>
      </c>
      <c r="AL170" s="9" t="inlineStr">
        <is>
          <t>No common theme</t>
        </is>
      </c>
      <c r="AM170" s="9" t="inlineStr">
        <is>
          <t>No common theme</t>
        </is>
      </c>
      <c r="AN170" s="9" t="inlineStr">
        <is>
          <t>3 of 3 say the role is changing because of AI / automation</t>
        </is>
      </c>
      <c r="AO170" s="9" t="inlineStr">
        <is>
          <t>Provide systematic product-quality assurance. Includes: Test design, automation, risk-based coverage and quality architecture. Excludes: Data-production checking where the primary output is data.</t>
        </is>
      </c>
      <c r="AP170" s="9" t="inlineStr">
        <is>
          <t>LD06-1 · Quality Engineering Manager</t>
        </is>
      </c>
      <c r="AQ170" s="9" t="inlineStr">
        <is>
          <t>Own staffing decisions, performance support, service quality and delegated team resources</t>
        </is>
      </c>
      <c r="AR170" s="9" t="inlineStr">
        <is>
          <t>Do not manufacture three reporting layers. Choose roles the organisation needs. A specialist may remain on an equally valued expert path.</t>
        </is>
      </c>
      <c r="AS170" s="9" t="inlineStr">
        <is>
          <t>—</t>
        </is>
      </c>
      <c r="AT170" s="9" t="inlineStr">
        <is>
          <t>—</t>
        </is>
      </c>
      <c r="AU170" s="19" t="inlineStr">
        <is>
          <t>Framework + sub-family themes · 3+ answered</t>
        </is>
      </c>
      <c r="AV170" s="9" t="inlineStr">
        <is>
          <t>1 holder, 1 answered the survey; sub-family 3 answered</t>
        </is>
      </c>
    </row>
    <row r="171" ht="93" customHeight="1">
      <c r="A171" s="17" t="inlineStr">
        <is>
          <t>RC-148</t>
        </is>
      </c>
      <c r="B171" s="9" t="inlineStr">
        <is>
          <t>Quality Assurance</t>
        </is>
      </c>
      <c r="C171" s="9" t="inlineStr">
        <is>
          <t>Test Management &amp; QA Leadership</t>
        </is>
      </c>
      <c r="D171" s="21" t="inlineStr">
        <is>
          <t>B2</t>
        </is>
      </c>
      <c r="E171" s="22" t="inlineStr">
        <is>
          <t>Manager</t>
        </is>
      </c>
      <c r="F171" s="9" t="inlineStr">
        <is>
          <t>Manager</t>
        </is>
      </c>
      <c r="G171" s="9" t="inlineStr">
        <is>
          <t>QA Manager · Senior QA Manager</t>
        </is>
      </c>
      <c r="H171" s="8" t="n">
        <v>2</v>
      </c>
      <c r="I171" s="9" t="inlineStr">
        <is>
          <t>CARBON 1 · iFile 1</t>
        </is>
      </c>
      <c r="J171" s="9" t="inlineStr">
        <is>
          <r>
            <rPr>
              <rFont val="Calibri"/>
              <sz val="10"/>
            </rPr>
            <t xml:space="preserve">Owns test strategy, test planning, QA sign-off and QA team allocation. At B2: deep domain expertise, or one team.
</t>
          </r>
          <r>
            <rPr>
              <rFont val="Calibri"/>
              <b val="1"/>
              <sz val="10"/>
            </rPr>
            <t>Common themes in sub-family holders, all levels' answers:</t>
          </r>
          <r>
            <rPr>
              <rFont val="Calibri"/>
              <sz val="10"/>
            </rPr>
            <t xml:space="preserve"> testing · lead</t>
          </r>
        </is>
      </c>
      <c r="K171" s="9" t="inlineStr">
        <is>
          <r>
            <rPr>
              <rFont val="Calibri"/>
              <sz val="10"/>
            </rPr>
            <t xml:space="preserve">Owns test strategy, test planning, QA sign-off and QA team allocation; Hardest problems in the domain; One team or a client portfolio
</t>
          </r>
          <r>
            <rPr>
              <rFont val="Calibri"/>
              <b val="1"/>
              <sz val="10"/>
            </rPr>
            <t>Common themes in sub-family holders, all levels' answers:</t>
          </r>
          <r>
            <rPr>
              <rFont val="Calibri"/>
              <sz val="10"/>
            </rPr>
            <t xml:space="preserve"> test · quality · planning</t>
          </r>
        </is>
      </c>
      <c r="L171" s="9" t="inlineStr">
        <is>
          <t>One team or a client portfolio</t>
        </is>
      </c>
      <c r="M171" s="9" t="inlineStr">
        <is>
          <r>
            <rPr>
              <rFont val="Calibri"/>
              <sz val="10"/>
            </rPr>
            <t xml:space="preserve">One team or a client portfolio
</t>
          </r>
          <r>
            <rPr>
              <rFont val="Calibri"/>
              <b val="1"/>
              <sz val="10"/>
            </rPr>
            <t>Common themes in sub-family holders, all levels' answers:</t>
          </r>
          <r>
            <rPr>
              <rFont val="Calibri"/>
              <sz val="10"/>
            </rPr>
            <t xml:space="preserve"> test results · software</t>
          </r>
        </is>
      </c>
      <c r="N171" s="9" t="inlineStr">
        <is>
          <t>Allocates people and sets team priorities</t>
        </is>
      </c>
      <c r="O171" s="9" t="inlineStr">
        <is>
          <t>—</t>
        </is>
      </c>
      <c r="P171" s="9" t="inlineStr">
        <is>
          <t>Software Testing</t>
        </is>
      </c>
      <c r="Q171" s="9" t="inlineStr">
        <is>
          <t>—</t>
        </is>
      </c>
      <c r="R171" s="9" t="inlineStr">
        <is>
          <t>Deep domain expertise, or one team</t>
        </is>
      </c>
      <c r="S171" s="9" t="inlineStr">
        <is>
          <t>Hardest problems in the domain</t>
        </is>
      </c>
      <c r="T171" s="9" t="inlineStr">
        <is>
          <t>Allocates people and sets team priorities</t>
        </is>
      </c>
      <c r="U171" s="9" t="inlineStr">
        <is>
          <t>One team or a client portfolio</t>
        </is>
      </c>
      <c r="V171" s="9" t="inlineStr">
        <is>
          <r>
            <rPr>
              <rFont val="Calibri"/>
              <b val="1"/>
              <sz val="10"/>
            </rPr>
            <t>IC:</t>
          </r>
          <r>
            <rPr>
              <rFont val="Calibri"/>
              <sz val="10"/>
            </rPr>
            <t xml:space="preserve"> guides others in the domain · People: manages a team of 6+</t>
          </r>
        </is>
      </c>
      <c r="W171" s="9" t="inlineStr">
        <is>
          <t>6–9 yrs</t>
        </is>
      </c>
      <c r="X171" s="9" t="inlineStr">
        <is>
          <t>Graduate or postgraduate; professional qualification preferred</t>
        </is>
      </c>
      <c r="Y171" s="9" t="inlineStr">
        <is>
          <t>ISTQB Foundation / Advanced; Internal product certification</t>
        </is>
      </c>
      <c r="Z171" s="9" t="inlineStr">
        <is>
          <r>
            <rPr>
              <rFont val="Calibri"/>
              <b val="1"/>
              <sz val="10"/>
            </rPr>
            <t>IC:</t>
          </r>
          <r>
            <rPr>
              <rFont val="Calibri"/>
              <sz val="10"/>
            </rPr>
            <t xml:space="preserve"> none · People: 6–8 knowledge work, 8–12 standardised delivery</t>
          </r>
        </is>
      </c>
      <c r="AA171" s="9" t="inlineStr">
        <is>
          <t>Core 3 · Future-ready 3 · Functional 4 · Leadership 3</t>
        </is>
      </c>
      <c r="AB171" s="9" t="inlineStr">
        <is>
          <t>Test Automation &amp; QA Engineering · Product, Platform &amp; Domain Knowledge</t>
        </is>
      </c>
      <c r="AC171" s="9" t="inlineStr">
        <is>
          <t>Database, SQL &amp; Data Engineering · AI, GenAI &amp; Prompt Engineering · Process Improvement &amp; Quality Mindset · Communication &amp; Presentation</t>
        </is>
      </c>
      <c r="AD171" s="8" t="inlineStr">
        <is>
          <t>P4 / M3</t>
        </is>
      </c>
      <c r="AE171" s="8" t="inlineStr">
        <is>
          <t>4–5</t>
        </is>
      </c>
      <c r="AF171" s="9" t="inlineStr">
        <is>
          <r>
            <rPr>
              <rFont val="Calibri"/>
              <b val="1"/>
              <sz val="10"/>
            </rPr>
            <t>Workiva:</t>
          </r>
          <r>
            <rPr>
              <rFont val="Calibri"/>
              <sz val="10"/>
            </rPr>
            <t xml:space="preserve"> Senior SE · Broadridge India: Lead SE · Nasdaq / AxiomSL: Senior SE · IRIS Vs Market Benchmark — ISTQB certification pathway: Advanced · Test Manager / TAE</t>
          </r>
        </is>
      </c>
      <c r="AG171" s="9" t="inlineStr">
        <is>
          <t>ISTQB Foundation → Advanced → Expert; SFIA testing</t>
        </is>
      </c>
      <c r="AH171" s="9" t="inlineStr">
        <is>
          <t>B3 · Lead Specialist</t>
        </is>
      </c>
      <c r="AI171" s="9" t="inlineStr">
        <is>
          <t>AI / automation · Testing &amp; quality · Product &amp; tool knowledge · Strategy &amp; business acumen · Broader exposure &amp; ownership</t>
        </is>
      </c>
      <c r="AJ171" s="9" t="inlineStr">
        <is>
          <t>Communications and Soft Skills</t>
        </is>
      </c>
      <c r="AK171" s="9" t="inlineStr">
        <is>
          <t>Mentoring / guidance from seniors</t>
        </is>
      </c>
      <c r="AL171" s="9" t="inlineStr">
        <is>
          <t>No common theme</t>
        </is>
      </c>
      <c r="AM171" s="9" t="inlineStr">
        <is>
          <t>No common theme</t>
        </is>
      </c>
      <c r="AN171" s="9" t="inlineStr">
        <is>
          <t>3 of 3 say the role is changing because of AI / automation</t>
        </is>
      </c>
      <c r="AO171" s="9" t="inlineStr">
        <is>
          <t>Provide systematic product-quality assurance. Includes: Test design, automation, risk-based coverage and quality architecture. Excludes: Data-production checking where the primary output is data.</t>
        </is>
      </c>
      <c r="AP171" s="9" t="inlineStr">
        <is>
          <t>LD06-1 · Quality Engineering Manager</t>
        </is>
      </c>
      <c r="AQ171" s="9" t="inlineStr">
        <is>
          <t>Own staffing decisions, performance support, service quality and delegated team resources</t>
        </is>
      </c>
      <c r="AR171" s="9" t="inlineStr">
        <is>
          <t>Do not manufacture three reporting layers. Choose roles the organisation needs. A specialist may remain on an equally valued expert path.</t>
        </is>
      </c>
      <c r="AS171" s="9" t="inlineStr">
        <is>
          <t>—</t>
        </is>
      </c>
      <c r="AT171" s="9" t="inlineStr">
        <is>
          <t>—</t>
        </is>
      </c>
      <c r="AU171" s="19" t="inlineStr">
        <is>
          <t>Framework + sub-family themes · 3+ answered</t>
        </is>
      </c>
      <c r="AV171" s="9" t="inlineStr">
        <is>
          <t>2 holders, 2 answered the survey; sub-family 3 answered</t>
        </is>
      </c>
    </row>
    <row r="172">
      <c r="A172" s="94" t="inlineStr">
        <is>
          <t>Sales &amp; Business Development — 23 roles · 39 people</t>
        </is>
      </c>
    </row>
    <row r="173" ht="145" customHeight="1">
      <c r="A173" s="17" t="inlineStr">
        <is>
          <t>RC-149</t>
        </is>
      </c>
      <c r="B173" s="9" t="inlineStr">
        <is>
          <t>Sales &amp; Business Development</t>
        </is>
      </c>
      <c r="C173" s="9" t="inlineStr">
        <is>
          <t>Bids, RFP &amp; Sales Operations</t>
        </is>
      </c>
      <c r="D173" s="18" t="inlineStr">
        <is>
          <t>A3</t>
        </is>
      </c>
      <c r="E173" s="19" t="inlineStr">
        <is>
          <t>Senior Associate</t>
        </is>
      </c>
      <c r="F173" s="9" t="inlineStr">
        <is>
          <t>IC</t>
        </is>
      </c>
      <c r="G173" s="9" t="inlineStr">
        <is>
          <t>Senior Sales Operations Analyst</t>
        </is>
      </c>
      <c r="H173" s="8" t="n">
        <v>1</v>
      </c>
      <c r="I173" s="9" t="inlineStr">
        <is>
          <t>CARBON 1</t>
        </is>
      </c>
      <c r="J173" s="9" t="inlineStr">
        <is>
          <t>Prepares RFPs, vendor registrations, deal documentation and sales operations. At A3: varied work; reviews juniors; go-to for a process.</t>
        </is>
      </c>
      <c r="K173" s="9" t="inlineStr">
        <is>
          <t>Prepares RFPs, vendor registrations, deal documentation and sales operations; Varied and non-standard work; handles exceptions; A module / process, or work with client or regulatory consequences</t>
        </is>
      </c>
      <c r="L173" s="9" t="inlineStr">
        <is>
          <t>A module / process, or work with client or regulatory consequences</t>
        </is>
      </c>
      <c r="M173" s="9" t="inlineStr">
        <is>
          <t>A module / process, or work with client or regulatory consequences</t>
        </is>
      </c>
      <c r="N173" s="9" t="inlineStr">
        <is>
          <t>Technical / QC / client calls on own work</t>
        </is>
      </c>
      <c r="O173" s="9" t="inlineStr">
        <is>
          <t>—</t>
        </is>
      </c>
      <c r="P173" s="9" t="inlineStr">
        <is>
          <t>Sales</t>
        </is>
      </c>
      <c r="Q173" s="9" t="inlineStr">
        <is>
          <t>—</t>
        </is>
      </c>
      <c r="R173" s="9" t="inlineStr">
        <is>
          <t>Varied work; reviews juniors; go-to for a process</t>
        </is>
      </c>
      <c r="S173" s="9" t="inlineStr">
        <is>
          <t>Varied and non-standard work; handles exceptions</t>
        </is>
      </c>
      <c r="T173" s="9" t="inlineStr">
        <is>
          <t>Technical / QC / client calls on own work</t>
        </is>
      </c>
      <c r="U173" s="9" t="inlineStr">
        <is>
          <t>A module / process, or work with client or regulatory consequences</t>
        </is>
      </c>
      <c r="V173" s="9" t="inlineStr">
        <is>
          <t>Not scored in Band A</t>
        </is>
      </c>
      <c r="W173" s="9" t="inlineStr">
        <is>
          <t>2–4 yrs</t>
        </is>
      </c>
      <c r="X173" s="9" t="inlineStr">
        <is>
          <t>Graduate; relevant certification preferred</t>
        </is>
      </c>
      <c r="Y173" s="9" t="inlineStr">
        <is>
          <t>Google / HubSpot certifications</t>
        </is>
      </c>
      <c r="Z173" s="9" t="inlineStr">
        <is>
          <t>None · guides 1–3 juniors informally</t>
        </is>
      </c>
      <c r="AA173" s="9" t="inlineStr">
        <is>
          <t>Core 2 · Future-ready 2 · Functional 3 · Leadership —</t>
        </is>
      </c>
      <c r="AB173" s="9" t="inlineStr">
        <is>
          <t>Sales, Negotiation &amp; Account Growth · Marketing Tech &amp; Digital Marketing</t>
        </is>
      </c>
      <c r="AC173" s="9" t="inlineStr">
        <is>
          <t>Stakeholder &amp; Client Management · Communication &amp; Presentation · Product, Platform &amp; Domain Knowledge · Strategic Thinking &amp; Business Acumen</t>
        </is>
      </c>
      <c r="AD173" s="8" t="inlineStr">
        <is>
          <t>P2</t>
        </is>
      </c>
      <c r="AE173" s="8" t="inlineStr">
        <is>
          <t>3 Apply</t>
        </is>
      </c>
      <c r="AF173" s="9" t="inlineStr">
        <is>
          <t>IRIS Vs Competitor Benchmark — SaaS sales ladder — IC: Senior SDR</t>
        </is>
      </c>
      <c r="AG173" s="9" t="inlineStr">
        <is>
          <t>SaaS sales ladder · SDR → AE → Enterprise AE → VP / CRO; MEDDICC-style qualification</t>
        </is>
      </c>
      <c r="AH173" s="9" t="inlineStr">
        <is>
          <t>B1 · Specialist</t>
        </is>
      </c>
      <c r="AI173" s="9" t="inlineStr">
        <is>
          <t>Leadership &amp; people management · Strategy &amp; business acumen · Broader exposure &amp; ownership</t>
        </is>
      </c>
      <c r="AJ173" s="9" t="inlineStr">
        <is>
          <t>Consultative &amp; solution selling; negotiation; CRM discipline; SaaS/RegTech product &amp; domain knowledge | Transition to leadership: people management &amp; delegation, mentoring/coaching, project ownership &amp; stakeholder management, prioritisation under ambiguity, presentation &amp; influence skills</t>
        </is>
      </c>
      <c r="AK173" s="9" t="inlineStr">
        <is>
          <t>—</t>
        </is>
      </c>
      <c r="AL173" s="9" t="inlineStr">
        <is>
          <t>—</t>
        </is>
      </c>
      <c r="AM173" s="9" t="inlineStr">
        <is>
          <t>—</t>
        </is>
      </c>
      <c r="AN173" s="9" t="inlineStr">
        <is>
          <t>—</t>
        </is>
      </c>
      <c r="AO173" s="9" t="inlineStr">
        <is>
          <t>Create and convert commercial opportunities. Includes: Prospecting, account sales, alliances, presales and sales operations. Excludes: Customer adoption unless sales accountability is primary.</t>
        </is>
      </c>
      <c r="AP173" s="9" t="inlineStr">
        <is>
          <t>SAL04-2 · Sales Operations Analyst / Bid Specialist</t>
        </is>
      </c>
      <c r="AQ173" s="9" t="inlineStr">
        <is>
          <t>Maintain reliable CRM reporting and compliant bid submissions.</t>
        </is>
      </c>
      <c r="AR173" s="9" t="inlineStr">
        <is>
          <t>Demonstrate routine delivery plus judgement in bounded exceptions.</t>
        </is>
      </c>
      <c r="AS173" s="9" t="inlineStr">
        <is>
          <t>A bid and sales process with approval controls, data checks and measurable cycle improvement</t>
        </is>
      </c>
      <c r="AT173" s="9" t="inlineStr">
        <is>
          <r>
            <rPr>
              <rFont val="Calibri"/>
              <b val="1"/>
              <sz val="10"/>
            </rPr>
            <t>Workiva:</t>
          </r>
          <r>
            <rPr>
              <rFont val="Calibri"/>
              <sz val="10"/>
            </rPr>
            <t xml:space="preserve"> Product Marketing Operations Director · Related work. Gap: Marketing operations director is not bid operations; direct peer bid ladder remains a gap</t>
          </r>
        </is>
      </c>
      <c r="AU173" s="57" t="inlineStr">
        <is>
          <t>Framework only · fewer than 3 answered</t>
        </is>
      </c>
      <c r="AV173" s="9" t="inlineStr">
        <is>
          <t>1 holder, 1 answered the survey; sub-family 2 answered</t>
        </is>
      </c>
    </row>
    <row r="174" ht="80" customHeight="1">
      <c r="A174" s="17" t="inlineStr">
        <is>
          <t>RC-150</t>
        </is>
      </c>
      <c r="B174" s="9" t="inlineStr">
        <is>
          <t>Sales &amp; Business Development</t>
        </is>
      </c>
      <c r="C174" s="9" t="inlineStr">
        <is>
          <t>Bids, RFP &amp; Sales Operations</t>
        </is>
      </c>
      <c r="D174" s="21" t="inlineStr">
        <is>
          <t>B1</t>
        </is>
      </c>
      <c r="E174" s="22" t="inlineStr">
        <is>
          <t>Specialist</t>
        </is>
      </c>
      <c r="F174" s="9" t="inlineStr">
        <is>
          <t>IC</t>
        </is>
      </c>
      <c r="G174" s="9" t="inlineStr">
        <is>
          <t>Sales Operations Specialist – POD Lead</t>
        </is>
      </c>
      <c r="H174" s="8" t="n">
        <v>1</v>
      </c>
      <c r="I174" s="9" t="inlineStr">
        <is>
          <t>CARBON 1</t>
        </is>
      </c>
      <c r="J174" s="9" t="inlineStr">
        <is>
          <t>Prepares RFPs, vendor registrations, deal documentation and sales operations. At B1: a domain / module, or a small team.</t>
        </is>
      </c>
      <c r="K174" s="9" t="inlineStr">
        <is>
          <t>Prepares RFPs, vendor registrations, deal documentation and sales operations; Domain specialist work; A domain or a small team</t>
        </is>
      </c>
      <c r="L174" s="9" t="inlineStr">
        <is>
          <t>A domain or a small team</t>
        </is>
      </c>
      <c r="M174" s="9" t="inlineStr">
        <is>
          <t>A domain or a small team</t>
        </is>
      </c>
      <c r="N174" s="9" t="inlineStr">
        <is>
          <t>Technical / QC / client calls for the domain</t>
        </is>
      </c>
      <c r="O174" s="9" t="inlineStr">
        <is>
          <t>—</t>
        </is>
      </c>
      <c r="P174" s="9" t="inlineStr">
        <is>
          <t>Sales</t>
        </is>
      </c>
      <c r="Q174" s="9" t="inlineStr">
        <is>
          <t>—</t>
        </is>
      </c>
      <c r="R174" s="9" t="inlineStr">
        <is>
          <t>A domain / module, or a small team</t>
        </is>
      </c>
      <c r="S174" s="9" t="inlineStr">
        <is>
          <t>Domain specialist work</t>
        </is>
      </c>
      <c r="T174" s="9" t="inlineStr">
        <is>
          <t>Technical / QC / client calls for the domain</t>
        </is>
      </c>
      <c r="U174" s="9" t="inlineStr">
        <is>
          <t>A domain or a small team</t>
        </is>
      </c>
      <c r="V174" s="9" t="inlineStr">
        <is>
          <r>
            <rPr>
              <rFont val="Calibri"/>
              <b val="1"/>
              <sz val="10"/>
            </rPr>
            <t>IC:</t>
          </r>
          <r>
            <rPr>
              <rFont val="Calibri"/>
              <sz val="10"/>
            </rPr>
            <t xml:space="preserve"> mentors and reviews · People: hands-on team lead of 3–5</t>
          </r>
        </is>
      </c>
      <c r="W174" s="9" t="inlineStr">
        <is>
          <t>4–7 yrs</t>
        </is>
      </c>
      <c r="X174" s="9" t="inlineStr">
        <is>
          <t>Graduate + relevant qualification or certification preferred</t>
        </is>
      </c>
      <c r="Y174" s="9" t="inlineStr">
        <is>
          <t>Google / HubSpot certifications</t>
        </is>
      </c>
      <c r="Z174" s="9" t="inlineStr">
        <is>
          <r>
            <rPr>
              <rFont val="Calibri"/>
              <b val="1"/>
              <sz val="10"/>
            </rPr>
            <t>IC:</t>
          </r>
          <r>
            <rPr>
              <rFont val="Calibri"/>
              <sz val="10"/>
            </rPr>
            <t xml:space="preserve"> none · Team Lead: 3–5</t>
          </r>
        </is>
      </c>
      <c r="AA174" s="9" t="inlineStr">
        <is>
          <t>Core 3 · Future-ready 3 · Functional 3 · Leadership 1</t>
        </is>
      </c>
      <c r="AB174" s="9" t="inlineStr">
        <is>
          <t>Sales, Negotiation &amp; Account Growth · Marketing Tech &amp; Digital Marketing</t>
        </is>
      </c>
      <c r="AC174" s="9" t="inlineStr">
        <is>
          <t>Stakeholder &amp; Client Management · Communication &amp; Presentation · Product, Platform &amp; Domain Knowledge · Strategic Thinking &amp; Business Acumen</t>
        </is>
      </c>
      <c r="AD174" s="8" t="inlineStr">
        <is>
          <t>P3 / M2</t>
        </is>
      </c>
      <c r="AE174" s="8" t="inlineStr">
        <is>
          <t>4 Enable</t>
        </is>
      </c>
      <c r="AF174" s="9" t="inlineStr">
        <is>
          <t>IRIS Vs Competitor Benchmark — SaaS sales ladder — IC: Account Executive · SMB · IRIS Vs Competitor Benchmark — SaaS sales ladder — management: SDR Team Lead</t>
        </is>
      </c>
      <c r="AG174" s="9" t="inlineStr">
        <is>
          <t>SaaS sales ladder · SDR → AE → Enterprise AE → VP / CRO; MEDDICC-style qualification</t>
        </is>
      </c>
      <c r="AH174" s="9" t="inlineStr">
        <is>
          <t>B2 · Senior Specialist</t>
        </is>
      </c>
      <c r="AI174" s="9" t="inlineStr">
        <is>
          <t>Client, sales &amp; stakeholders · Strategy &amp; business acumen</t>
        </is>
      </c>
      <c r="AJ174" s="9" t="inlineStr">
        <is>
          <t>Sales</t>
        </is>
      </c>
      <c r="AK174" s="9" t="inlineStr">
        <is>
          <t>—</t>
        </is>
      </c>
      <c r="AL174" s="9" t="inlineStr">
        <is>
          <t>—</t>
        </is>
      </c>
      <c r="AM174" s="9" t="inlineStr">
        <is>
          <t>—</t>
        </is>
      </c>
      <c r="AN174" s="9" t="inlineStr">
        <is>
          <t>—</t>
        </is>
      </c>
      <c r="AO174" s="9" t="inlineStr">
        <is>
          <t>Create and convert commercial opportunities. Includes: Prospecting, account sales, alliances, presales and sales operations. Excludes: Customer adoption unless sales accountability is primary.</t>
        </is>
      </c>
      <c r="AP174" s="9" t="inlineStr">
        <is>
          <t>SAL04-3 · Senior Sales Operations Analyst</t>
        </is>
      </c>
      <c r="AQ174" s="9" t="inlineStr">
        <is>
          <t>Resolve pricing/process exceptions and improve forecast data.</t>
        </is>
      </c>
      <c r="AR174" s="9" t="inlineStr">
        <is>
          <t>Evidence of complex work, decisions and outcomes beyond routine delivery.</t>
        </is>
      </c>
      <c r="AS174" s="9" t="inlineStr">
        <is>
          <t>A bid and sales process with approval controls, data checks and measurable cycle improvement</t>
        </is>
      </c>
      <c r="AT174" s="9" t="inlineStr">
        <is>
          <r>
            <rPr>
              <rFont val="Calibri"/>
              <b val="1"/>
              <sz val="10"/>
            </rPr>
            <t>Workiva:</t>
          </r>
          <r>
            <rPr>
              <rFont val="Calibri"/>
              <sz val="10"/>
            </rPr>
            <t xml:space="preserve"> Product Marketing Operations Director · Related work. Gap: Marketing operations director is not bid operations; direct peer bid ladder remains a gap</t>
          </r>
        </is>
      </c>
      <c r="AU174" s="57" t="inlineStr">
        <is>
          <t>Framework only · fewer than 3 answered</t>
        </is>
      </c>
      <c r="AV174" s="9" t="inlineStr">
        <is>
          <t>1 holder, 1 answered the survey; sub-family 2 answered</t>
        </is>
      </c>
    </row>
    <row r="175" ht="210" customHeight="1">
      <c r="A175" s="17" t="inlineStr">
        <is>
          <t>RC-151</t>
        </is>
      </c>
      <c r="B175" s="9" t="inlineStr">
        <is>
          <t>Sales &amp; Business Development</t>
        </is>
      </c>
      <c r="C175" s="9" t="inlineStr">
        <is>
          <t>Enterprise Sales &amp; Account Management</t>
        </is>
      </c>
      <c r="D175" s="21" t="inlineStr">
        <is>
          <t>B1</t>
        </is>
      </c>
      <c r="E175" s="22" t="inlineStr">
        <is>
          <t>Specialist</t>
        </is>
      </c>
      <c r="F175" s="9" t="inlineStr">
        <is>
          <t>IC</t>
        </is>
      </c>
      <c r="G175" s="9" t="inlineStr">
        <is>
          <t>Account Executive – POD Lead · Account Executive</t>
        </is>
      </c>
      <c r="H175" s="8" t="n">
        <v>2</v>
      </c>
      <c r="I175" s="9" t="inlineStr">
        <is>
          <t>iFile 1 · iDEAL 1</t>
        </is>
      </c>
      <c r="J175" s="9" t="inlineStr">
        <is>
          <r>
            <rPr>
              <rFont val="Calibri"/>
              <sz val="10"/>
            </rPr>
            <t xml:space="preserve">Runs discovery, demos, proposals and negotiations; closes and grows accounts. At B1: a domain / module, or a small team.
</t>
          </r>
          <r>
            <rPr>
              <rFont val="Calibri"/>
              <b val="1"/>
              <sz val="10"/>
            </rPr>
            <t>Common themes in sub-family holders, all levels' answers:</t>
          </r>
          <r>
            <rPr>
              <rFont val="Calibri"/>
              <sz val="10"/>
            </rPr>
            <t xml:space="preserve"> sales · company · revenue</t>
          </r>
        </is>
      </c>
      <c r="K175" s="9" t="inlineStr">
        <is>
          <r>
            <rPr>
              <rFont val="Calibri"/>
              <sz val="10"/>
            </rPr>
            <t xml:space="preserve">Runs discovery, demos, proposals and negotiations; closes and grows accounts; Domain specialist work; A domain or a small team
</t>
          </r>
          <r>
            <rPr>
              <rFont val="Calibri"/>
              <b val="1"/>
              <sz val="10"/>
            </rPr>
            <t>Common themes in sub-family holders, all levels' answers:</t>
          </r>
          <r>
            <rPr>
              <rFont val="Calibri"/>
              <sz val="10"/>
            </rPr>
            <t xml:space="preserve"> ups · follow</t>
          </r>
        </is>
      </c>
      <c r="L175" s="9" t="inlineStr">
        <is>
          <r>
            <rPr>
              <rFont val="Calibri"/>
              <sz val="10"/>
            </rPr>
            <t xml:space="preserve">A domain or a small team
</t>
          </r>
          <r>
            <rPr>
              <rFont val="Calibri"/>
              <b val="1"/>
              <sz val="10"/>
            </rPr>
            <t>Common themes in sub-family holders, all levels' answers:</t>
          </r>
          <r>
            <rPr>
              <rFont val="Calibri"/>
              <sz val="10"/>
            </rPr>
            <t xml:space="preserve"> client</t>
          </r>
        </is>
      </c>
      <c r="M175" s="9" t="inlineStr">
        <is>
          <r>
            <rPr>
              <rFont val="Calibri"/>
              <sz val="10"/>
            </rPr>
            <t xml:space="preserve">A domain or a small team
</t>
          </r>
          <r>
            <rPr>
              <rFont val="Calibri"/>
              <b val="1"/>
              <sz val="10"/>
            </rPr>
            <t>Common themes in sub-family holders, all levels' answers:</t>
          </r>
          <r>
            <rPr>
              <rFont val="Calibri"/>
              <sz val="10"/>
            </rPr>
            <t xml:space="preserve"> revenue · client · target</t>
          </r>
        </is>
      </c>
      <c r="N175" s="9" t="inlineStr">
        <is>
          <r>
            <rPr>
              <rFont val="Calibri"/>
              <sz val="10"/>
            </rPr>
            <t xml:space="preserve">Technical / QC / client calls for the domain
</t>
          </r>
          <r>
            <rPr>
              <rFont val="Calibri"/>
              <b val="1"/>
              <sz val="10"/>
            </rPr>
            <t>Common themes in sub-family holders, all levels' answers:</t>
          </r>
          <r>
            <rPr>
              <rFont val="Calibri"/>
              <sz val="10"/>
            </rPr>
            <t xml:space="preserve"> meeting</t>
          </r>
        </is>
      </c>
      <c r="O175" s="9" t="inlineStr">
        <is>
          <t>—</t>
        </is>
      </c>
      <c r="P175" s="9" t="inlineStr">
        <is>
          <t>Sales</t>
        </is>
      </c>
      <c r="Q175" s="9" t="inlineStr">
        <is>
          <t>Excel</t>
        </is>
      </c>
      <c r="R175" s="9" t="inlineStr">
        <is>
          <t>A domain / module, or a small team</t>
        </is>
      </c>
      <c r="S175" s="9" t="inlineStr">
        <is>
          <t>Domain specialist work</t>
        </is>
      </c>
      <c r="T175" s="9" t="inlineStr">
        <is>
          <t>Technical / QC / client calls for the domain</t>
        </is>
      </c>
      <c r="U175" s="9" t="inlineStr">
        <is>
          <t>A domain or a small team</t>
        </is>
      </c>
      <c r="V175" s="9" t="inlineStr">
        <is>
          <r>
            <rPr>
              <rFont val="Calibri"/>
              <b val="1"/>
              <sz val="10"/>
            </rPr>
            <t>IC:</t>
          </r>
          <r>
            <rPr>
              <rFont val="Calibri"/>
              <sz val="10"/>
            </rPr>
            <t xml:space="preserve"> mentors and reviews · People: hands-on team lead of 3–5</t>
          </r>
        </is>
      </c>
      <c r="W175" s="9" t="inlineStr">
        <is>
          <t>4–7 yrs</t>
        </is>
      </c>
      <c r="X175" s="9" t="inlineStr">
        <is>
          <t>Graduate + relevant qualification or certification preferred</t>
        </is>
      </c>
      <c r="Y175" s="9" t="inlineStr">
        <is>
          <t>Google / HubSpot certifications</t>
        </is>
      </c>
      <c r="Z175" s="9" t="inlineStr">
        <is>
          <r>
            <rPr>
              <rFont val="Calibri"/>
              <b val="1"/>
              <sz val="10"/>
            </rPr>
            <t>IC:</t>
          </r>
          <r>
            <rPr>
              <rFont val="Calibri"/>
              <sz val="10"/>
            </rPr>
            <t xml:space="preserve"> none · Team Lead: 3–5</t>
          </r>
        </is>
      </c>
      <c r="AA175" s="9" t="inlineStr">
        <is>
          <t>Core 3 · Future-ready 3 · Functional 3 · Leadership 1</t>
        </is>
      </c>
      <c r="AB175" s="9" t="inlineStr">
        <is>
          <t>Sales, Negotiation &amp; Account Growth · Marketing Tech &amp; Digital Marketing</t>
        </is>
      </c>
      <c r="AC175" s="9" t="inlineStr">
        <is>
          <t>Stakeholder &amp; Client Management · Communication &amp; Presentation · Product, Platform &amp; Domain Knowledge · Strategic Thinking &amp; Business Acumen</t>
        </is>
      </c>
      <c r="AD175" s="8" t="inlineStr">
        <is>
          <t>P3 / M2</t>
        </is>
      </c>
      <c r="AE175" s="8" t="inlineStr">
        <is>
          <t>4 Enable</t>
        </is>
      </c>
      <c r="AF175" s="9" t="inlineStr">
        <is>
          <t>IRIS Vs Competitor Benchmark — SaaS sales ladder — IC: Account Executive · SMB · IRIS Vs Competitor Benchmark — SaaS sales ladder — management: SDR Team Lead</t>
        </is>
      </c>
      <c r="AG175" s="9" t="inlineStr">
        <is>
          <t>SaaS sales ladder · SDR → AE → Enterprise AE → VP / CRO; MEDDICC-style qualification</t>
        </is>
      </c>
      <c r="AH175" s="9" t="inlineStr">
        <is>
          <t>B2 · Senior Specialist</t>
        </is>
      </c>
      <c r="AI175" s="9" t="inlineStr">
        <is>
          <t>Client, sales &amp; stakeholders · Strategy &amp; business acumen · Broader exposure &amp; ownership</t>
        </is>
      </c>
      <c r="AJ175" s="9" t="inlineStr">
        <is>
          <t>1. Advanced Sales Negotiation &amp; Enterprise Deal Structuring — closing complex multi-stakeholder deals for IRIS INSTANT and CARBON 2. Regulatory &amp; Domain Knowledge: XBRL, DM ESG/Sustainability Reporting · TCFD, GRI, ISSB relevant to SA &amp; Nigeria markets 3. CRM Mastery &amp; Pipeline Management — forecasting discipline, deal hygiene and data-driven selling 4. People Management &amp; Coaching Skills — structured 1:1s, …</t>
        </is>
      </c>
      <c r="AK175" s="9" t="inlineStr">
        <is>
          <t>Mentoring / guidance from seniors · Formal / classroom training</t>
        </is>
      </c>
      <c r="AL175" s="9" t="inlineStr">
        <is>
          <t>No common theme</t>
        </is>
      </c>
      <c r="AM175" s="9" t="inlineStr">
        <is>
          <t>No common theme</t>
        </is>
      </c>
      <c r="AN175" s="9" t="inlineStr">
        <is>
          <t>2 of 3 say the role is changing because of AI / automation</t>
        </is>
      </c>
      <c r="AO175" s="9" t="inlineStr">
        <is>
          <t>Create and convert commercial opportunities. Includes: Prospecting, account sales, alliances, presales and sales operations. Excludes: Customer adoption unless sales accountability is primary.</t>
        </is>
      </c>
      <c r="AP175" s="9" t="inlineStr">
        <is>
          <t>SAL02-3 · Senior Account Executive</t>
        </is>
      </c>
      <c r="AQ175" s="9" t="inlineStr">
        <is>
          <t>Own complex multi-stakeholder deals and commercial trade-offs.</t>
        </is>
      </c>
      <c r="AR175" s="9" t="inlineStr">
        <is>
          <t>Evidence of complex work, decisions and outcomes beyond routine delivery.</t>
        </is>
      </c>
      <c r="AS175" s="9" t="inlineStr">
        <is>
          <t>An account strategy with verified buyer needs, commercial terms and forecast rationale</t>
        </is>
      </c>
      <c r="AT175" s="9" t="inlineStr">
        <is>
          <r>
            <rPr>
              <rFont val="Calibri"/>
              <b val="1"/>
              <sz val="10"/>
            </rPr>
            <t>Workiva:</t>
          </r>
          <r>
            <rPr>
              <rFont val="Calibri"/>
              <sz val="10"/>
            </rPr>
            <t xml:space="preserve"> Account Executive, SLED
</t>
          </r>
          <r>
            <rPr>
              <rFont val="Calibri"/>
              <b val="1"/>
              <sz val="10"/>
            </rPr>
            <t>Workiva:</t>
          </r>
          <r>
            <rPr>
              <rFont val="Calibri"/>
              <sz val="10"/>
            </rPr>
            <t xml:space="preserve"> Senior Account Executive, SLED · Two selected titles. Gap: AE and Senior AE duties overlap; do not infer a precise grade differential</t>
          </r>
        </is>
      </c>
      <c r="AU175" s="19" t="inlineStr">
        <is>
          <t>Framework + sub-family themes · 3+ answered</t>
        </is>
      </c>
      <c r="AV175" s="9" t="inlineStr">
        <is>
          <t>2 holders, 2 answered the survey; sub-family 4 answered</t>
        </is>
      </c>
    </row>
    <row r="176" ht="93" customHeight="1">
      <c r="A176" s="17" t="inlineStr">
        <is>
          <t>RC-152</t>
        </is>
      </c>
      <c r="B176" s="9" t="inlineStr">
        <is>
          <t>Sales &amp; Business Development</t>
        </is>
      </c>
      <c r="C176" s="9" t="inlineStr">
        <is>
          <t>Enterprise Sales &amp; Account Management</t>
        </is>
      </c>
      <c r="D176" s="21" t="inlineStr">
        <is>
          <t>B2</t>
        </is>
      </c>
      <c r="E176" s="22" t="inlineStr">
        <is>
          <t>Senior Specialist</t>
        </is>
      </c>
      <c r="F176" s="9" t="inlineStr">
        <is>
          <t>IC</t>
        </is>
      </c>
      <c r="G176" s="9" t="inlineStr">
        <is>
          <t>Senior Account Executive</t>
        </is>
      </c>
      <c r="H176" s="8" t="n">
        <v>1</v>
      </c>
      <c r="I176" s="9" t="inlineStr">
        <is>
          <t>iDEAL 1</t>
        </is>
      </c>
      <c r="J176" s="9" t="inlineStr">
        <is>
          <r>
            <rPr>
              <rFont val="Calibri"/>
              <sz val="10"/>
            </rPr>
            <t xml:space="preserve">Runs discovery, demos, proposals and negotiations; closes and grows accounts. At B2: deep domain expertise, or one team.
</t>
          </r>
          <r>
            <rPr>
              <rFont val="Calibri"/>
              <b val="1"/>
              <sz val="10"/>
            </rPr>
            <t>Common themes in sub-family holders, all levels' answers:</t>
          </r>
          <r>
            <rPr>
              <rFont val="Calibri"/>
              <sz val="10"/>
            </rPr>
            <t xml:space="preserve"> sales · company · revenue</t>
          </r>
        </is>
      </c>
      <c r="K176" s="9" t="inlineStr">
        <is>
          <r>
            <rPr>
              <rFont val="Calibri"/>
              <sz val="10"/>
            </rPr>
            <t xml:space="preserve">Runs discovery, demos, proposals and negotiations; closes and grows accounts; Hardest problems in the domain; One team or a client portfolio
</t>
          </r>
          <r>
            <rPr>
              <rFont val="Calibri"/>
              <b val="1"/>
              <sz val="10"/>
            </rPr>
            <t>Common themes in sub-family holders, all levels' answers:</t>
          </r>
          <r>
            <rPr>
              <rFont val="Calibri"/>
              <sz val="10"/>
            </rPr>
            <t xml:space="preserve"> ups · follow</t>
          </r>
        </is>
      </c>
      <c r="L176" s="9" t="inlineStr">
        <is>
          <r>
            <rPr>
              <rFont val="Calibri"/>
              <sz val="10"/>
            </rPr>
            <t xml:space="preserve">One team or a client portfolio
</t>
          </r>
          <r>
            <rPr>
              <rFont val="Calibri"/>
              <b val="1"/>
              <sz val="10"/>
            </rPr>
            <t>Common themes in sub-family holders, all levels' answers:</t>
          </r>
          <r>
            <rPr>
              <rFont val="Calibri"/>
              <sz val="10"/>
            </rPr>
            <t xml:space="preserve"> client</t>
          </r>
        </is>
      </c>
      <c r="M176" s="9" t="inlineStr">
        <is>
          <r>
            <rPr>
              <rFont val="Calibri"/>
              <sz val="10"/>
            </rPr>
            <t xml:space="preserve">One team or a client portfolio
</t>
          </r>
          <r>
            <rPr>
              <rFont val="Calibri"/>
              <b val="1"/>
              <sz val="10"/>
            </rPr>
            <t>Common themes in sub-family holders, all levels' answers:</t>
          </r>
          <r>
            <rPr>
              <rFont val="Calibri"/>
              <sz val="10"/>
            </rPr>
            <t xml:space="preserve"> revenue · client · target</t>
          </r>
        </is>
      </c>
      <c r="N176" s="9" t="inlineStr">
        <is>
          <r>
            <rPr>
              <rFont val="Calibri"/>
              <sz val="10"/>
            </rPr>
            <t xml:space="preserve">Allocates people and sets team priorities
</t>
          </r>
          <r>
            <rPr>
              <rFont val="Calibri"/>
              <b val="1"/>
              <sz val="10"/>
            </rPr>
            <t>Common themes in sub-family holders, all levels' answers:</t>
          </r>
          <r>
            <rPr>
              <rFont val="Calibri"/>
              <sz val="10"/>
            </rPr>
            <t xml:space="preserve"> meeting</t>
          </r>
        </is>
      </c>
      <c r="O176" s="9" t="inlineStr">
        <is>
          <t>—</t>
        </is>
      </c>
      <c r="P176" s="9" t="inlineStr">
        <is>
          <t>Sales</t>
        </is>
      </c>
      <c r="Q176" s="9" t="inlineStr">
        <is>
          <t>Excel</t>
        </is>
      </c>
      <c r="R176" s="9" t="inlineStr">
        <is>
          <t>Deep domain expertise, or one team</t>
        </is>
      </c>
      <c r="S176" s="9" t="inlineStr">
        <is>
          <t>Hardest problems in the domain</t>
        </is>
      </c>
      <c r="T176" s="9" t="inlineStr">
        <is>
          <t>Allocates people and sets team priorities</t>
        </is>
      </c>
      <c r="U176" s="9" t="inlineStr">
        <is>
          <t>One team or a client portfolio</t>
        </is>
      </c>
      <c r="V176" s="9" t="inlineStr">
        <is>
          <r>
            <rPr>
              <rFont val="Calibri"/>
              <b val="1"/>
              <sz val="10"/>
            </rPr>
            <t>IC:</t>
          </r>
          <r>
            <rPr>
              <rFont val="Calibri"/>
              <sz val="10"/>
            </rPr>
            <t xml:space="preserve"> guides others in the domain · People: manages a team of 6+</t>
          </r>
        </is>
      </c>
      <c r="W176" s="9" t="inlineStr">
        <is>
          <t>6–9 yrs</t>
        </is>
      </c>
      <c r="X176" s="9" t="inlineStr">
        <is>
          <t>Graduate or postgraduate; professional qualification preferred</t>
        </is>
      </c>
      <c r="Y176" s="9" t="inlineStr">
        <is>
          <t>Google / HubSpot certifications</t>
        </is>
      </c>
      <c r="Z176" s="9" t="inlineStr">
        <is>
          <r>
            <rPr>
              <rFont val="Calibri"/>
              <b val="1"/>
              <sz val="10"/>
            </rPr>
            <t>IC:</t>
          </r>
          <r>
            <rPr>
              <rFont val="Calibri"/>
              <sz val="10"/>
            </rPr>
            <t xml:space="preserve"> none · People: 6–8 knowledge work, 8–12 standardised delivery</t>
          </r>
        </is>
      </c>
      <c r="AA176" s="9" t="inlineStr">
        <is>
          <t>Core 3 · Future-ready 3 · Functional 4 · Leadership 2</t>
        </is>
      </c>
      <c r="AB176" s="9" t="inlineStr">
        <is>
          <t>Sales, Negotiation &amp; Account Growth · Marketing Tech &amp; Digital Marketing</t>
        </is>
      </c>
      <c r="AC176" s="9" t="inlineStr">
        <is>
          <t>Stakeholder &amp; Client Management · Communication &amp; Presentation · Product, Platform &amp; Domain Knowledge · Strategic Thinking &amp; Business Acumen</t>
        </is>
      </c>
      <c r="AD176" s="8" t="inlineStr">
        <is>
          <t>P4 / M3</t>
        </is>
      </c>
      <c r="AE176" s="8" t="inlineStr">
        <is>
          <t>4–5</t>
        </is>
      </c>
      <c r="AF176" s="9" t="inlineStr">
        <is>
          <t>IRIS Vs Competitor Benchmark — SaaS sales ladder — IC: Mid-Market AE · IRIS Vs Competitor Benchmark — SaaS sales ladder — management: Sales Manager</t>
        </is>
      </c>
      <c r="AG176" s="9" t="inlineStr">
        <is>
          <t>SaaS sales ladder · SDR → AE → Enterprise AE → VP / CRO; MEDDICC-style qualification</t>
        </is>
      </c>
      <c r="AH176" s="9" t="inlineStr">
        <is>
          <t>B3 · Lead Specialist</t>
        </is>
      </c>
      <c r="AI176" s="9" t="inlineStr">
        <is>
          <t>AI / automation · Client, sales &amp; stakeholders · Certification / formal course</t>
        </is>
      </c>
      <c r="AJ176" s="9" t="inlineStr">
        <is>
          <t>XBRL Training, Training on the effective utilization of AI tools.</t>
        </is>
      </c>
      <c r="AK176" s="9" t="inlineStr">
        <is>
          <t>Mentoring / guidance from seniors · Formal / classroom training</t>
        </is>
      </c>
      <c r="AL176" s="9" t="inlineStr">
        <is>
          <t>No common theme</t>
        </is>
      </c>
      <c r="AM176" s="9" t="inlineStr">
        <is>
          <t>No common theme</t>
        </is>
      </c>
      <c r="AN176" s="9" t="inlineStr">
        <is>
          <t>2 of 3 say the role is changing because of AI / automation</t>
        </is>
      </c>
      <c r="AO176" s="9" t="inlineStr">
        <is>
          <t>Create and convert commercial opportunities. Includes: Prospecting, account sales, alliances, presales and sales operations. Excludes: Customer adoption unless sales accountability is primary.</t>
        </is>
      </c>
      <c r="AP176" s="9" t="inlineStr">
        <is>
          <t>SAL02-3 · Senior Account Executive</t>
        </is>
      </c>
      <c r="AQ176" s="9" t="inlineStr">
        <is>
          <t>Own complex multi-stakeholder deals and commercial trade-offs.</t>
        </is>
      </c>
      <c r="AR176" s="9" t="inlineStr">
        <is>
          <t>Evidence of complex work, decisions and outcomes beyond routine delivery.</t>
        </is>
      </c>
      <c r="AS176" s="9" t="inlineStr">
        <is>
          <t>An account strategy with verified buyer needs, commercial terms and forecast rationale</t>
        </is>
      </c>
      <c r="AT176" s="9" t="inlineStr">
        <is>
          <r>
            <rPr>
              <rFont val="Calibri"/>
              <b val="1"/>
              <sz val="10"/>
            </rPr>
            <t>Workiva:</t>
          </r>
          <r>
            <rPr>
              <rFont val="Calibri"/>
              <sz val="10"/>
            </rPr>
            <t xml:space="preserve"> Account Executive, SLED
</t>
          </r>
          <r>
            <rPr>
              <rFont val="Calibri"/>
              <b val="1"/>
              <sz val="10"/>
            </rPr>
            <t>Workiva:</t>
          </r>
          <r>
            <rPr>
              <rFont val="Calibri"/>
              <sz val="10"/>
            </rPr>
            <t xml:space="preserve"> Senior Account Executive, SLED · Two selected titles. Gap: AE and Senior AE duties overlap; do not infer a precise grade differential</t>
          </r>
        </is>
      </c>
      <c r="AU176" s="19" t="inlineStr">
        <is>
          <t>Framework + sub-family themes · 3+ answered</t>
        </is>
      </c>
      <c r="AV176" s="9" t="inlineStr">
        <is>
          <t>1 holder, 1 answered the survey; sub-family 4 answered</t>
        </is>
      </c>
    </row>
    <row r="177" ht="80" customHeight="1">
      <c r="A177" s="17" t="inlineStr">
        <is>
          <t>RC-153</t>
        </is>
      </c>
      <c r="B177" s="9" t="inlineStr">
        <is>
          <t>Sales &amp; Business Development</t>
        </is>
      </c>
      <c r="C177" s="9" t="inlineStr">
        <is>
          <t>Enterprise Sales &amp; Account Management</t>
        </is>
      </c>
      <c r="D177" s="39" t="inlineStr">
        <is>
          <t>X2</t>
        </is>
      </c>
      <c r="E177" s="40" t="inlineStr">
        <is>
          <t>Consultant</t>
        </is>
      </c>
      <c r="F177" s="9" t="inlineStr">
        <is>
          <t>IC</t>
        </is>
      </c>
      <c r="G177" s="9" t="inlineStr">
        <is>
          <t>Consultant – Enterprise Sales &amp; Account Management</t>
        </is>
      </c>
      <c r="H177" s="8" t="n">
        <v>1</v>
      </c>
      <c r="I177" s="9" t="inlineStr">
        <is>
          <t>iFile 1</t>
        </is>
      </c>
      <c r="J177" s="9" t="inlineStr">
        <is>
          <r>
            <rPr>
              <rFont val="Calibri"/>
              <sz val="10"/>
            </rPr>
            <t xml:space="preserve">Runs discovery, demos, proposals and negotiations; closes and grows accounts. At X2: specialist scope or workstream · ≈ B1–B2.
</t>
          </r>
          <r>
            <rPr>
              <rFont val="Calibri"/>
              <b val="1"/>
              <sz val="10"/>
            </rPr>
            <t>Common themes in sub-family holders, all levels' answers:</t>
          </r>
          <r>
            <rPr>
              <rFont val="Calibri"/>
              <sz val="10"/>
            </rPr>
            <t xml:space="preserve"> sales · company · revenue</t>
          </r>
        </is>
      </c>
      <c r="K177" s="9" t="inlineStr">
        <is>
          <r>
            <rPr>
              <rFont val="Calibri"/>
              <sz val="10"/>
            </rPr>
            <t xml:space="preserve">Runs discovery, demos, proposals and negotiations; closes and grows accounts
</t>
          </r>
          <r>
            <rPr>
              <rFont val="Calibri"/>
              <b val="1"/>
              <sz val="10"/>
            </rPr>
            <t>Common themes in sub-family holders, all levels' answers:</t>
          </r>
          <r>
            <rPr>
              <rFont val="Calibri"/>
              <sz val="10"/>
            </rPr>
            <t xml:space="preserve"> ups · follow</t>
          </r>
        </is>
      </c>
      <c r="L177" s="9" t="inlineStr">
        <is>
          <r>
            <rPr>
              <rFont val="Calibri"/>
              <sz val="10"/>
            </rPr>
            <t xml:space="preserve">Runs discovery, demos, proposals and negotiations; closes and grows accounts.
</t>
          </r>
          <r>
            <rPr>
              <rFont val="Calibri"/>
              <b val="1"/>
              <sz val="10"/>
            </rPr>
            <t>Common themes in sub-family holders, all levels' answers:</t>
          </r>
          <r>
            <rPr>
              <rFont val="Calibri"/>
              <sz val="10"/>
            </rPr>
            <t xml:space="preserve"> client</t>
          </r>
        </is>
      </c>
      <c r="M177" s="9" t="inlineStr">
        <is>
          <r>
            <rPr>
              <rFont val="Calibri"/>
              <sz val="10"/>
            </rPr>
            <t xml:space="preserve">Deliverables under the statement of work
</t>
          </r>
          <r>
            <rPr>
              <rFont val="Calibri"/>
              <b val="1"/>
              <sz val="10"/>
            </rPr>
            <t>Common themes in sub-family holders, all levels' answers:</t>
          </r>
          <r>
            <rPr>
              <rFont val="Calibri"/>
              <sz val="10"/>
            </rPr>
            <t xml:space="preserve"> revenue · client · target</t>
          </r>
        </is>
      </c>
      <c r="N177" s="9" t="inlineStr">
        <is>
          <r>
            <rPr>
              <rFont val="Calibri"/>
              <sz val="10"/>
            </rPr>
            <t xml:space="preserve">Within the statement of work
</t>
          </r>
          <r>
            <rPr>
              <rFont val="Calibri"/>
              <b val="1"/>
              <sz val="10"/>
            </rPr>
            <t>Common themes in sub-family holders, all levels' answers:</t>
          </r>
          <r>
            <rPr>
              <rFont val="Calibri"/>
              <sz val="10"/>
            </rPr>
            <t xml:space="preserve"> meeting</t>
          </r>
        </is>
      </c>
      <c r="O177" s="9" t="inlineStr">
        <is>
          <t>—</t>
        </is>
      </c>
      <c r="P177" s="9" t="inlineStr">
        <is>
          <t>Sales</t>
        </is>
      </c>
      <c r="Q177" s="9" t="inlineStr">
        <is>
          <t>Excel</t>
        </is>
      </c>
      <c r="R177" s="9" t="inlineStr">
        <is>
          <t>Specialist scope or workstream · ≈ B1–B2</t>
        </is>
      </c>
      <c r="S177" s="9" t="inlineStr">
        <is>
          <t>—</t>
        </is>
      </c>
      <c r="T177" s="9" t="inlineStr">
        <is>
          <t>—</t>
        </is>
      </c>
      <c r="U177" s="9" t="inlineStr">
        <is>
          <t>—</t>
        </is>
      </c>
      <c r="V177" s="9" t="inlineStr">
        <is>
          <t>—</t>
        </is>
      </c>
      <c r="W177" s="9" t="inlineStr">
        <is>
          <t>4–10 yrs</t>
        </is>
      </c>
      <c r="X177" s="9" t="inlineStr">
        <is>
          <t>As for equivalent role</t>
        </is>
      </c>
      <c r="Y177" s="9" t="inlineStr">
        <is>
          <t>Google / HubSpot certifications</t>
        </is>
      </c>
      <c r="Z177" s="9" t="inlineStr">
        <is>
          <t>Not counted in spans</t>
        </is>
      </c>
      <c r="AA177" s="9" t="inlineStr">
        <is>
          <t>Per statement of work</t>
        </is>
      </c>
      <c r="AB177" s="9" t="inlineStr">
        <is>
          <t>Sales, Negotiation &amp; Account Growth · Marketing Tech &amp; Digital Marketing</t>
        </is>
      </c>
      <c r="AC177" s="9" t="inlineStr">
        <is>
          <t>Stakeholder &amp; Client Management · Communication &amp; Presentation · Product, Platform &amp; Domain Knowledge · Strategic Thinking &amp; Business Acumen</t>
        </is>
      </c>
      <c r="AD177" s="8" t="inlineStr">
        <is>
          <t>Contractor</t>
        </is>
      </c>
      <c r="AE177" s="8" t="inlineStr">
        <is>
          <t>—</t>
        </is>
      </c>
      <c r="AF177" s="9" t="inlineStr">
        <is>
          <t>—</t>
        </is>
      </c>
      <c r="AG177" s="9" t="inlineStr">
        <is>
          <t>SaaS sales ladder · SDR → AE → Enterprise AE → VP / CRO; MEDDICC-style qualification</t>
        </is>
      </c>
      <c r="AH177" s="9" t="inlineStr">
        <is>
          <t>—</t>
        </is>
      </c>
      <c r="AI177" s="9" t="inlineStr">
        <is>
          <t>—</t>
        </is>
      </c>
      <c r="AJ177" s="9" t="inlineStr">
        <is>
          <t>AI usage for the work , Deep CRM Knowledge</t>
        </is>
      </c>
      <c r="AK177" s="9" t="inlineStr">
        <is>
          <t>Mentoring / guidance from seniors · Formal / classroom training</t>
        </is>
      </c>
      <c r="AL177" s="9" t="inlineStr">
        <is>
          <t>No common theme</t>
        </is>
      </c>
      <c r="AM177" s="9" t="inlineStr">
        <is>
          <t>No common theme</t>
        </is>
      </c>
      <c r="AN177" s="9" t="inlineStr">
        <is>
          <t>2 of 3 say the role is changing because of AI / automation</t>
        </is>
      </c>
      <c r="AO177" s="9" t="inlineStr">
        <is>
          <t>Create and convert commercial opportunities. Includes: Prospecting, account sales, alliances, presales and sales operations. Excludes: Customer adoption unless sales accountability is primary.</t>
        </is>
      </c>
      <c r="AP177" s="9" t="inlineStr">
        <is>
          <t>—</t>
        </is>
      </c>
      <c r="AQ177" s="9" t="inlineStr">
        <is>
          <t>—</t>
        </is>
      </c>
      <c r="AR177" s="9" t="inlineStr">
        <is>
          <t>—</t>
        </is>
      </c>
      <c r="AS177" s="9" t="inlineStr">
        <is>
          <t>—</t>
        </is>
      </c>
      <c r="AT177" s="9" t="inlineStr">
        <is>
          <t>—</t>
        </is>
      </c>
      <c r="AU177" s="19" t="inlineStr">
        <is>
          <t>Framework + sub-family themes · 3+ answered</t>
        </is>
      </c>
      <c r="AV177" s="9" t="inlineStr">
        <is>
          <t>1 holder, 1 answered the survey; sub-family 4 answered</t>
        </is>
      </c>
    </row>
    <row r="178" ht="80" customHeight="1">
      <c r="A178" s="17" t="inlineStr">
        <is>
          <t>RC-154</t>
        </is>
      </c>
      <c r="B178" s="9" t="inlineStr">
        <is>
          <t>Sales &amp; Business Development</t>
        </is>
      </c>
      <c r="C178" s="9" t="inlineStr">
        <is>
          <t>Enterprise Sales &amp; Account Management</t>
        </is>
      </c>
      <c r="D178" s="39" t="inlineStr">
        <is>
          <t>X3</t>
        </is>
      </c>
      <c r="E178" s="40" t="inlineStr">
        <is>
          <t>Senior Consultant / Advisor</t>
        </is>
      </c>
      <c r="F178" s="9" t="inlineStr">
        <is>
          <t>IC</t>
        </is>
      </c>
      <c r="G178" s="9" t="inlineStr">
        <is>
          <t>Senior Consultant – Enterprise Sales &amp; Account Management</t>
        </is>
      </c>
      <c r="H178" s="8" t="n">
        <v>1</v>
      </c>
      <c r="I178" s="9" t="inlineStr">
        <is>
          <t>CARBON 1</t>
        </is>
      </c>
      <c r="J178" s="9" t="inlineStr">
        <is>
          <r>
            <rPr>
              <rFont val="Calibri"/>
              <sz val="10"/>
            </rPr>
            <t xml:space="preserve">Runs discovery, demos, proposals and negotiations; closes and grows accounts. At X3: expert or advisory scope · ≈ B3–C2.
</t>
          </r>
          <r>
            <rPr>
              <rFont val="Calibri"/>
              <b val="1"/>
              <sz val="10"/>
            </rPr>
            <t>Common themes in sub-family holders, all levels' answers:</t>
          </r>
          <r>
            <rPr>
              <rFont val="Calibri"/>
              <sz val="10"/>
            </rPr>
            <t xml:space="preserve"> sales · company · revenue</t>
          </r>
        </is>
      </c>
      <c r="K178" s="9" t="inlineStr">
        <is>
          <r>
            <rPr>
              <rFont val="Calibri"/>
              <sz val="10"/>
            </rPr>
            <t xml:space="preserve">Runs discovery, demos, proposals and negotiations; closes and grows accounts
</t>
          </r>
          <r>
            <rPr>
              <rFont val="Calibri"/>
              <b val="1"/>
              <sz val="10"/>
            </rPr>
            <t>Common themes in sub-family holders, all levels' answers:</t>
          </r>
          <r>
            <rPr>
              <rFont val="Calibri"/>
              <sz val="10"/>
            </rPr>
            <t xml:space="preserve"> ups · follow</t>
          </r>
        </is>
      </c>
      <c r="L178" s="9" t="inlineStr">
        <is>
          <r>
            <rPr>
              <rFont val="Calibri"/>
              <sz val="10"/>
            </rPr>
            <t xml:space="preserve">Runs discovery, demos, proposals and negotiations; closes and grows accounts.
</t>
          </r>
          <r>
            <rPr>
              <rFont val="Calibri"/>
              <b val="1"/>
              <sz val="10"/>
            </rPr>
            <t>Common themes in sub-family holders, all levels' answers:</t>
          </r>
          <r>
            <rPr>
              <rFont val="Calibri"/>
              <sz val="10"/>
            </rPr>
            <t xml:space="preserve"> client</t>
          </r>
        </is>
      </c>
      <c r="M178" s="9" t="inlineStr">
        <is>
          <r>
            <rPr>
              <rFont val="Calibri"/>
              <sz val="10"/>
            </rPr>
            <t xml:space="preserve">Deliverables under the statement of work
</t>
          </r>
          <r>
            <rPr>
              <rFont val="Calibri"/>
              <b val="1"/>
              <sz val="10"/>
            </rPr>
            <t>Common themes in sub-family holders, all levels' answers:</t>
          </r>
          <r>
            <rPr>
              <rFont val="Calibri"/>
              <sz val="10"/>
            </rPr>
            <t xml:space="preserve"> revenue · client · target</t>
          </r>
        </is>
      </c>
      <c r="N178" s="9" t="inlineStr">
        <is>
          <r>
            <rPr>
              <rFont val="Calibri"/>
              <sz val="10"/>
            </rPr>
            <t xml:space="preserve">Within the statement of work
</t>
          </r>
          <r>
            <rPr>
              <rFont val="Calibri"/>
              <b val="1"/>
              <sz val="10"/>
            </rPr>
            <t>Common themes in sub-family holders, all levels' answers:</t>
          </r>
          <r>
            <rPr>
              <rFont val="Calibri"/>
              <sz val="10"/>
            </rPr>
            <t xml:space="preserve"> meeting</t>
          </r>
        </is>
      </c>
      <c r="O178" s="9" t="inlineStr">
        <is>
          <t>—</t>
        </is>
      </c>
      <c r="P178" s="9" t="inlineStr">
        <is>
          <t>Sales</t>
        </is>
      </c>
      <c r="Q178" s="9" t="inlineStr">
        <is>
          <t>Excel</t>
        </is>
      </c>
      <c r="R178" s="9" t="inlineStr">
        <is>
          <t>Expert or advisory scope · ≈ B3–C2</t>
        </is>
      </c>
      <c r="S178" s="9" t="inlineStr">
        <is>
          <t>—</t>
        </is>
      </c>
      <c r="T178" s="9" t="inlineStr">
        <is>
          <t>—</t>
        </is>
      </c>
      <c r="U178" s="9" t="inlineStr">
        <is>
          <t>—</t>
        </is>
      </c>
      <c r="V178" s="9" t="inlineStr">
        <is>
          <t>—</t>
        </is>
      </c>
      <c r="W178" s="9" t="inlineStr">
        <is>
          <t>10+ yrs</t>
        </is>
      </c>
      <c r="X178" s="9" t="inlineStr">
        <is>
          <t>As for equivalent role</t>
        </is>
      </c>
      <c r="Y178" s="9" t="inlineStr">
        <is>
          <t>Google / HubSpot certifications</t>
        </is>
      </c>
      <c r="Z178" s="9" t="inlineStr">
        <is>
          <t>Not counted in spans</t>
        </is>
      </c>
      <c r="AA178" s="9" t="inlineStr">
        <is>
          <t>Per statement of work</t>
        </is>
      </c>
      <c r="AB178" s="9" t="inlineStr">
        <is>
          <t>Sales, Negotiation &amp; Account Growth · Marketing Tech &amp; Digital Marketing</t>
        </is>
      </c>
      <c r="AC178" s="9" t="inlineStr">
        <is>
          <t>Stakeholder &amp; Client Management · Communication &amp; Presentation · Product, Platform &amp; Domain Knowledge · Strategic Thinking &amp; Business Acumen</t>
        </is>
      </c>
      <c r="AD178" s="8" t="inlineStr">
        <is>
          <t>Contractor</t>
        </is>
      </c>
      <c r="AE178" s="8" t="inlineStr">
        <is>
          <t>—</t>
        </is>
      </c>
      <c r="AF178" s="9" t="inlineStr">
        <is>
          <t>—</t>
        </is>
      </c>
      <c r="AG178" s="9" t="inlineStr">
        <is>
          <t>SaaS sales ladder · SDR → AE → Enterprise AE → VP / CRO; MEDDICC-style qualification</t>
        </is>
      </c>
      <c r="AH178" s="9" t="inlineStr">
        <is>
          <t>—</t>
        </is>
      </c>
      <c r="AI178" s="9" t="inlineStr">
        <is>
          <t>—</t>
        </is>
      </c>
      <c r="AJ178" s="9" t="inlineStr">
        <is>
          <t>Sales</t>
        </is>
      </c>
      <c r="AK178" s="9" t="inlineStr">
        <is>
          <t>Mentoring / guidance from seniors · Formal / classroom training</t>
        </is>
      </c>
      <c r="AL178" s="9" t="inlineStr">
        <is>
          <t>No common theme</t>
        </is>
      </c>
      <c r="AM178" s="9" t="inlineStr">
        <is>
          <t>No common theme</t>
        </is>
      </c>
      <c r="AN178" s="9" t="inlineStr">
        <is>
          <t>2 of 3 say the role is changing because of AI / automation</t>
        </is>
      </c>
      <c r="AO178" s="9" t="inlineStr">
        <is>
          <t>Create and convert commercial opportunities. Includes: Prospecting, account sales, alliances, presales and sales operations. Excludes: Customer adoption unless sales accountability is primary.</t>
        </is>
      </c>
      <c r="AP178" s="9" t="inlineStr">
        <is>
          <t>—</t>
        </is>
      </c>
      <c r="AQ178" s="9" t="inlineStr">
        <is>
          <t>—</t>
        </is>
      </c>
      <c r="AR178" s="9" t="inlineStr">
        <is>
          <t>—</t>
        </is>
      </c>
      <c r="AS178" s="9" t="inlineStr">
        <is>
          <t>—</t>
        </is>
      </c>
      <c r="AT178" s="9" t="inlineStr">
        <is>
          <t>—</t>
        </is>
      </c>
      <c r="AU178" s="19" t="inlineStr">
        <is>
          <t>Framework + sub-family themes · 3+ answered</t>
        </is>
      </c>
      <c r="AV178" s="9" t="inlineStr">
        <is>
          <t>1 holder, 0 answered the survey; sub-family 4 answered</t>
        </is>
      </c>
    </row>
    <row r="179" ht="132" customHeight="1">
      <c r="A179" s="17" t="inlineStr">
        <is>
          <t>RC-155</t>
        </is>
      </c>
      <c r="B179" s="9" t="inlineStr">
        <is>
          <t>Sales &amp; Business Development</t>
        </is>
      </c>
      <c r="C179" s="9" t="inlineStr">
        <is>
          <t>Field Outreach &amp; Programme Sales</t>
        </is>
      </c>
      <c r="D179" s="18" t="inlineStr">
        <is>
          <t>A2</t>
        </is>
      </c>
      <c r="E179" s="19" t="inlineStr">
        <is>
          <t>Associate</t>
        </is>
      </c>
      <c r="F179" s="9" t="inlineStr">
        <is>
          <t>IC</t>
        </is>
      </c>
      <c r="G179" s="9" t="inlineStr">
        <is>
          <t>Program Executive</t>
        </is>
      </c>
      <c r="H179" s="8" t="n">
        <v>2</v>
      </c>
      <c r="I179" s="9" t="inlineStr">
        <is>
          <t>Datatech 2</t>
        </is>
      </c>
      <c r="J179" s="9" t="inlineStr">
        <is>
          <r>
            <rPr>
              <rFont val="Calibri"/>
              <sz val="10"/>
            </rPr>
            <t xml:space="preserve">Onboards MSMEs and partners in the field; generates programme leads and engagement. At A2: standard work delivered independently.
</t>
          </r>
          <r>
            <rPr>
              <rFont val="Calibri"/>
              <b val="1"/>
              <sz val="10"/>
            </rPr>
            <t>Common themes in sub-family holders, all levels' answers:</t>
          </r>
          <r>
            <rPr>
              <rFont val="Calibri"/>
              <sz val="10"/>
            </rPr>
            <t xml:space="preserve"> msme · business · relationships · building · partners · services</t>
          </r>
        </is>
      </c>
      <c r="K179" s="9" t="inlineStr">
        <is>
          <r>
            <rPr>
              <rFont val="Calibri"/>
              <sz val="10"/>
            </rPr>
            <t xml:space="preserve">Onboards MSMEs and partners in the field; generates programme leads and engagement; Standard work of the discipline; Own deliverables · accuracy, TAT
</t>
          </r>
          <r>
            <rPr>
              <rFont val="Calibri"/>
              <b val="1"/>
              <sz val="10"/>
            </rPr>
            <t>Common themes in sub-family holders, all levels' answers:</t>
          </r>
          <r>
            <rPr>
              <rFont val="Calibri"/>
              <sz val="10"/>
            </rPr>
            <t xml:space="preserve"> business · loan · management · development · relationship · lead</t>
          </r>
        </is>
      </c>
      <c r="L179" s="9" t="inlineStr">
        <is>
          <r>
            <rPr>
              <rFont val="Calibri"/>
              <sz val="10"/>
            </rPr>
            <t xml:space="preserve">Own deliverables · accuracy, TAT
</t>
          </r>
          <r>
            <rPr>
              <rFont val="Calibri"/>
              <b val="1"/>
              <sz val="10"/>
            </rPr>
            <t>Common themes in sub-family holders, all levels' answers:</t>
          </r>
          <r>
            <rPr>
              <rFont val="Calibri"/>
              <sz val="10"/>
            </rPr>
            <t xml:space="preserve"> sales · business</t>
          </r>
        </is>
      </c>
      <c r="M179" s="9" t="inlineStr">
        <is>
          <r>
            <rPr>
              <rFont val="Calibri"/>
              <sz val="10"/>
            </rPr>
            <t xml:space="preserve">Own deliverables · accuracy, TAT
</t>
          </r>
          <r>
            <rPr>
              <rFont val="Calibri"/>
              <b val="1"/>
              <sz val="10"/>
            </rPr>
            <t>Common themes in sub-family holders, all levels' answers:</t>
          </r>
          <r>
            <rPr>
              <rFont val="Calibri"/>
              <sz val="10"/>
            </rPr>
            <t xml:space="preserve"> business · am · opportunities · accountable · msme · loan</t>
          </r>
        </is>
      </c>
      <c r="N179" s="9" t="inlineStr">
        <is>
          <r>
            <rPr>
              <rFont val="Calibri"/>
              <sz val="10"/>
            </rPr>
            <t xml:space="preserve">Chooses own approach within standards
</t>
          </r>
          <r>
            <rPr>
              <rFont val="Calibri"/>
              <b val="1"/>
              <sz val="10"/>
            </rPr>
            <t>Common themes in sub-family holders, all levels' answers:</t>
          </r>
          <r>
            <rPr>
              <rFont val="Calibri"/>
              <sz val="10"/>
            </rPr>
            <t xml:space="preserve"> leads · identify · business · potential · follow · sales</t>
          </r>
        </is>
      </c>
      <c r="O179" s="9" t="inlineStr">
        <is>
          <r>
            <rPr>
              <rFont val="Calibri"/>
              <b val="1"/>
              <sz val="10"/>
            </rPr>
            <t>Common themes in manager-set KRAs:</t>
          </r>
          <r>
            <rPr>
              <rFont val="Calibri"/>
              <sz val="10"/>
            </rPr>
            <t xml:space="preserve"> ramping quarter · weightage bhr · applications achieve · sales · sell · ratio ramping</t>
          </r>
        </is>
      </c>
      <c r="P179" s="9" t="inlineStr">
        <is>
          <t>Sales · Business development</t>
        </is>
      </c>
      <c r="Q179" s="9" t="inlineStr">
        <is>
          <t>CRM · WhatsApp · email</t>
        </is>
      </c>
      <c r="R179" s="9" t="inlineStr">
        <is>
          <t>Standard work delivered independently</t>
        </is>
      </c>
      <c r="S179" s="9" t="inlineStr">
        <is>
          <t>Standard work of the discipline</t>
        </is>
      </c>
      <c r="T179" s="9" t="inlineStr">
        <is>
          <t>Chooses own approach within standards</t>
        </is>
      </c>
      <c r="U179" s="9" t="inlineStr">
        <is>
          <t>Own deliverables · accuracy, TAT</t>
        </is>
      </c>
      <c r="V179" s="9" t="inlineStr">
        <is>
          <t>Not scored in Band A</t>
        </is>
      </c>
      <c r="W179" s="9" t="inlineStr">
        <is>
          <t>0–2 yrs</t>
        </is>
      </c>
      <c r="X179" s="9" t="inlineStr">
        <is>
          <t>Graduate · or diploma with experience</t>
        </is>
      </c>
      <c r="Y179" s="9" t="inlineStr">
        <is>
          <t>Google / HubSpot certifications</t>
        </is>
      </c>
      <c r="Z179" s="9" t="inlineStr">
        <is>
          <t>No direct reports</t>
        </is>
      </c>
      <c r="AA179" s="9" t="inlineStr">
        <is>
          <t>Core 2 · Future-ready 2 · Functional 2 · Leadership —</t>
        </is>
      </c>
      <c r="AB179" s="9" t="inlineStr">
        <is>
          <t>Sales, Negotiation &amp; Account Growth · Marketing Tech &amp; Digital Marketing</t>
        </is>
      </c>
      <c r="AC179" s="9" t="inlineStr">
        <is>
          <t>Stakeholder &amp; Client Management · Communication &amp; Presentation · Product, Platform &amp; Domain Knowledge · Strategic Thinking &amp; Business Acumen</t>
        </is>
      </c>
      <c r="AD179" s="8" t="inlineStr">
        <is>
          <t>P1–P2</t>
        </is>
      </c>
      <c r="AE179" s="8" t="inlineStr">
        <is>
          <t>2 Assist</t>
        </is>
      </c>
      <c r="AF179" s="9" t="inlineStr">
        <is>
          <t>IRIS Vs Competitor Benchmark — SaaS sales ladder — IC: SDR / BDR</t>
        </is>
      </c>
      <c r="AG179" s="9" t="inlineStr">
        <is>
          <t>SaaS sales ladder · SDR → AE → Enterprise AE → VP / CRO; MEDDICC-style qualification</t>
        </is>
      </c>
      <c r="AH179" s="9" t="inlineStr">
        <is>
          <t>A3 · Senior Associate</t>
        </is>
      </c>
      <c r="AI179" s="9" t="inlineStr">
        <is>
          <t>Client, sales &amp; stakeholders</t>
        </is>
      </c>
      <c r="AJ179" s="9" t="inlineStr">
        <is>
          <t>Prioritization/pipeline management - case prioritization, knowing when to move on vs. push further on a stuck file | Target role: Senior Telecaller / potential Team Lead - Mumbai calling team, contingent on closing prioritization/pipeline-management gap.</t>
        </is>
      </c>
      <c r="AK179" s="9" t="inlineStr">
        <is>
          <t>Formal / classroom training · Mentoring / guidance from seniors · On-the-job / hands-on</t>
        </is>
      </c>
      <c r="AL179" s="9" t="inlineStr">
        <is>
          <t>No common theme</t>
        </is>
      </c>
      <c r="AM179" s="9" t="inlineStr">
        <is>
          <t>outreach</t>
        </is>
      </c>
      <c r="AN179" s="9" t="inlineStr">
        <is>
          <t>0 of 5 say the role is changing because of AI / automation</t>
        </is>
      </c>
      <c r="AO179" s="9" t="inlineStr">
        <is>
          <t>Create and convert commercial opportunities. Includes: Prospecting, account sales, alliances, presales and sales operations. Excludes: Customer adoption unless sales accountability is primary.</t>
        </is>
      </c>
      <c r="AP179" s="9" t="inlineStr">
        <is>
          <t>SAL03-1 · Sales Associate</t>
        </is>
      </c>
      <c r="AQ179" s="9" t="inlineStr">
        <is>
          <r>
            <rPr>
              <rFont val="Calibri"/>
              <b val="1"/>
              <sz val="10"/>
            </rPr>
            <t>Complete defined parts under review:</t>
          </r>
          <r>
            <rPr>
              <rFont val="Calibri"/>
              <sz val="10"/>
            </rPr>
            <t xml:space="preserve"> own territory visits, needs analysis and contracted sales.</t>
          </r>
        </is>
      </c>
      <c r="AR179" s="9" t="inlineStr">
        <is>
          <t>Repeatable correct delivery, safe escalation and required entry eligibility.</t>
        </is>
      </c>
      <c r="AS179" s="9" t="inlineStr">
        <is>
          <t>A field programme with consent-aware leads, quality conversions and transparent reporting</t>
        </is>
      </c>
      <c r="AT179" s="9" t="inlineStr">
        <is>
          <r>
            <rPr>
              <rFont val="Calibri"/>
              <b val="1"/>
              <sz val="10"/>
            </rPr>
            <t>DataTracks:</t>
          </r>
          <r>
            <rPr>
              <rFont val="Calibri"/>
              <sz val="10"/>
            </rPr>
            <t xml:space="preserve"> Published career openings
</t>
          </r>
          <r>
            <rPr>
              <rFont val="Calibri"/>
              <b val="1"/>
              <sz val="10"/>
            </rPr>
            <t>Workiva:</t>
          </r>
          <r>
            <rPr>
              <rFont val="Calibri"/>
              <sz val="10"/>
            </rPr>
            <t xml:space="preserve"> Account Executive, SLED · Selected / adjacent roles. Gap: Field role depends on territory and product complexity, not travel alone</t>
          </r>
        </is>
      </c>
      <c r="AU179" s="19" t="inlineStr">
        <is>
          <t>Framework + sub-family themes · 3+ answered</t>
        </is>
      </c>
      <c r="AV179" s="9" t="inlineStr">
        <is>
          <t>2 holders, 1 answered the survey; sub-family 6 answered</t>
        </is>
      </c>
    </row>
    <row r="180" ht="93" customHeight="1">
      <c r="A180" s="17" t="inlineStr">
        <is>
          <t>RC-156</t>
        </is>
      </c>
      <c r="B180" s="9" t="inlineStr">
        <is>
          <t>Sales &amp; Business Development</t>
        </is>
      </c>
      <c r="C180" s="9" t="inlineStr">
        <is>
          <t>Field Outreach &amp; Programme Sales</t>
        </is>
      </c>
      <c r="D180" s="18" t="inlineStr">
        <is>
          <t>A3</t>
        </is>
      </c>
      <c r="E180" s="19" t="inlineStr">
        <is>
          <t>Senior Associate</t>
        </is>
      </c>
      <c r="F180" s="9" t="inlineStr">
        <is>
          <t>IC</t>
        </is>
      </c>
      <c r="G180" s="9" t="inlineStr">
        <is>
          <t>Senior Program Executive</t>
        </is>
      </c>
      <c r="H180" s="8" t="n">
        <v>3</v>
      </c>
      <c r="I180" s="9" t="inlineStr">
        <is>
          <t>Datatech 3</t>
        </is>
      </c>
      <c r="J180" s="9" t="inlineStr">
        <is>
          <r>
            <rPr>
              <rFont val="Calibri"/>
              <sz val="10"/>
            </rPr>
            <t xml:space="preserve">Onboards MSMEs and partners in the field; generates programme leads and engagement. At A3: varied work; reviews juniors; go-to for a process.
</t>
          </r>
          <r>
            <rPr>
              <rFont val="Calibri"/>
              <b val="1"/>
              <sz val="10"/>
            </rPr>
            <t>Common themes in role-holders' answers:</t>
          </r>
          <r>
            <rPr>
              <rFont val="Calibri"/>
              <sz val="10"/>
            </rPr>
            <t xml:space="preserve"> partners · business · services · msme</t>
          </r>
        </is>
      </c>
      <c r="K180" s="9" t="inlineStr">
        <is>
          <t>Onboards MSMEs and partners in the field; generates programme leads and engagement; Varied and non-standard work; handles exceptions; A module / process, or work with client or regulatory consequences</t>
        </is>
      </c>
      <c r="L180" s="9" t="inlineStr">
        <is>
          <t>A module / process, or work with client or regulatory consequences</t>
        </is>
      </c>
      <c r="M180" s="9" t="inlineStr">
        <is>
          <t>A module / process, or work with client or regulatory consequences</t>
        </is>
      </c>
      <c r="N180" s="9" t="inlineStr">
        <is>
          <r>
            <rPr>
              <rFont val="Calibri"/>
              <sz val="10"/>
            </rPr>
            <t xml:space="preserve">Technical / QC / client calls on own work
</t>
          </r>
          <r>
            <rPr>
              <rFont val="Calibri"/>
              <b val="1"/>
              <sz val="10"/>
            </rPr>
            <t>Common themes in role-holders' answers:</t>
          </r>
          <r>
            <rPr>
              <rFont val="Calibri"/>
              <sz val="10"/>
            </rPr>
            <t xml:space="preserve"> leads</t>
          </r>
        </is>
      </c>
      <c r="O180" s="9" t="inlineStr">
        <is>
          <r>
            <rPr>
              <rFont val="Calibri"/>
              <b val="1"/>
              <sz val="10"/>
            </rPr>
            <t>Common themes in manager-set KRAs:</t>
          </r>
          <r>
            <rPr>
              <rFont val="Calibri"/>
              <sz val="10"/>
            </rPr>
            <t xml:space="preserve"> month quarter · minimum msmes · applications quarter · business · bhr units · onboard minimum</t>
          </r>
        </is>
      </c>
      <c r="P180" s="9" t="inlineStr">
        <is>
          <t>Sales</t>
        </is>
      </c>
      <c r="Q180" s="9" t="inlineStr">
        <is>
          <t>—</t>
        </is>
      </c>
      <c r="R180" s="9" t="inlineStr">
        <is>
          <t>Varied work; reviews juniors; go-to for a process</t>
        </is>
      </c>
      <c r="S180" s="9" t="inlineStr">
        <is>
          <t>Varied and non-standard work; handles exceptions</t>
        </is>
      </c>
      <c r="T180" s="9" t="inlineStr">
        <is>
          <t>Technical / QC / client calls on own work</t>
        </is>
      </c>
      <c r="U180" s="9" t="inlineStr">
        <is>
          <t>A module / process, or work with client or regulatory consequences</t>
        </is>
      </c>
      <c r="V180" s="9" t="inlineStr">
        <is>
          <t>Not scored in Band A</t>
        </is>
      </c>
      <c r="W180" s="9" t="inlineStr">
        <is>
          <t>2–4 yrs</t>
        </is>
      </c>
      <c r="X180" s="9" t="inlineStr">
        <is>
          <t>Graduate; relevant certification preferred</t>
        </is>
      </c>
      <c r="Y180" s="9" t="inlineStr">
        <is>
          <t>Google / HubSpot certifications</t>
        </is>
      </c>
      <c r="Z180" s="9" t="inlineStr">
        <is>
          <t>None · guides 1–3 juniors informally</t>
        </is>
      </c>
      <c r="AA180" s="9" t="inlineStr">
        <is>
          <t>Core 2 · Future-ready 2 · Functional 3 · Leadership —</t>
        </is>
      </c>
      <c r="AB180" s="9" t="inlineStr">
        <is>
          <t>Sales, Negotiation &amp; Account Growth · Marketing Tech &amp; Digital Marketing</t>
        </is>
      </c>
      <c r="AC180" s="9" t="inlineStr">
        <is>
          <t>Stakeholder &amp; Client Management · Communication &amp; Presentation · Product, Platform &amp; Domain Knowledge · Strategic Thinking &amp; Business Acumen</t>
        </is>
      </c>
      <c r="AD180" s="8" t="inlineStr">
        <is>
          <t>P2</t>
        </is>
      </c>
      <c r="AE180" s="8" t="inlineStr">
        <is>
          <t>3 Apply</t>
        </is>
      </c>
      <c r="AF180" s="9" t="inlineStr">
        <is>
          <t>IRIS Vs Competitor Benchmark — SaaS sales ladder — IC: Senior SDR</t>
        </is>
      </c>
      <c r="AG180" s="9" t="inlineStr">
        <is>
          <t>SaaS sales ladder · SDR → AE → Enterprise AE → VP / CRO; MEDDICC-style qualification</t>
        </is>
      </c>
      <c r="AH180" s="9" t="inlineStr">
        <is>
          <t>B1 · Specialist</t>
        </is>
      </c>
      <c r="AI180" s="9" t="inlineStr">
        <is>
          <t>Client, sales &amp; stakeholders · Leadership &amp; people management</t>
        </is>
      </c>
      <c r="AJ180" s="9" t="inlineStr">
        <is>
          <t>handling · objection · scope review · products · step</t>
        </is>
      </c>
      <c r="AK180" s="9" t="inlineStr">
        <is>
          <t>Formal / classroom training · Mentoring / guidance from seniors · On-the-job / hands-on</t>
        </is>
      </c>
      <c r="AL180" s="9" t="inlineStr">
        <is>
          <t>No common theme</t>
        </is>
      </c>
      <c r="AM180" s="9" t="inlineStr">
        <is>
          <t>outreach</t>
        </is>
      </c>
      <c r="AN180" s="9" t="inlineStr">
        <is>
          <t>0 of 3 say the role is changing because of AI / automation</t>
        </is>
      </c>
      <c r="AO180" s="9" t="inlineStr">
        <is>
          <t>Create and convert commercial opportunities. Includes: Prospecting, account sales, alliances, presales and sales operations. Excludes: Customer adoption unless sales accountability is primary.</t>
        </is>
      </c>
      <c r="AP180" s="9" t="inlineStr">
        <is>
          <t>SAL03-2 · Field Sales Executive</t>
        </is>
      </c>
      <c r="AQ180" s="9" t="inlineStr">
        <is>
          <t>Own territory visits, needs analysis and contracted sales.</t>
        </is>
      </c>
      <c r="AR180" s="9" t="inlineStr">
        <is>
          <t>Demonstrate routine delivery plus judgement in bounded exceptions.</t>
        </is>
      </c>
      <c r="AS180" s="9" t="inlineStr">
        <is>
          <t>A field programme with consent-aware leads, quality conversions and transparent reporting</t>
        </is>
      </c>
      <c r="AT180" s="9" t="inlineStr">
        <is>
          <r>
            <rPr>
              <rFont val="Calibri"/>
              <b val="1"/>
              <sz val="10"/>
            </rPr>
            <t>DataTracks:</t>
          </r>
          <r>
            <rPr>
              <rFont val="Calibri"/>
              <sz val="10"/>
            </rPr>
            <t xml:space="preserve"> Published career openings
</t>
          </r>
          <r>
            <rPr>
              <rFont val="Calibri"/>
              <b val="1"/>
              <sz val="10"/>
            </rPr>
            <t>Workiva:</t>
          </r>
          <r>
            <rPr>
              <rFont val="Calibri"/>
              <sz val="10"/>
            </rPr>
            <t xml:space="preserve"> Account Executive, SLED · Selected / adjacent roles. Gap: Field role depends on territory and product complexity, not travel alone</t>
          </r>
        </is>
      </c>
      <c r="AU180" s="22" t="inlineStr">
        <is>
          <t>Framework + role-holders' themes · 3+ answered</t>
        </is>
      </c>
      <c r="AV180" s="9" t="inlineStr">
        <is>
          <t>3 holders, 3 answered the survey; sub-family 6 answered</t>
        </is>
      </c>
    </row>
    <row r="181" ht="158" customHeight="1">
      <c r="A181" s="17" t="inlineStr">
        <is>
          <t>RC-157</t>
        </is>
      </c>
      <c r="B181" s="9" t="inlineStr">
        <is>
          <t>Sales &amp; Business Development</t>
        </is>
      </c>
      <c r="C181" s="9" t="inlineStr">
        <is>
          <t>Field Outreach &amp; Programme Sales</t>
        </is>
      </c>
      <c r="D181" s="21" t="inlineStr">
        <is>
          <t>B2</t>
        </is>
      </c>
      <c r="E181" s="22" t="inlineStr">
        <is>
          <t>Senior Specialist</t>
        </is>
      </c>
      <c r="F181" s="9" t="inlineStr">
        <is>
          <t>IC</t>
        </is>
      </c>
      <c r="G181" s="9" t="inlineStr">
        <is>
          <t>Senior Program Specialist – POD Lead</t>
        </is>
      </c>
      <c r="H181" s="8" t="n">
        <v>1</v>
      </c>
      <c r="I181" s="9" t="inlineStr">
        <is>
          <t>Datatech 1</t>
        </is>
      </c>
      <c r="J181" s="9" t="inlineStr">
        <is>
          <r>
            <rPr>
              <rFont val="Calibri"/>
              <sz val="10"/>
            </rPr>
            <t xml:space="preserve">Onboards MSMEs and partners in the field; generates programme leads and engagement. At B2: deep domain expertise, or one team.
</t>
          </r>
          <r>
            <rPr>
              <rFont val="Calibri"/>
              <b val="1"/>
              <sz val="10"/>
            </rPr>
            <t>Common themes in sub-family holders, all levels' answers:</t>
          </r>
          <r>
            <rPr>
              <rFont val="Calibri"/>
              <sz val="10"/>
            </rPr>
            <t xml:space="preserve"> msme · business · relationships · building · partners · services</t>
          </r>
        </is>
      </c>
      <c r="K181" s="9" t="inlineStr">
        <is>
          <r>
            <rPr>
              <rFont val="Calibri"/>
              <sz val="10"/>
            </rPr>
            <t xml:space="preserve">Onboards MSMEs and partners in the field; generates programme leads and engagement; Hardest problems in the domain; One team or a client portfolio
</t>
          </r>
          <r>
            <rPr>
              <rFont val="Calibri"/>
              <b val="1"/>
              <sz val="10"/>
            </rPr>
            <t>Common themes in sub-family holders, all levels' answers:</t>
          </r>
          <r>
            <rPr>
              <rFont val="Calibri"/>
              <sz val="10"/>
            </rPr>
            <t xml:space="preserve"> business · loan · management · development · relationship · lead</t>
          </r>
        </is>
      </c>
      <c r="L181" s="9" t="inlineStr">
        <is>
          <r>
            <rPr>
              <rFont val="Calibri"/>
              <sz val="10"/>
            </rPr>
            <t xml:space="preserve">One team or a client portfolio
</t>
          </r>
          <r>
            <rPr>
              <rFont val="Calibri"/>
              <b val="1"/>
              <sz val="10"/>
            </rPr>
            <t>Common themes in sub-family holders, all levels' answers:</t>
          </r>
          <r>
            <rPr>
              <rFont val="Calibri"/>
              <sz val="10"/>
            </rPr>
            <t xml:space="preserve"> sales · business</t>
          </r>
        </is>
      </c>
      <c r="M181" s="9" t="inlineStr">
        <is>
          <r>
            <rPr>
              <rFont val="Calibri"/>
              <sz val="10"/>
            </rPr>
            <t xml:space="preserve">One team or a client portfolio
</t>
          </r>
          <r>
            <rPr>
              <rFont val="Calibri"/>
              <b val="1"/>
              <sz val="10"/>
            </rPr>
            <t>Common themes in sub-family holders, all levels' answers:</t>
          </r>
          <r>
            <rPr>
              <rFont val="Calibri"/>
              <sz val="10"/>
            </rPr>
            <t xml:space="preserve"> business · am · opportunities · accountable · msme · loan</t>
          </r>
        </is>
      </c>
      <c r="N181" s="9" t="inlineStr">
        <is>
          <r>
            <rPr>
              <rFont val="Calibri"/>
              <sz val="10"/>
            </rPr>
            <t xml:space="preserve">Allocates people and sets team priorities
</t>
          </r>
          <r>
            <rPr>
              <rFont val="Calibri"/>
              <b val="1"/>
              <sz val="10"/>
            </rPr>
            <t>Common themes in sub-family holders, all levels' answers:</t>
          </r>
          <r>
            <rPr>
              <rFont val="Calibri"/>
              <sz val="10"/>
            </rPr>
            <t xml:space="preserve"> leads · identify · business · potential · follow · sales</t>
          </r>
        </is>
      </c>
      <c r="O181" s="9" t="inlineStr">
        <is>
          <t>—</t>
        </is>
      </c>
      <c r="P181" s="9" t="inlineStr">
        <is>
          <t>Sales · Business development</t>
        </is>
      </c>
      <c r="Q181" s="9" t="inlineStr">
        <is>
          <t>CRM · WhatsApp · email</t>
        </is>
      </c>
      <c r="R181" s="9" t="inlineStr">
        <is>
          <t>Deep domain expertise, or one team</t>
        </is>
      </c>
      <c r="S181" s="9" t="inlineStr">
        <is>
          <t>Hardest problems in the domain</t>
        </is>
      </c>
      <c r="T181" s="9" t="inlineStr">
        <is>
          <t>Allocates people and sets team priorities</t>
        </is>
      </c>
      <c r="U181" s="9" t="inlineStr">
        <is>
          <t>One team or a client portfolio</t>
        </is>
      </c>
      <c r="V181" s="9" t="inlineStr">
        <is>
          <r>
            <rPr>
              <rFont val="Calibri"/>
              <b val="1"/>
              <sz val="10"/>
            </rPr>
            <t>IC:</t>
          </r>
          <r>
            <rPr>
              <rFont val="Calibri"/>
              <sz val="10"/>
            </rPr>
            <t xml:space="preserve"> guides others in the domain · People: manages a team of 6+</t>
          </r>
        </is>
      </c>
      <c r="W181" s="9" t="inlineStr">
        <is>
          <t>6–9 yrs</t>
        </is>
      </c>
      <c r="X181" s="9" t="inlineStr">
        <is>
          <t>Graduate or postgraduate; professional qualification preferred</t>
        </is>
      </c>
      <c r="Y181" s="9" t="inlineStr">
        <is>
          <t>Google / HubSpot certifications</t>
        </is>
      </c>
      <c r="Z181" s="9" t="inlineStr">
        <is>
          <r>
            <rPr>
              <rFont val="Calibri"/>
              <b val="1"/>
              <sz val="10"/>
            </rPr>
            <t>IC:</t>
          </r>
          <r>
            <rPr>
              <rFont val="Calibri"/>
              <sz val="10"/>
            </rPr>
            <t xml:space="preserve"> none · People: 6–8 knowledge work, 8–12 standardised delivery</t>
          </r>
        </is>
      </c>
      <c r="AA181" s="9" t="inlineStr">
        <is>
          <t>Core 3 · Future-ready 3 · Functional 4 · Leadership 2</t>
        </is>
      </c>
      <c r="AB181" s="9" t="inlineStr">
        <is>
          <t>Sales, Negotiation &amp; Account Growth · Marketing Tech &amp; Digital Marketing</t>
        </is>
      </c>
      <c r="AC181" s="9" t="inlineStr">
        <is>
          <t>Stakeholder &amp; Client Management · Communication &amp; Presentation · Product, Platform &amp; Domain Knowledge · Strategic Thinking &amp; Business Acumen</t>
        </is>
      </c>
      <c r="AD181" s="8" t="inlineStr">
        <is>
          <t>P4 / M3</t>
        </is>
      </c>
      <c r="AE181" s="8" t="inlineStr">
        <is>
          <t>4–5</t>
        </is>
      </c>
      <c r="AF181" s="9" t="inlineStr">
        <is>
          <t>IRIS Vs Competitor Benchmark — SaaS sales ladder — IC: Mid-Market AE · IRIS Vs Competitor Benchmark — SaaS sales ladder — management: Sales Manager</t>
        </is>
      </c>
      <c r="AG181" s="9" t="inlineStr">
        <is>
          <t>SaaS sales ladder · SDR → AE → Enterprise AE → VP / CRO; MEDDICC-style qualification</t>
        </is>
      </c>
      <c r="AH181" s="9" t="inlineStr">
        <is>
          <t>B3 · Lead Specialist</t>
        </is>
      </c>
      <c r="AI181" s="9" t="inlineStr">
        <is>
          <t>Leadership &amp; people management · Project / programme management · Strategy &amp; business acumen · Broader exposure &amp; ownership</t>
        </is>
      </c>
      <c r="AJ181" s="9" t="inlineStr">
        <is>
          <t>Product knowledge · loan/BHR products; Objection handling; Sales approach/pitch technique | Target role: Onground Team Lead · formalizing existing informal management of Lakshmikanth. Development: team-lead training - performance management, coaching juniors, structured 1:1s. Review date: 31-08-2026</t>
        </is>
      </c>
      <c r="AK181" s="9" t="inlineStr">
        <is>
          <t>Formal / classroom training · Mentoring / guidance from seniors · On-the-job / hands-on</t>
        </is>
      </c>
      <c r="AL181" s="9" t="inlineStr">
        <is>
          <t>No common theme</t>
        </is>
      </c>
      <c r="AM181" s="9" t="inlineStr">
        <is>
          <t>outreach</t>
        </is>
      </c>
      <c r="AN181" s="9" t="inlineStr">
        <is>
          <t>0 of 5 say the role is changing because of AI / automation</t>
        </is>
      </c>
      <c r="AO181" s="9" t="inlineStr">
        <is>
          <t>Create and convert commercial opportunities. Includes: Prospecting, account sales, alliances, presales and sales operations. Excludes: Customer adoption unless sales accountability is primary.</t>
        </is>
      </c>
      <c r="AP181" s="9" t="inlineStr">
        <is>
          <t>SAL03-3 · Senior Field Sales Executive</t>
        </is>
      </c>
      <c r="AQ181" s="9" t="inlineStr">
        <is>
          <t>Develop major accounts and resolve channel or commercial conflicts.</t>
        </is>
      </c>
      <c r="AR181" s="9" t="inlineStr">
        <is>
          <t>Evidence of complex work, decisions and outcomes beyond routine delivery.</t>
        </is>
      </c>
      <c r="AS181" s="9" t="inlineStr">
        <is>
          <t>A field programme with consent-aware leads, quality conversions and transparent reporting</t>
        </is>
      </c>
      <c r="AT181" s="9" t="inlineStr">
        <is>
          <r>
            <rPr>
              <rFont val="Calibri"/>
              <b val="1"/>
              <sz val="10"/>
            </rPr>
            <t>DataTracks:</t>
          </r>
          <r>
            <rPr>
              <rFont val="Calibri"/>
              <sz val="10"/>
            </rPr>
            <t xml:space="preserve"> Published career openings
</t>
          </r>
          <r>
            <rPr>
              <rFont val="Calibri"/>
              <b val="1"/>
              <sz val="10"/>
            </rPr>
            <t>Workiva:</t>
          </r>
          <r>
            <rPr>
              <rFont val="Calibri"/>
              <sz val="10"/>
            </rPr>
            <t xml:space="preserve"> Account Executive, SLED · Selected / adjacent roles. Gap: Field role depends on territory and product complexity, not travel alone</t>
          </r>
        </is>
      </c>
      <c r="AU181" s="19" t="inlineStr">
        <is>
          <t>Framework + sub-family themes · 3+ answered</t>
        </is>
      </c>
      <c r="AV181" s="9" t="inlineStr">
        <is>
          <t>1 holder, 1 answered the survey; sub-family 6 answered</t>
        </is>
      </c>
    </row>
    <row r="182" ht="106" customHeight="1">
      <c r="A182" s="17" t="inlineStr">
        <is>
          <t>RC-158</t>
        </is>
      </c>
      <c r="B182" s="9" t="inlineStr">
        <is>
          <t>Sales &amp; Business Development</t>
        </is>
      </c>
      <c r="C182" s="9" t="inlineStr">
        <is>
          <t>Field Outreach &amp; Programme Sales</t>
        </is>
      </c>
      <c r="D182" s="21" t="inlineStr">
        <is>
          <t>B2</t>
        </is>
      </c>
      <c r="E182" s="22" t="inlineStr">
        <is>
          <t>Manager</t>
        </is>
      </c>
      <c r="F182" s="9" t="inlineStr">
        <is>
          <t>Manager</t>
        </is>
      </c>
      <c r="G182" s="9" t="inlineStr">
        <is>
          <t>Program Manager – Outreach</t>
        </is>
      </c>
      <c r="H182" s="8" t="n">
        <v>1</v>
      </c>
      <c r="I182" s="9" t="inlineStr">
        <is>
          <t>Datatech 1</t>
        </is>
      </c>
      <c r="J182" s="9" t="inlineStr">
        <is>
          <r>
            <rPr>
              <rFont val="Calibri"/>
              <sz val="10"/>
            </rPr>
            <t xml:space="preserve">Onboards MSMEs and partners in the field; generates programme leads and engagement. At B2: deep domain expertise, or one team.
</t>
          </r>
          <r>
            <rPr>
              <rFont val="Calibri"/>
              <b val="1"/>
              <sz val="10"/>
            </rPr>
            <t>Common themes in sub-family holders, all levels' answers:</t>
          </r>
          <r>
            <rPr>
              <rFont val="Calibri"/>
              <sz val="10"/>
            </rPr>
            <t xml:space="preserve"> msme · business · relationships · building · partners · services</t>
          </r>
        </is>
      </c>
      <c r="K182" s="9" t="inlineStr">
        <is>
          <r>
            <rPr>
              <rFont val="Calibri"/>
              <sz val="10"/>
            </rPr>
            <t xml:space="preserve">Onboards MSMEs and partners in the field; generates programme leads and engagement; Hardest problems in the domain; One team or a client portfolio
</t>
          </r>
          <r>
            <rPr>
              <rFont val="Calibri"/>
              <b val="1"/>
              <sz val="10"/>
            </rPr>
            <t>Common themes in sub-family holders, all levels' answers:</t>
          </r>
          <r>
            <rPr>
              <rFont val="Calibri"/>
              <sz val="10"/>
            </rPr>
            <t xml:space="preserve"> business · loan · management · development · relationship · lead</t>
          </r>
        </is>
      </c>
      <c r="L182" s="9" t="inlineStr">
        <is>
          <r>
            <rPr>
              <rFont val="Calibri"/>
              <sz val="10"/>
            </rPr>
            <t xml:space="preserve">One team or a client portfolio
</t>
          </r>
          <r>
            <rPr>
              <rFont val="Calibri"/>
              <b val="1"/>
              <sz val="10"/>
            </rPr>
            <t>Common themes in sub-family holders, all levels' answers:</t>
          </r>
          <r>
            <rPr>
              <rFont val="Calibri"/>
              <sz val="10"/>
            </rPr>
            <t xml:space="preserve"> sales · business</t>
          </r>
        </is>
      </c>
      <c r="M182" s="9" t="inlineStr">
        <is>
          <r>
            <rPr>
              <rFont val="Calibri"/>
              <sz val="10"/>
            </rPr>
            <t xml:space="preserve">One team or a client portfolio
</t>
          </r>
          <r>
            <rPr>
              <rFont val="Calibri"/>
              <b val="1"/>
              <sz val="10"/>
            </rPr>
            <t>Common themes in sub-family holders, all levels' answers:</t>
          </r>
          <r>
            <rPr>
              <rFont val="Calibri"/>
              <sz val="10"/>
            </rPr>
            <t xml:space="preserve"> business · am · opportunities · accountable · msme · loan</t>
          </r>
        </is>
      </c>
      <c r="N182" s="9" t="inlineStr">
        <is>
          <r>
            <rPr>
              <rFont val="Calibri"/>
              <sz val="10"/>
            </rPr>
            <t xml:space="preserve">Allocates people and sets team priorities
</t>
          </r>
          <r>
            <rPr>
              <rFont val="Calibri"/>
              <b val="1"/>
              <sz val="10"/>
            </rPr>
            <t>Common themes in sub-family holders, all levels' answers:</t>
          </r>
          <r>
            <rPr>
              <rFont val="Calibri"/>
              <sz val="10"/>
            </rPr>
            <t xml:space="preserve"> leads · identify · business · potential · follow · sales</t>
          </r>
        </is>
      </c>
      <c r="O182" s="9" t="inlineStr">
        <is>
          <t>—</t>
        </is>
      </c>
      <c r="P182" s="9" t="inlineStr">
        <is>
          <t>Sales · Business development</t>
        </is>
      </c>
      <c r="Q182" s="9" t="inlineStr">
        <is>
          <t>CRM · WhatsApp · email</t>
        </is>
      </c>
      <c r="R182" s="9" t="inlineStr">
        <is>
          <t>Deep domain expertise, or one team</t>
        </is>
      </c>
      <c r="S182" s="9" t="inlineStr">
        <is>
          <t>Hardest problems in the domain</t>
        </is>
      </c>
      <c r="T182" s="9" t="inlineStr">
        <is>
          <t>Allocates people and sets team priorities</t>
        </is>
      </c>
      <c r="U182" s="9" t="inlineStr">
        <is>
          <t>One team or a client portfolio</t>
        </is>
      </c>
      <c r="V182" s="9" t="inlineStr">
        <is>
          <r>
            <rPr>
              <rFont val="Calibri"/>
              <b val="1"/>
              <sz val="10"/>
            </rPr>
            <t>IC:</t>
          </r>
          <r>
            <rPr>
              <rFont val="Calibri"/>
              <sz val="10"/>
            </rPr>
            <t xml:space="preserve"> guides others in the domain · People: manages a team of 6+</t>
          </r>
        </is>
      </c>
      <c r="W182" s="9" t="inlineStr">
        <is>
          <t>6–9 yrs</t>
        </is>
      </c>
      <c r="X182" s="9" t="inlineStr">
        <is>
          <t>Graduate or postgraduate; professional qualification preferred</t>
        </is>
      </c>
      <c r="Y182" s="9" t="inlineStr">
        <is>
          <t>Google / HubSpot certifications</t>
        </is>
      </c>
      <c r="Z182" s="9" t="inlineStr">
        <is>
          <r>
            <rPr>
              <rFont val="Calibri"/>
              <b val="1"/>
              <sz val="10"/>
            </rPr>
            <t>IC:</t>
          </r>
          <r>
            <rPr>
              <rFont val="Calibri"/>
              <sz val="10"/>
            </rPr>
            <t xml:space="preserve"> none · People: 6–8 knowledge work, 8–12 standardised delivery</t>
          </r>
        </is>
      </c>
      <c r="AA182" s="9" t="inlineStr">
        <is>
          <t>Core 3 · Future-ready 3 · Functional 4 · Leadership 3</t>
        </is>
      </c>
      <c r="AB182" s="9" t="inlineStr">
        <is>
          <t>Sales, Negotiation &amp; Account Growth · Marketing Tech &amp; Digital Marketing</t>
        </is>
      </c>
      <c r="AC182" s="9" t="inlineStr">
        <is>
          <t>Stakeholder &amp; Client Management · Communication &amp; Presentation · Product, Platform &amp; Domain Knowledge · Strategic Thinking &amp; Business Acumen</t>
        </is>
      </c>
      <c r="AD182" s="8" t="inlineStr">
        <is>
          <t>P4 / M3</t>
        </is>
      </c>
      <c r="AE182" s="8" t="inlineStr">
        <is>
          <t>4–5</t>
        </is>
      </c>
      <c r="AF182" s="9" t="inlineStr">
        <is>
          <t>IRIS Vs Competitor Benchmark — SaaS sales ladder — IC: Mid-Market AE · IRIS Vs Competitor Benchmark — SaaS sales ladder — management: Sales Manager</t>
        </is>
      </c>
      <c r="AG182" s="9" t="inlineStr">
        <is>
          <t>SaaS sales ladder · SDR → AE → Enterprise AE → VP / CRO; MEDDICC-style qualification</t>
        </is>
      </c>
      <c r="AH182" s="9" t="inlineStr">
        <is>
          <t>B3 · Lead Specialist</t>
        </is>
      </c>
      <c r="AI182" s="9" t="inlineStr">
        <is>
          <t>Data, SQL &amp; analytics · Client, sales &amp; stakeholders · Strategy &amp; business acumen</t>
        </is>
      </c>
      <c r="AJ182" s="9" t="inlineStr">
        <is>
          <t>—</t>
        </is>
      </c>
      <c r="AK182" s="9" t="inlineStr">
        <is>
          <t>Formal / classroom training · Mentoring / guidance from seniors · On-the-job / hands-on</t>
        </is>
      </c>
      <c r="AL182" s="9" t="inlineStr">
        <is>
          <t>No common theme</t>
        </is>
      </c>
      <c r="AM182" s="9" t="inlineStr">
        <is>
          <t>outreach</t>
        </is>
      </c>
      <c r="AN182" s="9" t="inlineStr">
        <is>
          <t>0 of 5 say the role is changing because of AI / automation</t>
        </is>
      </c>
      <c r="AO182" s="9" t="inlineStr">
        <is>
          <t>Create and convert commercial opportunities. Includes: Prospecting, account sales, alliances, presales and sales operations. Excludes: Customer adoption unless sales accountability is primary.</t>
        </is>
      </c>
      <c r="AP182" s="9" t="inlineStr">
        <is>
          <t>LD05-1 · Sales / Sales Development Manager</t>
        </is>
      </c>
      <c r="AQ182" s="9" t="inlineStr">
        <is>
          <t>Own staffing decisions, performance support, service quality and delegated team resources</t>
        </is>
      </c>
      <c r="AR182" s="9" t="inlineStr">
        <is>
          <t>Do not manufacture three reporting layers. Choose roles the organisation needs. A specialist may remain on an equally valued expert path.</t>
        </is>
      </c>
      <c r="AS182" s="9" t="inlineStr">
        <is>
          <t>—</t>
        </is>
      </c>
      <c r="AT182" s="9" t="inlineStr">
        <is>
          <t>—</t>
        </is>
      </c>
      <c r="AU182" s="19" t="inlineStr">
        <is>
          <t>Framework + sub-family themes · 3+ answered</t>
        </is>
      </c>
      <c r="AV182" s="9" t="inlineStr">
        <is>
          <t>1 holder, 1 answered the survey; sub-family 6 answered</t>
        </is>
      </c>
    </row>
    <row r="183" ht="210" customHeight="1">
      <c r="A183" s="17" t="inlineStr">
        <is>
          <t>RC-159</t>
        </is>
      </c>
      <c r="B183" s="9" t="inlineStr">
        <is>
          <t>Sales &amp; Business Development</t>
        </is>
      </c>
      <c r="C183" s="9" t="inlineStr">
        <is>
          <t>Partnerships &amp; Alliances</t>
        </is>
      </c>
      <c r="D183" s="18" t="inlineStr">
        <is>
          <t>A3</t>
        </is>
      </c>
      <c r="E183" s="19" t="inlineStr">
        <is>
          <t>Senior Associate</t>
        </is>
      </c>
      <c r="F183" s="9" t="inlineStr">
        <is>
          <t>IC</t>
        </is>
      </c>
      <c r="G183" s="9" t="inlineStr">
        <is>
          <t>Senior Alliances Executive</t>
        </is>
      </c>
      <c r="H183" s="8" t="n">
        <v>1</v>
      </c>
      <c r="I183" s="9" t="inlineStr">
        <is>
          <t>iDEAL 1</t>
        </is>
      </c>
      <c r="J183" s="9" t="inlineStr">
        <is>
          <t>Builds and manages partner / alliance revenue. At A3: varied work; reviews juniors; go-to for a process.</t>
        </is>
      </c>
      <c r="K183" s="9" t="inlineStr">
        <is>
          <t>Builds and manages partner / alliance revenue; Varied and non-standard work; handles exceptions; A module / process, or work with client or regulatory consequences</t>
        </is>
      </c>
      <c r="L183" s="9" t="inlineStr">
        <is>
          <t>A module / process, or work with client or regulatory consequences</t>
        </is>
      </c>
      <c r="M183" s="9" t="inlineStr">
        <is>
          <t>A module / process, or work with client or regulatory consequences</t>
        </is>
      </c>
      <c r="N183" s="9" t="inlineStr">
        <is>
          <t>Technical / QC / client calls on own work</t>
        </is>
      </c>
      <c r="O183" s="9" t="inlineStr">
        <is>
          <t>—</t>
        </is>
      </c>
      <c r="P183" s="9" t="inlineStr">
        <is>
          <t>Sales</t>
        </is>
      </c>
      <c r="Q183" s="9" t="inlineStr">
        <is>
          <t>—</t>
        </is>
      </c>
      <c r="R183" s="9" t="inlineStr">
        <is>
          <t>Varied work; reviews juniors; go-to for a process</t>
        </is>
      </c>
      <c r="S183" s="9" t="inlineStr">
        <is>
          <t>Varied and non-standard work; handles exceptions</t>
        </is>
      </c>
      <c r="T183" s="9" t="inlineStr">
        <is>
          <t>Technical / QC / client calls on own work</t>
        </is>
      </c>
      <c r="U183" s="9" t="inlineStr">
        <is>
          <t>A module / process, or work with client or regulatory consequences</t>
        </is>
      </c>
      <c r="V183" s="9" t="inlineStr">
        <is>
          <t>Not scored in Band A</t>
        </is>
      </c>
      <c r="W183" s="9" t="inlineStr">
        <is>
          <t>2–4 yrs</t>
        </is>
      </c>
      <c r="X183" s="9" t="inlineStr">
        <is>
          <t>Graduate; relevant certification preferred</t>
        </is>
      </c>
      <c r="Y183" s="9" t="inlineStr">
        <is>
          <t>Google / HubSpot certifications</t>
        </is>
      </c>
      <c r="Z183" s="9" t="inlineStr">
        <is>
          <t>None · guides 1–3 juniors informally</t>
        </is>
      </c>
      <c r="AA183" s="9" t="inlineStr">
        <is>
          <t>Core 2 · Future-ready 2 · Functional 3 · Leadership —</t>
        </is>
      </c>
      <c r="AB183" s="9" t="inlineStr">
        <is>
          <t>Sales, Negotiation &amp; Account Growth · Marketing Tech &amp; Digital Marketing</t>
        </is>
      </c>
      <c r="AC183" s="9" t="inlineStr">
        <is>
          <t>Stakeholder &amp; Client Management · Communication &amp; Presentation · Product, Platform &amp; Domain Knowledge · Strategic Thinking &amp; Business Acumen</t>
        </is>
      </c>
      <c r="AD183" s="8" t="inlineStr">
        <is>
          <t>P2</t>
        </is>
      </c>
      <c r="AE183" s="8" t="inlineStr">
        <is>
          <t>3 Apply</t>
        </is>
      </c>
      <c r="AF183" s="9" t="inlineStr">
        <is>
          <t>IRIS Vs Competitor Benchmark — SaaS sales ladder — IC: Senior SDR</t>
        </is>
      </c>
      <c r="AG183" s="9" t="inlineStr">
        <is>
          <t>SaaS sales ladder · SDR → AE → Enterprise AE → VP / CRO; MEDDICC-style qualification</t>
        </is>
      </c>
      <c r="AH183" s="9" t="inlineStr">
        <is>
          <t>B1 · Specialist</t>
        </is>
      </c>
      <c r="AI183" s="9" t="inlineStr">
        <is>
          <t>Leadership &amp; people management · Client, sales &amp; stakeholders</t>
        </is>
      </c>
      <c r="AJ183" s="9" t="inlineStr">
        <is>
          <t>1. Advanced Sales Negotiation &amp; Enterprise Deal Structuring — closing complex multi-stakeholder deals for CARBON - XBRL &amp; DM 2. Regulatory &amp; Domain Knowledge: XBRL, DM ESG/Sustainability Reporting · TCFD, GRI, ISSB relevant to SA &amp; Nigeria markets 3. CRM Mastery &amp; Pipeline Management — forecasting discipline, deal hygiene and data-driven selling 4. Africa Market Intelligence — understanding of SA &amp; Nigeria …</t>
        </is>
      </c>
      <c r="AK183" s="9" t="inlineStr">
        <is>
          <t>—</t>
        </is>
      </c>
      <c r="AL183" s="9" t="inlineStr">
        <is>
          <t>—</t>
        </is>
      </c>
      <c r="AM183" s="9" t="inlineStr">
        <is>
          <t>—</t>
        </is>
      </c>
      <c r="AN183" s="9" t="inlineStr">
        <is>
          <t>—</t>
        </is>
      </c>
      <c r="AO183" s="9" t="inlineStr">
        <is>
          <t>Create and convert commercial opportunities. Includes: Prospecting, account sales, alliances, presales and sales operations. Excludes: Customer adoption unless sales accountability is primary.</t>
        </is>
      </c>
      <c r="AP183" s="9" t="inlineStr">
        <is>
          <t>SAL05-2 · Partner Account Manager</t>
        </is>
      </c>
      <c r="AQ183" s="9" t="inlineStr">
        <is>
          <t>Execute partner plans and track shared opportunities.</t>
        </is>
      </c>
      <c r="AR183" s="9" t="inlineStr">
        <is>
          <t>Demonstrate routine delivery plus judgement in bounded exceptions.</t>
        </is>
      </c>
      <c r="AS183" s="9" t="inlineStr">
        <is>
          <t>A partnership business case with responsibilities, commercial model and delivered outcomes</t>
        </is>
      </c>
      <c r="AT183" s="9" t="inlineStr">
        <is>
          <r>
            <rPr>
              <rFont val="Calibri"/>
              <b val="1"/>
              <sz val="10"/>
            </rPr>
            <t>Workiva:</t>
          </r>
          <r>
            <rPr>
              <rFont val="Calibri"/>
              <sz val="10"/>
            </rPr>
            <t xml:space="preserve"> Senior Partner Sales Executive · Selected role. Gap: Partner sales supports alliance content; other titles are proposed</t>
          </r>
        </is>
      </c>
      <c r="AU183" s="57" t="inlineStr">
        <is>
          <t>Framework only · fewer than 3 answered</t>
        </is>
      </c>
      <c r="AV183" s="9" t="inlineStr">
        <is>
          <t>1 holder, 1 answered the survey; sub-family 2 answered</t>
        </is>
      </c>
    </row>
    <row r="184" ht="119" customHeight="1">
      <c r="A184" s="17" t="inlineStr">
        <is>
          <t>RC-160</t>
        </is>
      </c>
      <c r="B184" s="9" t="inlineStr">
        <is>
          <t>Sales &amp; Business Development</t>
        </is>
      </c>
      <c r="C184" s="9" t="inlineStr">
        <is>
          <t>Partnerships &amp; Alliances</t>
        </is>
      </c>
      <c r="D184" s="21" t="inlineStr">
        <is>
          <t>B3</t>
        </is>
      </c>
      <c r="E184" s="22" t="inlineStr">
        <is>
          <t>Lead Specialist</t>
        </is>
      </c>
      <c r="F184" s="9" t="inlineStr">
        <is>
          <t>IC</t>
        </is>
      </c>
      <c r="G184" s="9" t="inlineStr">
        <is>
          <t>Lead Alliances Specialist – POD Lead</t>
        </is>
      </c>
      <c r="H184" s="8" t="n">
        <v>1</v>
      </c>
      <c r="I184" s="9" t="inlineStr">
        <is>
          <t>iFile 1</t>
        </is>
      </c>
      <c r="J184" s="9" t="inlineStr">
        <is>
          <t>Builds and manages partner / alliance revenue. At B3: a practice, or several teams through team leads.</t>
        </is>
      </c>
      <c r="K184" s="9" t="inlineStr">
        <is>
          <t>Builds and manages partner / alliance revenue; Sets standards for a practice; cross-team problems; Several teams or a practice</t>
        </is>
      </c>
      <c r="L184" s="9" t="inlineStr">
        <is>
          <t>Several teams or a practice</t>
        </is>
      </c>
      <c r="M184" s="9" t="inlineStr">
        <is>
          <t>Several teams or a practice</t>
        </is>
      </c>
      <c r="N184" s="9" t="inlineStr">
        <is>
          <t>Commercial / strategic calls for the unit</t>
        </is>
      </c>
      <c r="O184" s="9" t="inlineStr">
        <is>
          <t>—</t>
        </is>
      </c>
      <c r="P184" s="9" t="inlineStr">
        <is>
          <t>Sales</t>
        </is>
      </c>
      <c r="Q184" s="9" t="inlineStr">
        <is>
          <t>—</t>
        </is>
      </c>
      <c r="R184" s="9" t="inlineStr">
        <is>
          <t>A practice, or several teams through team leads</t>
        </is>
      </c>
      <c r="S184" s="9" t="inlineStr">
        <is>
          <t>Sets standards for a practice; cross-team problems</t>
        </is>
      </c>
      <c r="T184" s="9" t="inlineStr">
        <is>
          <t>Commercial / strategic calls for the unit</t>
        </is>
      </c>
      <c r="U184" s="9" t="inlineStr">
        <is>
          <t>Several teams or a practice</t>
        </is>
      </c>
      <c r="V184" s="9" t="inlineStr">
        <is>
          <r>
            <rPr>
              <rFont val="Calibri"/>
              <b val="1"/>
              <sz val="10"/>
            </rPr>
            <t>IC:</t>
          </r>
          <r>
            <rPr>
              <rFont val="Calibri"/>
              <sz val="10"/>
            </rPr>
            <t xml:space="preserve"> leads a practice · People: team leads / managers report in</t>
          </r>
        </is>
      </c>
      <c r="W184" s="9" t="inlineStr">
        <is>
          <t>8–12 yrs</t>
        </is>
      </c>
      <c r="X184" s="9" t="inlineStr">
        <is>
          <t>Postgraduate or professional qualification preferred</t>
        </is>
      </c>
      <c r="Y184" s="9" t="inlineStr">
        <is>
          <t>Google / HubSpot certifications</t>
        </is>
      </c>
      <c r="Z184" s="9" t="inlineStr">
        <is>
          <r>
            <rPr>
              <rFont val="Calibri"/>
              <b val="1"/>
              <sz val="10"/>
            </rPr>
            <t>IC:</t>
          </r>
          <r>
            <rPr>
              <rFont val="Calibri"/>
              <sz val="10"/>
            </rPr>
            <t xml:space="preserve"> none · People: 5–8 incl. team leads</t>
          </r>
        </is>
      </c>
      <c r="AA184" s="9" t="inlineStr">
        <is>
          <t>Core 4 · Future-ready 3 · Functional 4 · Leadership 3</t>
        </is>
      </c>
      <c r="AB184" s="9" t="inlineStr">
        <is>
          <t>Sales, Negotiation &amp; Account Growth · Marketing Tech &amp; Digital Marketing</t>
        </is>
      </c>
      <c r="AC184" s="9" t="inlineStr">
        <is>
          <t>Stakeholder &amp; Client Management · Communication &amp; Presentation · Product, Platform &amp; Domain Knowledge · Strategic Thinking &amp; Business Acumen</t>
        </is>
      </c>
      <c r="AD184" s="8" t="inlineStr">
        <is>
          <t>P5 / M4</t>
        </is>
      </c>
      <c r="AE184" s="8" t="inlineStr">
        <is>
          <t>5 Ensure, advise</t>
        </is>
      </c>
      <c r="AF184" s="9" t="inlineStr">
        <is>
          <t>IRIS Vs Competitor Benchmark — SaaS sales ladder — IC: Enterprise AE · IRIS Vs Competitor Benchmark — SaaS sales ladder — management: Senior Sales Manager</t>
        </is>
      </c>
      <c r="AG184" s="9" t="inlineStr">
        <is>
          <t>SaaS sales ladder · SDR → AE → Enterprise AE → VP / CRO; MEDDICC-style qualification</t>
        </is>
      </c>
      <c r="AH184" s="9" t="inlineStr">
        <is>
          <t>C1 · Principal · or B+ · Player-Coach transition step if leading people hands-on</t>
        </is>
      </c>
      <c r="AI184" s="9" t="inlineStr">
        <is>
          <t>Technical depth &amp; architecture · Strategy &amp; business acumen · Broader exposure &amp; ownership</t>
        </is>
      </c>
      <c r="AJ184" s="9" t="inlineStr">
        <is>
          <t>Strategic account management, enterprise deal closure, forecasting, leadership reporting, cross-functional governance | P&amp;L ownership, senior leadership development, financial planning, negotiation at CXO/regulator level</t>
        </is>
      </c>
      <c r="AK184" s="9" t="inlineStr">
        <is>
          <t>—</t>
        </is>
      </c>
      <c r="AL184" s="9" t="inlineStr">
        <is>
          <t>—</t>
        </is>
      </c>
      <c r="AM184" s="9" t="inlineStr">
        <is>
          <t>—</t>
        </is>
      </c>
      <c r="AN184" s="9" t="inlineStr">
        <is>
          <t>—</t>
        </is>
      </c>
      <c r="AO184" s="9" t="inlineStr">
        <is>
          <t>Create and convert commercial opportunities. Includes: Prospecting, account sales, alliances, presales and sales operations. Excludes: Customer adoption unless sales accountability is primary.</t>
        </is>
      </c>
      <c r="AP184" s="9" t="inlineStr">
        <is>
          <t>SAL05-4 · Strategic Alliances Manager</t>
        </is>
      </c>
      <c r="AQ184" s="9" t="inlineStr">
        <is>
          <t>Design ecosystem strategy and resolve cross-partner commercial conflicts.</t>
        </is>
      </c>
      <c r="AR184" s="9" t="inlineStr">
        <is>
          <t>Adoption beyond own work; recurring authority and measurable wider outcomes.</t>
        </is>
      </c>
      <c r="AS184" s="9" t="inlineStr">
        <is>
          <t>A partnership business case with responsibilities, commercial model and delivered outcomes</t>
        </is>
      </c>
      <c r="AT184" s="9" t="inlineStr">
        <is>
          <r>
            <rPr>
              <rFont val="Calibri"/>
              <b val="1"/>
              <sz val="10"/>
            </rPr>
            <t>Workiva:</t>
          </r>
          <r>
            <rPr>
              <rFont val="Calibri"/>
              <sz val="10"/>
            </rPr>
            <t xml:space="preserve"> Senior Partner Sales Executive · Selected role. Gap: Partner sales supports alliance content; other titles are proposed</t>
          </r>
        </is>
      </c>
      <c r="AU184" s="57" t="inlineStr">
        <is>
          <t>Framework only · fewer than 3 answered</t>
        </is>
      </c>
      <c r="AV184" s="9" t="inlineStr">
        <is>
          <t>1 holder, 1 answered the survey; sub-family 2 answered</t>
        </is>
      </c>
    </row>
    <row r="185" ht="80" customHeight="1">
      <c r="A185" s="17" t="inlineStr">
        <is>
          <t>RC-161</t>
        </is>
      </c>
      <c r="B185" s="9" t="inlineStr">
        <is>
          <t>Sales &amp; Business Development</t>
        </is>
      </c>
      <c r="C185" s="9" t="inlineStr">
        <is>
          <t>Pre-Sales &amp; Solution Demos</t>
        </is>
      </c>
      <c r="D185" s="21" t="inlineStr">
        <is>
          <t>B1</t>
        </is>
      </c>
      <c r="E185" s="22" t="inlineStr">
        <is>
          <t>Specialist</t>
        </is>
      </c>
      <c r="F185" s="9" t="inlineStr">
        <is>
          <t>IC</t>
        </is>
      </c>
      <c r="G185" s="9" t="inlineStr">
        <is>
          <t>Pre-Sales Specialist</t>
        </is>
      </c>
      <c r="H185" s="8" t="n">
        <v>1</v>
      </c>
      <c r="I185" s="9" t="inlineStr">
        <is>
          <t>iFile 1</t>
        </is>
      </c>
      <c r="J185" s="9" t="inlineStr">
        <is>
          <t>Maps requirements, runs solution demos, supports RFPs and deals. At B1: a domain / module, or a small team.</t>
        </is>
      </c>
      <c r="K185" s="9" t="inlineStr">
        <is>
          <t>Maps requirements, runs solution demos, supports RFPs and deals; Domain specialist work; A domain or a small team</t>
        </is>
      </c>
      <c r="L185" s="9" t="inlineStr">
        <is>
          <t>A domain or a small team</t>
        </is>
      </c>
      <c r="M185" s="9" t="inlineStr">
        <is>
          <t>A domain or a small team</t>
        </is>
      </c>
      <c r="N185" s="9" t="inlineStr">
        <is>
          <t>Technical / QC / client calls for the domain</t>
        </is>
      </c>
      <c r="O185" s="9" t="inlineStr">
        <is>
          <t>—</t>
        </is>
      </c>
      <c r="P185" s="9" t="inlineStr">
        <is>
          <t>—</t>
        </is>
      </c>
      <c r="Q185" s="9" t="inlineStr">
        <is>
          <t>—</t>
        </is>
      </c>
      <c r="R185" s="9" t="inlineStr">
        <is>
          <t>A domain / module, or a small team</t>
        </is>
      </c>
      <c r="S185" s="9" t="inlineStr">
        <is>
          <t>Domain specialist work</t>
        </is>
      </c>
      <c r="T185" s="9" t="inlineStr">
        <is>
          <t>Technical / QC / client calls for the domain</t>
        </is>
      </c>
      <c r="U185" s="9" t="inlineStr">
        <is>
          <t>A domain or a small team</t>
        </is>
      </c>
      <c r="V185" s="9" t="inlineStr">
        <is>
          <r>
            <rPr>
              <rFont val="Calibri"/>
              <b val="1"/>
              <sz val="10"/>
            </rPr>
            <t>IC:</t>
          </r>
          <r>
            <rPr>
              <rFont val="Calibri"/>
              <sz val="10"/>
            </rPr>
            <t xml:space="preserve"> mentors and reviews · People: hands-on team lead of 3–5</t>
          </r>
        </is>
      </c>
      <c r="W185" s="9" t="inlineStr">
        <is>
          <t>4–7 yrs</t>
        </is>
      </c>
      <c r="X185" s="9" t="inlineStr">
        <is>
          <t>Graduate + relevant qualification or certification preferred</t>
        </is>
      </c>
      <c r="Y185" s="9" t="inlineStr">
        <is>
          <t>Google / HubSpot certifications</t>
        </is>
      </c>
      <c r="Z185" s="9" t="inlineStr">
        <is>
          <r>
            <rPr>
              <rFont val="Calibri"/>
              <b val="1"/>
              <sz val="10"/>
            </rPr>
            <t>IC:</t>
          </r>
          <r>
            <rPr>
              <rFont val="Calibri"/>
              <sz val="10"/>
            </rPr>
            <t xml:space="preserve"> none · Team Lead: 3–5</t>
          </r>
        </is>
      </c>
      <c r="AA185" s="9" t="inlineStr">
        <is>
          <t>Core 3 · Future-ready 3 · Functional 3 · Leadership 1</t>
        </is>
      </c>
      <c r="AB185" s="9" t="inlineStr">
        <is>
          <t>Sales, Negotiation &amp; Account Growth · Marketing Tech &amp; Digital Marketing</t>
        </is>
      </c>
      <c r="AC185" s="9" t="inlineStr">
        <is>
          <t>Stakeholder &amp; Client Management · Communication &amp; Presentation · Product, Platform &amp; Domain Knowledge · Strategic Thinking &amp; Business Acumen</t>
        </is>
      </c>
      <c r="AD185" s="8" t="inlineStr">
        <is>
          <t>P3 / M2</t>
        </is>
      </c>
      <c r="AE185" s="8" t="inlineStr">
        <is>
          <t>4 Enable</t>
        </is>
      </c>
      <c r="AF185" s="9" t="inlineStr">
        <is>
          <t>IRIS Vs Competitor Benchmark — SaaS sales ladder — IC: Account Executive · SMB · IRIS Vs Competitor Benchmark — SaaS sales ladder — management: SDR Team Lead</t>
        </is>
      </c>
      <c r="AG185" s="9" t="inlineStr">
        <is>
          <t>SaaS sales ladder · SDR → AE → Enterprise AE → VP / CRO; MEDDICC-style qualification</t>
        </is>
      </c>
      <c r="AH185" s="9" t="inlineStr">
        <is>
          <t>B2 · Senior Specialist</t>
        </is>
      </c>
      <c r="AI185" s="9" t="inlineStr">
        <is>
          <t>—</t>
        </is>
      </c>
      <c r="AJ185" s="9" t="inlineStr">
        <is>
          <t>—</t>
        </is>
      </c>
      <c r="AK185" s="9" t="inlineStr">
        <is>
          <t>—</t>
        </is>
      </c>
      <c r="AL185" s="9" t="inlineStr">
        <is>
          <t>—</t>
        </is>
      </c>
      <c r="AM185" s="9" t="inlineStr">
        <is>
          <t>—</t>
        </is>
      </c>
      <c r="AN185" s="9" t="inlineStr">
        <is>
          <t>—</t>
        </is>
      </c>
      <c r="AO185" s="9" t="inlineStr">
        <is>
          <t>Create and convert commercial opportunities. Includes: Prospecting, account sales, alliances, presales and sales operations. Excludes: Customer adoption unless sales accountability is primary.</t>
        </is>
      </c>
      <c r="AP185" s="9" t="inlineStr">
        <is>
          <t>SAL06-3 · Senior Solutions Engineer</t>
        </is>
      </c>
      <c r="AQ185" s="9" t="inlineStr">
        <is>
          <t>Resolve complex customer architecture and evaluation risks.</t>
        </is>
      </c>
      <c r="AR185" s="9" t="inlineStr">
        <is>
          <t>Evidence of complex work, decisions and outcomes beyond routine delivery.</t>
        </is>
      </c>
      <c r="AS185" s="9" t="inlineStr">
        <is>
          <t>A customer proof of value that satisfies agreed criteria and records constraints</t>
        </is>
      </c>
      <c r="AT185" s="9" t="inlineStr">
        <is>
          <r>
            <rPr>
              <rFont val="Calibri"/>
              <b val="1"/>
              <sz val="10"/>
            </rPr>
            <t>Regnology:</t>
          </r>
          <r>
            <rPr>
              <rFont val="Calibri"/>
              <sz val="10"/>
            </rPr>
            <t xml:space="preserve"> Senior risk consultant · Related work. Gap: Peer consultant contributes to presales; GitLab supplies dedicated presales role content</t>
          </r>
        </is>
      </c>
      <c r="AU185" s="57" t="inlineStr">
        <is>
          <t>Framework only · fewer than 3 answered</t>
        </is>
      </c>
      <c r="AV185" s="9" t="inlineStr">
        <is>
          <t>1 holder, 1 answered the survey; sub-family 1 answered</t>
        </is>
      </c>
    </row>
    <row r="186" ht="93" customHeight="1">
      <c r="A186" s="17" t="inlineStr">
        <is>
          <t>RC-162</t>
        </is>
      </c>
      <c r="B186" s="9" t="inlineStr">
        <is>
          <t>Sales &amp; Business Development</t>
        </is>
      </c>
      <c r="C186" s="9" t="inlineStr">
        <is>
          <t>Sales Development &amp; Prospecting</t>
        </is>
      </c>
      <c r="D186" s="18" t="inlineStr">
        <is>
          <t>A1</t>
        </is>
      </c>
      <c r="E186" s="19" t="inlineStr">
        <is>
          <t>Intern / Trainee</t>
        </is>
      </c>
      <c r="F186" s="9" t="inlineStr">
        <is>
          <t>IC</t>
        </is>
      </c>
      <c r="G186" s="9" t="inlineStr">
        <is>
          <t>Intern – Sales Development &amp; Prospecting</t>
        </is>
      </c>
      <c r="H186" s="8" t="n">
        <v>3</v>
      </c>
      <c r="I186" s="9" t="inlineStr">
        <is>
          <t>CARBON 3</t>
        </is>
      </c>
      <c r="J186" s="9" t="inlineStr">
        <is>
          <r>
            <rPr>
              <rFont val="Calibri"/>
              <sz val="10"/>
            </rPr>
            <t xml:space="preserve">Researches target accounts, runs outbound outreach, qualifies leads and books meetings. At A1: learning the role; all work reviewed.
</t>
          </r>
          <r>
            <rPr>
              <rFont val="Calibri"/>
              <b val="1"/>
              <sz val="10"/>
            </rPr>
            <t>Common themes in role-holders' answers:</t>
          </r>
          <r>
            <rPr>
              <rFont val="Calibri"/>
              <sz val="10"/>
            </rPr>
            <t xml:space="preserve"> scheduling · sales provide · customers shared · tools linkedin · portfolio company · cold</t>
          </r>
        </is>
      </c>
      <c r="K186" s="9" t="inlineStr">
        <is>
          <r>
            <rPr>
              <rFont val="Calibri"/>
              <sz val="10"/>
            </rPr>
            <t xml:space="preserve">Researches target accounts, runs outbound outreach, qualifies leads and books meetings; Learning; follows worked examples; Learning tasks
</t>
          </r>
          <r>
            <rPr>
              <rFont val="Calibri"/>
              <b val="1"/>
              <sz val="10"/>
            </rPr>
            <t>Common themes in role-holders' answers:</t>
          </r>
          <r>
            <rPr>
              <rFont val="Calibri"/>
              <sz val="10"/>
            </rPr>
            <t xml:space="preserve"> outreach · linkedin</t>
          </r>
        </is>
      </c>
      <c r="L186" s="9" t="inlineStr">
        <is>
          <r>
            <rPr>
              <rFont val="Calibri"/>
              <sz val="10"/>
            </rPr>
            <t xml:space="preserve">Learning tasks
</t>
          </r>
          <r>
            <rPr>
              <rFont val="Calibri"/>
              <b val="1"/>
              <sz val="10"/>
            </rPr>
            <t>Common themes in role-holders' answers:</t>
          </r>
          <r>
            <rPr>
              <rFont val="Calibri"/>
              <sz val="10"/>
            </rPr>
            <t xml:space="preserve"> meetings</t>
          </r>
        </is>
      </c>
      <c r="M186" s="9" t="inlineStr">
        <is>
          <t>Learning tasks</t>
        </is>
      </c>
      <c r="N186" s="9" t="inlineStr">
        <is>
          <r>
            <rPr>
              <rFont val="Calibri"/>
              <sz val="10"/>
            </rPr>
            <t xml:space="preserve">Needs approval / close guidance
</t>
          </r>
          <r>
            <rPr>
              <rFont val="Calibri"/>
              <b val="1"/>
              <sz val="10"/>
            </rPr>
            <t>Common themes in role-holders' answers:</t>
          </r>
          <r>
            <rPr>
              <rFont val="Calibri"/>
              <sz val="10"/>
            </rPr>
            <t xml:space="preserve"> lead</t>
          </r>
        </is>
      </c>
      <c r="O186" s="9" t="inlineStr">
        <is>
          <t>—</t>
        </is>
      </c>
      <c r="P186" s="9" t="inlineStr">
        <is>
          <t>Marketing · Objection Handling</t>
        </is>
      </c>
      <c r="Q186" s="9" t="inlineStr">
        <is>
          <t>HubSpot · Excel</t>
        </is>
      </c>
      <c r="R186" s="9" t="inlineStr">
        <is>
          <t>Learning the role; all work reviewed</t>
        </is>
      </c>
      <c r="S186" s="9" t="inlineStr">
        <is>
          <t>Learning; follows worked examples</t>
        </is>
      </c>
      <c r="T186" s="9" t="inlineStr">
        <is>
          <t>Needs approval / close guidance</t>
        </is>
      </c>
      <c r="U186" s="9" t="inlineStr">
        <is>
          <t>Learning tasks</t>
        </is>
      </c>
      <c r="V186" s="9" t="inlineStr">
        <is>
          <t>Not scored in Band A</t>
        </is>
      </c>
      <c r="W186" s="9" t="inlineStr">
        <is>
          <t>0 yrs · fresher / intern</t>
        </is>
      </c>
      <c r="X186" s="9" t="inlineStr">
        <is>
          <t>Pursuing or completed graduation / diploma</t>
        </is>
      </c>
      <c r="Y186" s="9" t="inlineStr">
        <is>
          <t>Google / HubSpot certifications</t>
        </is>
      </c>
      <c r="Z186" s="9" t="inlineStr">
        <is>
          <t>No direct reports</t>
        </is>
      </c>
      <c r="AA186" s="9" t="inlineStr">
        <is>
          <t>Core 1 · Future-ready 1 · Functional 1 · Leadership —</t>
        </is>
      </c>
      <c r="AB186" s="9" t="inlineStr">
        <is>
          <t>Sales, Negotiation &amp; Account Growth · Marketing Tech &amp; Digital Marketing</t>
        </is>
      </c>
      <c r="AC186" s="9" t="inlineStr">
        <is>
          <t>Stakeholder &amp; Client Management · Communication &amp; Presentation · Product, Platform &amp; Domain Knowledge · Strategic Thinking &amp; Business Acumen</t>
        </is>
      </c>
      <c r="AD186" s="8" t="inlineStr">
        <is>
          <t>Entry / P1 · intern</t>
        </is>
      </c>
      <c r="AE186" s="8" t="inlineStr">
        <is>
          <t>1 Follow</t>
        </is>
      </c>
      <c r="AF186" s="9" t="inlineStr">
        <is>
          <t>—</t>
        </is>
      </c>
      <c r="AG186" s="9" t="inlineStr">
        <is>
          <t>SaaS sales ladder · SDR → AE → Enterprise AE → VP / CRO; MEDDICC-style qualification</t>
        </is>
      </c>
      <c r="AH186" s="9" t="inlineStr">
        <is>
          <t>A2 · Associate</t>
        </is>
      </c>
      <c r="AI186" s="9" t="inlineStr">
        <is>
          <t>Leadership &amp; people management · Communication &amp; presentation · Client, sales &amp; stakeholders</t>
        </is>
      </c>
      <c r="AJ186" s="9" t="inlineStr">
        <is>
          <t>training · players · proposition · through revised · confidently</t>
        </is>
      </c>
      <c r="AK186" s="9" t="inlineStr">
        <is>
          <t>Formal / classroom training · Mentoring / guidance from seniors · On-the-job / hands-on</t>
        </is>
      </c>
      <c r="AL186" s="9" t="inlineStr">
        <is>
          <t>laptop</t>
        </is>
      </c>
      <c r="AM186" s="9" t="inlineStr">
        <is>
          <t>calls</t>
        </is>
      </c>
      <c r="AN186" s="9" t="inlineStr">
        <is>
          <t>1 of 3 say the role is changing because of AI / automation</t>
        </is>
      </c>
      <c r="AO186" s="9" t="inlineStr">
        <is>
          <t>Create and convert commercial opportunities. Includes: Prospecting, account sales, alliances, presales and sales operations. Excludes: Customer adoption unless sales accountability is primary.</t>
        </is>
      </c>
      <c r="AP186" s="9" t="inlineStr">
        <is>
          <t>SAL01-0 · Sales Development Intern</t>
        </is>
      </c>
      <c r="AQ186" s="9" t="inlineStr">
        <is>
          <r>
            <rPr>
              <rFont val="Calibri"/>
              <b val="1"/>
              <sz val="10"/>
            </rPr>
            <t>Assist with a supervised work sample:</t>
          </r>
          <r>
            <rPr>
              <rFont val="Calibri"/>
              <sz val="10"/>
            </rPr>
            <t xml:space="preserve"> research accounts and qualify opportunities against agreed criteria.</t>
          </r>
        </is>
      </c>
      <c r="AR186" s="9" t="inlineStr">
        <is>
          <t>Reviewed learning assignment; no independent material sign-off.</t>
        </is>
      </c>
      <c r="AS186" s="9" t="inlineStr">
        <is>
          <t>A prospecting plan and accepted opportunity set with quality and conversion evidence</t>
        </is>
      </c>
      <c r="AT186" s="9" t="inlineStr">
        <is>
          <r>
            <rPr>
              <rFont val="Calibri"/>
              <b val="1"/>
              <sz val="10"/>
            </rPr>
            <t>Workiva:</t>
          </r>
          <r>
            <rPr>
              <rFont val="Calibri"/>
              <sz val="10"/>
            </rPr>
            <t xml:space="preserve"> Sales Development Representative, SLED · Selected role. Gap: SDR role is observed; Whatfix supplies a dated India SaaS progression example</t>
          </r>
        </is>
      </c>
      <c r="AU186" s="22" t="inlineStr">
        <is>
          <t>Framework + role-holders' themes · 3+ answered</t>
        </is>
      </c>
      <c r="AV186" s="9" t="inlineStr">
        <is>
          <t>3 holders, 3 answered the survey; sub-family 15 answered</t>
        </is>
      </c>
    </row>
    <row r="187" ht="93" customHeight="1">
      <c r="A187" s="17" t="inlineStr">
        <is>
          <t>RC-163</t>
        </is>
      </c>
      <c r="B187" s="9" t="inlineStr">
        <is>
          <t>Sales &amp; Business Development</t>
        </is>
      </c>
      <c r="C187" s="9" t="inlineStr">
        <is>
          <t>Sales Development &amp; Prospecting</t>
        </is>
      </c>
      <c r="D187" s="18" t="inlineStr">
        <is>
          <t>A2</t>
        </is>
      </c>
      <c r="E187" s="19" t="inlineStr">
        <is>
          <t>Associate</t>
        </is>
      </c>
      <c r="F187" s="9" t="inlineStr">
        <is>
          <t>IC</t>
        </is>
      </c>
      <c r="G187" s="9" t="inlineStr">
        <is>
          <t>Sales Development Representative</t>
        </is>
      </c>
      <c r="H187" s="8" t="n">
        <v>5</v>
      </c>
      <c r="I187" s="9" t="inlineStr">
        <is>
          <t>CARBON 5</t>
        </is>
      </c>
      <c r="J187" s="9" t="inlineStr">
        <is>
          <r>
            <rPr>
              <rFont val="Calibri"/>
              <sz val="10"/>
            </rPr>
            <t xml:space="preserve">Researches target accounts, runs outbound outreach, qualifies leads and books meetings. At A2: standard work delivered independently.
</t>
          </r>
          <r>
            <rPr>
              <rFont val="Calibri"/>
              <b val="1"/>
              <sz val="10"/>
            </rPr>
            <t>Common themes in role-holders' answers:</t>
          </r>
          <r>
            <rPr>
              <rFont val="Calibri"/>
              <sz val="10"/>
            </rPr>
            <t xml:space="preserve"> scheduling · customers shared · sales · cold · navigator fetch · database</t>
          </r>
        </is>
      </c>
      <c r="K187" s="9" t="inlineStr">
        <is>
          <r>
            <rPr>
              <rFont val="Calibri"/>
              <sz val="10"/>
            </rPr>
            <t xml:space="preserve">Researches target accounts, runs outbound outreach, qualifies leads and books meetings; Standard work of the discipline; Own deliverables · accuracy, TAT
</t>
          </r>
          <r>
            <rPr>
              <rFont val="Calibri"/>
              <b val="1"/>
              <sz val="10"/>
            </rPr>
            <t>Common themes in role-holders' answers:</t>
          </r>
          <r>
            <rPr>
              <rFont val="Calibri"/>
              <sz val="10"/>
            </rPr>
            <t xml:space="preserve"> building · crm · outreach · linkedin · right · company</t>
          </r>
        </is>
      </c>
      <c r="L187" s="9" t="inlineStr">
        <is>
          <r>
            <rPr>
              <rFont val="Calibri"/>
              <sz val="10"/>
            </rPr>
            <t xml:space="preserve">Own deliverables · accuracy, TAT
</t>
          </r>
          <r>
            <rPr>
              <rFont val="Calibri"/>
              <b val="1"/>
              <sz val="10"/>
            </rPr>
            <t>Common themes in role-holders' answers:</t>
          </r>
          <r>
            <rPr>
              <rFont val="Calibri"/>
              <sz val="10"/>
            </rPr>
            <t xml:space="preserve"> discovery · meetings · revenue</t>
          </r>
        </is>
      </c>
      <c r="M187" s="9" t="inlineStr">
        <is>
          <r>
            <rPr>
              <rFont val="Calibri"/>
              <sz val="10"/>
            </rPr>
            <t xml:space="preserve">Own deliverables · accuracy, TAT
</t>
          </r>
          <r>
            <rPr>
              <rFont val="Calibri"/>
              <b val="1"/>
              <sz val="10"/>
            </rPr>
            <t>Common themes in role-holders' answers:</t>
          </r>
          <r>
            <rPr>
              <rFont val="Calibri"/>
              <sz val="10"/>
            </rPr>
            <t xml:space="preserve"> if · relevant · meeting · lead</t>
          </r>
        </is>
      </c>
      <c r="N187" s="9" t="inlineStr">
        <is>
          <r>
            <rPr>
              <rFont val="Calibri"/>
              <sz val="10"/>
            </rPr>
            <t xml:space="preserve">Chooses own approach within standards
</t>
          </r>
          <r>
            <rPr>
              <rFont val="Calibri"/>
              <b val="1"/>
              <sz val="10"/>
            </rPr>
            <t>Common themes in role-holders' answers:</t>
          </r>
          <r>
            <rPr>
              <rFont val="Calibri"/>
              <sz val="10"/>
            </rPr>
            <t xml:space="preserve"> outreach</t>
          </r>
        </is>
      </c>
      <c r="O187" s="9" t="inlineStr">
        <is>
          <t>—</t>
        </is>
      </c>
      <c r="P187" s="9" t="inlineStr">
        <is>
          <t>Marketing · Communication skills</t>
        </is>
      </c>
      <c r="Q187" s="9" t="inlineStr">
        <is>
          <t>Linkedin · Hubspot · Claude</t>
        </is>
      </c>
      <c r="R187" s="9" t="inlineStr">
        <is>
          <t>Standard work delivered independently</t>
        </is>
      </c>
      <c r="S187" s="9" t="inlineStr">
        <is>
          <t>Standard work of the discipline</t>
        </is>
      </c>
      <c r="T187" s="9" t="inlineStr">
        <is>
          <t>Chooses own approach within standards</t>
        </is>
      </c>
      <c r="U187" s="9" t="inlineStr">
        <is>
          <t>Own deliverables · accuracy, TAT</t>
        </is>
      </c>
      <c r="V187" s="9" t="inlineStr">
        <is>
          <t>Not scored in Band A</t>
        </is>
      </c>
      <c r="W187" s="9" t="inlineStr">
        <is>
          <t>0–2 yrs</t>
        </is>
      </c>
      <c r="X187" s="9" t="inlineStr">
        <is>
          <t>Graduate · or diploma with experience</t>
        </is>
      </c>
      <c r="Y187" s="9" t="inlineStr">
        <is>
          <t>Google / HubSpot certifications</t>
        </is>
      </c>
      <c r="Z187" s="9" t="inlineStr">
        <is>
          <t>No direct reports</t>
        </is>
      </c>
      <c r="AA187" s="9" t="inlineStr">
        <is>
          <t>Core 2 · Future-ready 2 · Functional 2 · Leadership —</t>
        </is>
      </c>
      <c r="AB187" s="9" t="inlineStr">
        <is>
          <t>Sales, Negotiation &amp; Account Growth · Marketing Tech &amp; Digital Marketing</t>
        </is>
      </c>
      <c r="AC187" s="9" t="inlineStr">
        <is>
          <t>Stakeholder &amp; Client Management · Communication &amp; Presentation · Product, Platform &amp; Domain Knowledge · Strategic Thinking &amp; Business Acumen</t>
        </is>
      </c>
      <c r="AD187" s="8" t="inlineStr">
        <is>
          <t>P1–P2</t>
        </is>
      </c>
      <c r="AE187" s="8" t="inlineStr">
        <is>
          <t>2 Assist</t>
        </is>
      </c>
      <c r="AF187" s="9" t="inlineStr">
        <is>
          <t>IRIS Vs Competitor Benchmark — SaaS sales ladder — IC: SDR / BDR</t>
        </is>
      </c>
      <c r="AG187" s="9" t="inlineStr">
        <is>
          <t>SaaS sales ladder · SDR → AE → Enterprise AE → VP / CRO; MEDDICC-style qualification</t>
        </is>
      </c>
      <c r="AH187" s="9" t="inlineStr">
        <is>
          <t>A3 · Senior Associate</t>
        </is>
      </c>
      <c r="AI187" s="9" t="inlineStr">
        <is>
          <t>Communication &amp; presentation · Client, sales &amp; stakeholders · Project / programme management · Marketing &amp; content · Broader exposure &amp; ownership</t>
        </is>
      </c>
      <c r="AJ187" s="9" t="inlineStr">
        <is>
          <t>prospecting · while · benefit · confidence · conversations</t>
        </is>
      </c>
      <c r="AK187" s="9" t="inlineStr">
        <is>
          <t>Formal / classroom training · Knowledge transfer · KT</t>
        </is>
      </c>
      <c r="AL187" s="9" t="inlineStr">
        <is>
          <t>database · outdated</t>
        </is>
      </c>
      <c r="AM187" s="9" t="inlineStr">
        <is>
          <t>data · linkedin</t>
        </is>
      </c>
      <c r="AN187" s="9" t="inlineStr">
        <is>
          <t>2 of 5 say the role is changing because of AI / automation</t>
        </is>
      </c>
      <c r="AO187" s="9" t="inlineStr">
        <is>
          <t>Create and convert commercial opportunities. Includes: Prospecting, account sales, alliances, presales and sales operations. Excludes: Customer adoption unless sales accountability is primary.</t>
        </is>
      </c>
      <c r="AP187" s="9" t="inlineStr">
        <is>
          <t>SAL01-1 · Sales Development Associate</t>
        </is>
      </c>
      <c r="AQ187" s="9" t="inlineStr">
        <is>
          <r>
            <rPr>
              <rFont val="Calibri"/>
              <b val="1"/>
              <sz val="10"/>
            </rPr>
            <t>Complete defined parts under review:</t>
          </r>
          <r>
            <rPr>
              <rFont val="Calibri"/>
              <sz val="10"/>
            </rPr>
            <t xml:space="preserve"> research accounts and qualify opportunities against agreed criteria.</t>
          </r>
        </is>
      </c>
      <c r="AR187" s="9" t="inlineStr">
        <is>
          <t>Repeatable correct delivery, safe escalation and required entry eligibility.</t>
        </is>
      </c>
      <c r="AS187" s="9" t="inlineStr">
        <is>
          <t>A prospecting plan and accepted opportunity set with quality and conversion evidence</t>
        </is>
      </c>
      <c r="AT187" s="9" t="inlineStr">
        <is>
          <r>
            <rPr>
              <rFont val="Calibri"/>
              <b val="1"/>
              <sz val="10"/>
            </rPr>
            <t>Workiva:</t>
          </r>
          <r>
            <rPr>
              <rFont val="Calibri"/>
              <sz val="10"/>
            </rPr>
            <t xml:space="preserve"> Sales Development Representative, SLED · Selected role. Gap: SDR role is observed; Whatfix supplies a dated India SaaS progression example</t>
          </r>
        </is>
      </c>
      <c r="AU187" s="22" t="inlineStr">
        <is>
          <t>Framework + role-holders' themes · 3+ answered</t>
        </is>
      </c>
      <c r="AV187" s="9" t="inlineStr">
        <is>
          <t>5 holders, 5 answered the survey; sub-family 15 answered</t>
        </is>
      </c>
    </row>
    <row r="188" ht="106" customHeight="1">
      <c r="A188" s="17" t="inlineStr">
        <is>
          <t>RC-164</t>
        </is>
      </c>
      <c r="B188" s="9" t="inlineStr">
        <is>
          <t>Sales &amp; Business Development</t>
        </is>
      </c>
      <c r="C188" s="9" t="inlineStr">
        <is>
          <t>Sales Development &amp; Prospecting</t>
        </is>
      </c>
      <c r="D188" s="18" t="inlineStr">
        <is>
          <t>A3</t>
        </is>
      </c>
      <c r="E188" s="19" t="inlineStr">
        <is>
          <t>Senior Associate</t>
        </is>
      </c>
      <c r="F188" s="9" t="inlineStr">
        <is>
          <t>IC</t>
        </is>
      </c>
      <c r="G188" s="9" t="inlineStr">
        <is>
          <t>Senior Sales Development Representative</t>
        </is>
      </c>
      <c r="H188" s="8" t="n">
        <v>3</v>
      </c>
      <c r="I188" s="9" t="inlineStr">
        <is>
          <t>CARBON 3</t>
        </is>
      </c>
      <c r="J188" s="9" t="inlineStr">
        <is>
          <r>
            <rPr>
              <rFont val="Calibri"/>
              <sz val="10"/>
            </rPr>
            <t xml:space="preserve">Researches target accounts, runs outbound outreach, qualifies leads and books meetings. At A3: varied work; reviews juniors; go-to for a process.
</t>
          </r>
          <r>
            <rPr>
              <rFont val="Calibri"/>
              <b val="1"/>
              <sz val="10"/>
            </rPr>
            <t>Common themes in role-holders' answers:</t>
          </r>
          <r>
            <rPr>
              <rFont val="Calibri"/>
              <sz val="10"/>
            </rPr>
            <t xml:space="preserve"> core · sales · schedule · meetings · opportunities · sdr</t>
          </r>
        </is>
      </c>
      <c r="K188" s="9" t="inlineStr">
        <is>
          <r>
            <rPr>
              <rFont val="Calibri"/>
              <sz val="10"/>
            </rPr>
            <t xml:space="preserve">Researches target accounts, runs outbound outreach, qualifies leads and books meetings; Varied and non-standard work; handles exceptions; A module / process, or work with client or regulatory consequences
</t>
          </r>
          <r>
            <rPr>
              <rFont val="Calibri"/>
              <b val="1"/>
              <sz val="10"/>
            </rPr>
            <t>Common themes in role-holders' answers:</t>
          </r>
          <r>
            <rPr>
              <rFont val="Calibri"/>
              <sz val="10"/>
            </rPr>
            <t xml:space="preserve"> outreach · calls · linkedin</t>
          </r>
        </is>
      </c>
      <c r="L188" s="9" t="inlineStr">
        <is>
          <t>A module / process, or work with client or regulatory consequences</t>
        </is>
      </c>
      <c r="M188" s="9" t="inlineStr">
        <is>
          <r>
            <rPr>
              <rFont val="Calibri"/>
              <sz val="10"/>
            </rPr>
            <t xml:space="preserve">A module / process, or work with client or regulatory consequences
</t>
          </r>
          <r>
            <rPr>
              <rFont val="Calibri"/>
              <b val="1"/>
              <sz val="10"/>
            </rPr>
            <t>Common themes in role-holders' answers:</t>
          </r>
          <r>
            <rPr>
              <rFont val="Calibri"/>
              <sz val="10"/>
            </rPr>
            <t xml:space="preserve"> pipeline · sales · qualified · meetings · opportunities · generating</t>
          </r>
        </is>
      </c>
      <c r="N188" s="9" t="inlineStr">
        <is>
          <t>Technical / QC / client calls on own work</t>
        </is>
      </c>
      <c r="O188" s="9" t="inlineStr">
        <is>
          <t>—</t>
        </is>
      </c>
      <c r="P188" s="9" t="inlineStr">
        <is>
          <t>Marketing</t>
        </is>
      </c>
      <c r="Q188" s="9" t="inlineStr">
        <is>
          <t>—</t>
        </is>
      </c>
      <c r="R188" s="9" t="inlineStr">
        <is>
          <t>Varied work; reviews juniors; go-to for a process</t>
        </is>
      </c>
      <c r="S188" s="9" t="inlineStr">
        <is>
          <t>Varied and non-standard work; handles exceptions</t>
        </is>
      </c>
      <c r="T188" s="9" t="inlineStr">
        <is>
          <t>Technical / QC / client calls on own work</t>
        </is>
      </c>
      <c r="U188" s="9" t="inlineStr">
        <is>
          <t>A module / process, or work with client or regulatory consequences</t>
        </is>
      </c>
      <c r="V188" s="9" t="inlineStr">
        <is>
          <t>Not scored in Band A</t>
        </is>
      </c>
      <c r="W188" s="9" t="inlineStr">
        <is>
          <t>2–4 yrs</t>
        </is>
      </c>
      <c r="X188" s="9" t="inlineStr">
        <is>
          <t>Graduate; relevant certification preferred</t>
        </is>
      </c>
      <c r="Y188" s="9" t="inlineStr">
        <is>
          <t>Google / HubSpot certifications</t>
        </is>
      </c>
      <c r="Z188" s="9" t="inlineStr">
        <is>
          <t>None · guides 1–3 juniors informally</t>
        </is>
      </c>
      <c r="AA188" s="9" t="inlineStr">
        <is>
          <t>Core 2 · Future-ready 2 · Functional 3 · Leadership —</t>
        </is>
      </c>
      <c r="AB188" s="9" t="inlineStr">
        <is>
          <t>Sales, Negotiation &amp; Account Growth · Marketing Tech &amp; Digital Marketing</t>
        </is>
      </c>
      <c r="AC188" s="9" t="inlineStr">
        <is>
          <t>Stakeholder &amp; Client Management · Communication &amp; Presentation · Product, Platform &amp; Domain Knowledge · Strategic Thinking &amp; Business Acumen</t>
        </is>
      </c>
      <c r="AD188" s="8" t="inlineStr">
        <is>
          <t>P2</t>
        </is>
      </c>
      <c r="AE188" s="8" t="inlineStr">
        <is>
          <t>3 Apply</t>
        </is>
      </c>
      <c r="AF188" s="9" t="inlineStr">
        <is>
          <t>IRIS Vs Competitor Benchmark — SaaS sales ladder — IC: Senior SDR</t>
        </is>
      </c>
      <c r="AG188" s="9" t="inlineStr">
        <is>
          <t>SaaS sales ladder · SDR → AE → Enterprise AE → VP / CRO; MEDDICC-style qualification</t>
        </is>
      </c>
      <c r="AH188" s="9" t="inlineStr">
        <is>
          <t>B1 · Specialist</t>
        </is>
      </c>
      <c r="AI188" s="9" t="inlineStr">
        <is>
          <t>Client, sales &amp; stakeholders · Strategy &amp; business acumen · Broader exposure &amp; ownership · Product &amp; tool knowledge</t>
        </is>
      </c>
      <c r="AJ188" s="9" t="inlineStr">
        <is>
          <t>Additional training sessions focused on objection handling, call openings, and advanced sales conversations could further enhance her effectiveness and help her achieve even better results</t>
        </is>
      </c>
      <c r="AK188" s="9" t="inlineStr">
        <is>
          <t>Mentoring / guidance from seniors · Formal / classroom training</t>
        </is>
      </c>
      <c r="AL188" s="9" t="inlineStr">
        <is>
          <t>No common theme</t>
        </is>
      </c>
      <c r="AM188" s="9" t="inlineStr">
        <is>
          <t>No common theme</t>
        </is>
      </c>
      <c r="AN188" s="9" t="inlineStr">
        <is>
          <t>1 of 3 say the role is changing because of AI / automation</t>
        </is>
      </c>
      <c r="AO188" s="9" t="inlineStr">
        <is>
          <t>Create and convert commercial opportunities. Includes: Prospecting, account sales, alliances, presales and sales operations. Excludes: Customer adoption unless sales accountability is primary.</t>
        </is>
      </c>
      <c r="AP188" s="9" t="inlineStr">
        <is>
          <t>SAL01-2 · Sales Development Representative</t>
        </is>
      </c>
      <c r="AQ188" s="9" t="inlineStr">
        <is>
          <t>Research accounts and qualify opportunities against agreed criteria.</t>
        </is>
      </c>
      <c r="AR188" s="9" t="inlineStr">
        <is>
          <t>Demonstrate routine delivery plus judgement in bounded exceptions.</t>
        </is>
      </c>
      <c r="AS188" s="9" t="inlineStr">
        <is>
          <t>A prospecting plan and accepted opportunity set with quality and conversion evidence</t>
        </is>
      </c>
      <c r="AT188" s="9" t="inlineStr">
        <is>
          <r>
            <rPr>
              <rFont val="Calibri"/>
              <b val="1"/>
              <sz val="10"/>
            </rPr>
            <t>Workiva:</t>
          </r>
          <r>
            <rPr>
              <rFont val="Calibri"/>
              <sz val="10"/>
            </rPr>
            <t xml:space="preserve"> Sales Development Representative, SLED · Selected role. Gap: SDR role is observed; Whatfix supplies a dated India SaaS progression example</t>
          </r>
        </is>
      </c>
      <c r="AU188" s="22" t="inlineStr">
        <is>
          <t>Framework + role-holders' themes · 3+ answered</t>
        </is>
      </c>
      <c r="AV188" s="9" t="inlineStr">
        <is>
          <t>3 holders, 3 answered the survey; sub-family 15 answered</t>
        </is>
      </c>
    </row>
    <row r="189" ht="106" customHeight="1">
      <c r="A189" s="17" t="inlineStr">
        <is>
          <t>RC-165</t>
        </is>
      </c>
      <c r="B189" s="9" t="inlineStr">
        <is>
          <t>Sales &amp; Business Development</t>
        </is>
      </c>
      <c r="C189" s="9" t="inlineStr">
        <is>
          <t>Sales Development &amp; Prospecting</t>
        </is>
      </c>
      <c r="D189" s="21" t="inlineStr">
        <is>
          <t>B1</t>
        </is>
      </c>
      <c r="E189" s="22" t="inlineStr">
        <is>
          <t>Specialist</t>
        </is>
      </c>
      <c r="F189" s="9" t="inlineStr">
        <is>
          <t>IC</t>
        </is>
      </c>
      <c r="G189" s="9" t="inlineStr">
        <is>
          <t>Account Executive</t>
        </is>
      </c>
      <c r="H189" s="8" t="n">
        <v>1</v>
      </c>
      <c r="I189" s="9" t="inlineStr">
        <is>
          <t>CARBON 1</t>
        </is>
      </c>
      <c r="J189" s="9" t="inlineStr">
        <is>
          <r>
            <rPr>
              <rFont val="Calibri"/>
              <sz val="10"/>
            </rPr>
            <t xml:space="preserve">Researches target accounts, runs outbound outreach, qualifies leads and books meetings. At B1: a domain / module, or a small team.
</t>
          </r>
          <r>
            <rPr>
              <rFont val="Calibri"/>
              <b val="1"/>
              <sz val="10"/>
            </rPr>
            <t>Common themes in sub-family holders, all levels' answers:</t>
          </r>
          <r>
            <rPr>
              <rFont val="Calibri"/>
              <sz val="10"/>
            </rPr>
            <t xml:space="preserve"> sales · scheduling · customers shared · cold · navigator fetch · database</t>
          </r>
        </is>
      </c>
      <c r="K189" s="9" t="inlineStr">
        <is>
          <r>
            <rPr>
              <rFont val="Calibri"/>
              <sz val="10"/>
            </rPr>
            <t xml:space="preserve">Researches target accounts, runs outbound outreach, qualifies leads and books meetings; Domain specialist work; A domain or a small team
</t>
          </r>
          <r>
            <rPr>
              <rFont val="Calibri"/>
              <b val="1"/>
              <sz val="10"/>
            </rPr>
            <t>Common themes in sub-family holders, all levels' answers:</t>
          </r>
          <r>
            <rPr>
              <rFont val="Calibri"/>
              <sz val="10"/>
            </rPr>
            <t xml:space="preserve"> outreach · linkedin · calls · pipeline · qualified · cold</t>
          </r>
        </is>
      </c>
      <c r="L189" s="9" t="inlineStr">
        <is>
          <r>
            <rPr>
              <rFont val="Calibri"/>
              <sz val="10"/>
            </rPr>
            <t xml:space="preserve">A domain or a small team
</t>
          </r>
          <r>
            <rPr>
              <rFont val="Calibri"/>
              <b val="1"/>
              <sz val="10"/>
            </rPr>
            <t>Common themes in sub-family holders, all levels' answers:</t>
          </r>
          <r>
            <rPr>
              <rFont val="Calibri"/>
              <sz val="10"/>
            </rPr>
            <t xml:space="preserve"> meetings · pipeline · sales · opportunities · lead · discovery</t>
          </r>
        </is>
      </c>
      <c r="M189" s="9" t="inlineStr">
        <is>
          <r>
            <rPr>
              <rFont val="Calibri"/>
              <sz val="10"/>
            </rPr>
            <t xml:space="preserve">A domain or a small team
</t>
          </r>
          <r>
            <rPr>
              <rFont val="Calibri"/>
              <b val="1"/>
              <sz val="10"/>
            </rPr>
            <t>Common themes in sub-family holders, all levels' answers:</t>
          </r>
          <r>
            <rPr>
              <rFont val="Calibri"/>
              <sz val="10"/>
            </rPr>
            <t xml:space="preserve"> pipeline · lead · meetings · accountable · qualified · opportunities</t>
          </r>
        </is>
      </c>
      <c r="N189" s="9" t="inlineStr">
        <is>
          <r>
            <rPr>
              <rFont val="Calibri"/>
              <sz val="10"/>
            </rPr>
            <t xml:space="preserve">Technical / QC / client calls for the domain
</t>
          </r>
          <r>
            <rPr>
              <rFont val="Calibri"/>
              <b val="1"/>
              <sz val="10"/>
            </rPr>
            <t>Common themes in sub-family holders, all levels' answers:</t>
          </r>
          <r>
            <rPr>
              <rFont val="Calibri"/>
              <sz val="10"/>
            </rPr>
            <t xml:space="preserve"> outreach · approach · messaging · calls · emails · pipeline</t>
          </r>
        </is>
      </c>
      <c r="O189" s="9" t="inlineStr">
        <is>
          <t>—</t>
        </is>
      </c>
      <c r="P189" s="9" t="inlineStr">
        <is>
          <t>Marketing · cold calling · objection handling · Communication · Linkedin outreach · Hubspot · Communication skills</t>
        </is>
      </c>
      <c r="Q189" s="9" t="inlineStr">
        <is>
          <t>HUBSPOT · Linkedin · SALES NAVIGATOR · Excel · CHATGPT · Zoominfo · Claude · Hubspot Linkedin</t>
        </is>
      </c>
      <c r="R189" s="9" t="inlineStr">
        <is>
          <t>A domain / module, or a small team</t>
        </is>
      </c>
      <c r="S189" s="9" t="inlineStr">
        <is>
          <t>Domain specialist work</t>
        </is>
      </c>
      <c r="T189" s="9" t="inlineStr">
        <is>
          <t>Technical / QC / client calls for the domain</t>
        </is>
      </c>
      <c r="U189" s="9" t="inlineStr">
        <is>
          <t>A domain or a small team</t>
        </is>
      </c>
      <c r="V189" s="9" t="inlineStr">
        <is>
          <r>
            <rPr>
              <rFont val="Calibri"/>
              <b val="1"/>
              <sz val="10"/>
            </rPr>
            <t>IC:</t>
          </r>
          <r>
            <rPr>
              <rFont val="Calibri"/>
              <sz val="10"/>
            </rPr>
            <t xml:space="preserve"> mentors and reviews · People: hands-on team lead of 3–5</t>
          </r>
        </is>
      </c>
      <c r="W189" s="9" t="inlineStr">
        <is>
          <t>4–7 yrs</t>
        </is>
      </c>
      <c r="X189" s="9" t="inlineStr">
        <is>
          <t>Graduate + relevant qualification or certification preferred</t>
        </is>
      </c>
      <c r="Y189" s="9" t="inlineStr">
        <is>
          <t>Google / HubSpot certifications</t>
        </is>
      </c>
      <c r="Z189" s="9" t="inlineStr">
        <is>
          <r>
            <rPr>
              <rFont val="Calibri"/>
              <b val="1"/>
              <sz val="10"/>
            </rPr>
            <t>IC:</t>
          </r>
          <r>
            <rPr>
              <rFont val="Calibri"/>
              <sz val="10"/>
            </rPr>
            <t xml:space="preserve"> none · Team Lead: 3–5</t>
          </r>
        </is>
      </c>
      <c r="AA189" s="9" t="inlineStr">
        <is>
          <t>Core 3 · Future-ready 3 · Functional 3 · Leadership 1</t>
        </is>
      </c>
      <c r="AB189" s="9" t="inlineStr">
        <is>
          <t>Sales, Negotiation &amp; Account Growth · Marketing Tech &amp; Digital Marketing</t>
        </is>
      </c>
      <c r="AC189" s="9" t="inlineStr">
        <is>
          <t>Stakeholder &amp; Client Management · Communication &amp; Presentation · Product, Platform &amp; Domain Knowledge · Strategic Thinking &amp; Business Acumen</t>
        </is>
      </c>
      <c r="AD189" s="8" t="inlineStr">
        <is>
          <t>P3 / M2</t>
        </is>
      </c>
      <c r="AE189" s="8" t="inlineStr">
        <is>
          <t>4 Enable</t>
        </is>
      </c>
      <c r="AF189" s="9" t="inlineStr">
        <is>
          <t>IRIS Vs Competitor Benchmark — SaaS sales ladder — IC: Account Executive · SMB · IRIS Vs Competitor Benchmark — SaaS sales ladder — management: SDR Team Lead</t>
        </is>
      </c>
      <c r="AG189" s="9" t="inlineStr">
        <is>
          <t>SaaS sales ladder · SDR → AE → Enterprise AE → VP / CRO; MEDDICC-style qualification</t>
        </is>
      </c>
      <c r="AH189" s="9" t="inlineStr">
        <is>
          <t>B2 · Senior Specialist</t>
        </is>
      </c>
      <c r="AI189" s="9" t="inlineStr">
        <is>
          <t>Product &amp; tool knowledge · Broader exposure &amp; ownership</t>
        </is>
      </c>
      <c r="AJ189" s="9" t="inlineStr">
        <is>
          <t>—</t>
        </is>
      </c>
      <c r="AK189" s="9" t="inlineStr">
        <is>
          <t>Formal / classroom training · Mentoring / guidance from seniors · Knowledge transfer · KT · On-the-job / hands-on</t>
        </is>
      </c>
      <c r="AL189" s="9" t="inlineStr">
        <is>
          <t>database · laptop · outdated · limited · connects</t>
        </is>
      </c>
      <c r="AM189" s="9" t="inlineStr">
        <is>
          <t>data · better · time · intent · outreach</t>
        </is>
      </c>
      <c r="AN189" s="9" t="inlineStr">
        <is>
          <t>5 of 15 say the role is changing because of AI / automation</t>
        </is>
      </c>
      <c r="AO189" s="9" t="inlineStr">
        <is>
          <t>Create and convert commercial opportunities. Includes: Prospecting, account sales, alliances, presales and sales operations. Excludes: Customer adoption unless sales accountability is primary.</t>
        </is>
      </c>
      <c r="AP189" s="9" t="inlineStr">
        <is>
          <t>SAL01-3 · Senior Sales Development Representative</t>
        </is>
      </c>
      <c r="AQ189" s="9" t="inlineStr">
        <is>
          <t>Handle complex stakeholder maps and improve accepted-opportunity quality.</t>
        </is>
      </c>
      <c r="AR189" s="9" t="inlineStr">
        <is>
          <t>Evidence of complex work, decisions and outcomes beyond routine delivery.</t>
        </is>
      </c>
      <c r="AS189" s="9" t="inlineStr">
        <is>
          <t>A prospecting plan and accepted opportunity set with quality and conversion evidence</t>
        </is>
      </c>
      <c r="AT189" s="9" t="inlineStr">
        <is>
          <r>
            <rPr>
              <rFont val="Calibri"/>
              <b val="1"/>
              <sz val="10"/>
            </rPr>
            <t>Workiva:</t>
          </r>
          <r>
            <rPr>
              <rFont val="Calibri"/>
              <sz val="10"/>
            </rPr>
            <t xml:space="preserve"> Sales Development Representative, SLED · Selected role. Gap: SDR role is observed; Whatfix supplies a dated India SaaS progression example</t>
          </r>
        </is>
      </c>
      <c r="AU189" s="19" t="inlineStr">
        <is>
          <t>Framework + sub-family themes · 3+ answered</t>
        </is>
      </c>
      <c r="AV189" s="9" t="inlineStr">
        <is>
          <t>1 holder, 1 answered the survey; sub-family 15 answered</t>
        </is>
      </c>
    </row>
    <row r="190" ht="106" customHeight="1">
      <c r="A190" s="17" t="inlineStr">
        <is>
          <t>RC-166</t>
        </is>
      </c>
      <c r="B190" s="9" t="inlineStr">
        <is>
          <t>Sales &amp; Business Development</t>
        </is>
      </c>
      <c r="C190" s="9" t="inlineStr">
        <is>
          <t>Sales Development &amp; Prospecting</t>
        </is>
      </c>
      <c r="D190" s="21" t="inlineStr">
        <is>
          <t>B1</t>
        </is>
      </c>
      <c r="E190" s="22" t="inlineStr">
        <is>
          <t>Team Lead</t>
        </is>
      </c>
      <c r="F190" s="9" t="inlineStr">
        <is>
          <t>Manager</t>
        </is>
      </c>
      <c r="G190" s="9" t="inlineStr">
        <is>
          <t>Team Lead – Sales Development</t>
        </is>
      </c>
      <c r="H190" s="8" t="n">
        <v>2</v>
      </c>
      <c r="I190" s="9" t="inlineStr">
        <is>
          <t>CARBON 2</t>
        </is>
      </c>
      <c r="J190" s="9" t="inlineStr">
        <is>
          <r>
            <rPr>
              <rFont val="Calibri"/>
              <sz val="10"/>
            </rPr>
            <t xml:space="preserve">Researches target accounts, runs outbound outreach, qualifies leads and books meetings. At B1: a domain / module, or a small team.
</t>
          </r>
          <r>
            <rPr>
              <rFont val="Calibri"/>
              <b val="1"/>
              <sz val="10"/>
            </rPr>
            <t>Common themes in sub-family holders, all levels' answers:</t>
          </r>
          <r>
            <rPr>
              <rFont val="Calibri"/>
              <sz val="10"/>
            </rPr>
            <t xml:space="preserve"> sales · scheduling · customers shared · cold · navigator fetch · database</t>
          </r>
        </is>
      </c>
      <c r="K190" s="9" t="inlineStr">
        <is>
          <r>
            <rPr>
              <rFont val="Calibri"/>
              <sz val="10"/>
            </rPr>
            <t xml:space="preserve">Researches target accounts, runs outbound outreach, qualifies leads and books meetings; Domain specialist work; A domain or a small team
</t>
          </r>
          <r>
            <rPr>
              <rFont val="Calibri"/>
              <b val="1"/>
              <sz val="10"/>
            </rPr>
            <t>Common themes in sub-family holders, all levels' answers:</t>
          </r>
          <r>
            <rPr>
              <rFont val="Calibri"/>
              <sz val="10"/>
            </rPr>
            <t xml:space="preserve"> outreach · linkedin · calls · pipeline · qualified · cold</t>
          </r>
        </is>
      </c>
      <c r="L190" s="9" t="inlineStr">
        <is>
          <r>
            <rPr>
              <rFont val="Calibri"/>
              <sz val="10"/>
            </rPr>
            <t xml:space="preserve">A domain or a small team
</t>
          </r>
          <r>
            <rPr>
              <rFont val="Calibri"/>
              <b val="1"/>
              <sz val="10"/>
            </rPr>
            <t>Common themes in sub-family holders, all levels' answers:</t>
          </r>
          <r>
            <rPr>
              <rFont val="Calibri"/>
              <sz val="10"/>
            </rPr>
            <t xml:space="preserve"> meetings · pipeline · sales · opportunities · lead · discovery</t>
          </r>
        </is>
      </c>
      <c r="M190" s="9" t="inlineStr">
        <is>
          <r>
            <rPr>
              <rFont val="Calibri"/>
              <sz val="10"/>
            </rPr>
            <t xml:space="preserve">A domain or a small team
</t>
          </r>
          <r>
            <rPr>
              <rFont val="Calibri"/>
              <b val="1"/>
              <sz val="10"/>
            </rPr>
            <t>Common themes in sub-family holders, all levels' answers:</t>
          </r>
          <r>
            <rPr>
              <rFont val="Calibri"/>
              <sz val="10"/>
            </rPr>
            <t xml:space="preserve"> pipeline · lead · meetings · accountable · qualified · opportunities</t>
          </r>
        </is>
      </c>
      <c r="N190" s="9" t="inlineStr">
        <is>
          <r>
            <rPr>
              <rFont val="Calibri"/>
              <sz val="10"/>
            </rPr>
            <t xml:space="preserve">Technical / QC / client calls for the domain
</t>
          </r>
          <r>
            <rPr>
              <rFont val="Calibri"/>
              <b val="1"/>
              <sz val="10"/>
            </rPr>
            <t>Common themes in sub-family holders, all levels' answers:</t>
          </r>
          <r>
            <rPr>
              <rFont val="Calibri"/>
              <sz val="10"/>
            </rPr>
            <t xml:space="preserve"> outreach · approach · messaging · calls · emails · pipeline</t>
          </r>
        </is>
      </c>
      <c r="O190" s="9" t="inlineStr">
        <is>
          <t>—</t>
        </is>
      </c>
      <c r="P190" s="9" t="inlineStr">
        <is>
          <t>Marketing · cold calling · objection handling · Communication · Linkedin outreach · Hubspot · Communication skills</t>
        </is>
      </c>
      <c r="Q190" s="9" t="inlineStr">
        <is>
          <t>HUBSPOT · Linkedin · SALES NAVIGATOR · Excel · CHATGPT · Zoominfo · Claude · Hubspot Linkedin</t>
        </is>
      </c>
      <c r="R190" s="9" t="inlineStr">
        <is>
          <t>A domain / module, or a small team</t>
        </is>
      </c>
      <c r="S190" s="9" t="inlineStr">
        <is>
          <t>Domain specialist work</t>
        </is>
      </c>
      <c r="T190" s="9" t="inlineStr">
        <is>
          <t>Technical / QC / client calls for the domain</t>
        </is>
      </c>
      <c r="U190" s="9" t="inlineStr">
        <is>
          <t>A domain or a small team</t>
        </is>
      </c>
      <c r="V190" s="9" t="inlineStr">
        <is>
          <r>
            <rPr>
              <rFont val="Calibri"/>
              <b val="1"/>
              <sz val="10"/>
            </rPr>
            <t>IC:</t>
          </r>
          <r>
            <rPr>
              <rFont val="Calibri"/>
              <sz val="10"/>
            </rPr>
            <t xml:space="preserve"> mentors and reviews · People: hands-on team lead of 3–5</t>
          </r>
        </is>
      </c>
      <c r="W190" s="9" t="inlineStr">
        <is>
          <t>4–7 yrs</t>
        </is>
      </c>
      <c r="X190" s="9" t="inlineStr">
        <is>
          <t>Graduate + relevant qualification or certification preferred</t>
        </is>
      </c>
      <c r="Y190" s="9" t="inlineStr">
        <is>
          <t>Google / HubSpot certifications</t>
        </is>
      </c>
      <c r="Z190" s="9" t="inlineStr">
        <is>
          <r>
            <rPr>
              <rFont val="Calibri"/>
              <b val="1"/>
              <sz val="10"/>
            </rPr>
            <t>IC:</t>
          </r>
          <r>
            <rPr>
              <rFont val="Calibri"/>
              <sz val="10"/>
            </rPr>
            <t xml:space="preserve"> none · Team Lead: 3–5</t>
          </r>
        </is>
      </c>
      <c r="AA190" s="9" t="inlineStr">
        <is>
          <t>Core 3 · Future-ready 3 · Functional 3 · Leadership 2</t>
        </is>
      </c>
      <c r="AB190" s="9" t="inlineStr">
        <is>
          <t>Sales, Negotiation &amp; Account Growth · Marketing Tech &amp; Digital Marketing</t>
        </is>
      </c>
      <c r="AC190" s="9" t="inlineStr">
        <is>
          <t>Stakeholder &amp; Client Management · Communication &amp; Presentation · Product, Platform &amp; Domain Knowledge · Strategic Thinking &amp; Business Acumen</t>
        </is>
      </c>
      <c r="AD190" s="8" t="inlineStr">
        <is>
          <t>P3 / M2</t>
        </is>
      </c>
      <c r="AE190" s="8" t="inlineStr">
        <is>
          <t>4 Enable</t>
        </is>
      </c>
      <c r="AF190" s="9" t="inlineStr">
        <is>
          <t>IRIS Vs Competitor Benchmark — SaaS sales ladder — IC: Account Executive · SMB · IRIS Vs Competitor Benchmark — SaaS sales ladder — management: SDR Team Lead</t>
        </is>
      </c>
      <c r="AG190" s="9" t="inlineStr">
        <is>
          <t>SaaS sales ladder · SDR → AE → Enterprise AE → VP / CRO; MEDDICC-style qualification</t>
        </is>
      </c>
      <c r="AH190" s="9" t="inlineStr">
        <is>
          <t>B2 · Senior Specialist</t>
        </is>
      </c>
      <c r="AI190" s="9" t="inlineStr">
        <is>
          <t>Leadership &amp; people management · Data, SQL &amp; analytics · Product &amp; tool knowledge · Broader exposure &amp; ownership · Certification / formal course</t>
        </is>
      </c>
      <c r="AJ190" s="9" t="inlineStr">
        <is>
          <t>- Understand the definition of Culture</t>
        </is>
      </c>
      <c r="AK190" s="9" t="inlineStr">
        <is>
          <t>Formal / classroom training · Mentoring / guidance from seniors · Knowledge transfer · KT · On-the-job / hands-on</t>
        </is>
      </c>
      <c r="AL190" s="9" t="inlineStr">
        <is>
          <t>database · laptop · outdated · limited · connects</t>
        </is>
      </c>
      <c r="AM190" s="9" t="inlineStr">
        <is>
          <t>data · better · time · intent · outreach</t>
        </is>
      </c>
      <c r="AN190" s="9" t="inlineStr">
        <is>
          <t>5 of 15 say the role is changing because of AI / automation</t>
        </is>
      </c>
      <c r="AO190" s="9" t="inlineStr">
        <is>
          <t>Create and convert commercial opportunities. Includes: Prospecting, account sales, alliances, presales and sales operations. Excludes: Customer adoption unless sales accountability is primary.</t>
        </is>
      </c>
      <c r="AP190" s="9" t="inlineStr">
        <is>
          <t>LD05-1 · Sales / Sales Development Manager</t>
        </is>
      </c>
      <c r="AQ190" s="9" t="inlineStr">
        <is>
          <t>Own staffing decisions, performance support, service quality and delegated team resources</t>
        </is>
      </c>
      <c r="AR190" s="9" t="inlineStr">
        <is>
          <t>Do not manufacture three reporting layers. Choose roles the organisation needs. A specialist may remain on an equally valued expert path.</t>
        </is>
      </c>
      <c r="AS190" s="9" t="inlineStr">
        <is>
          <t>—</t>
        </is>
      </c>
      <c r="AT190" s="9" t="inlineStr">
        <is>
          <t>—</t>
        </is>
      </c>
      <c r="AU190" s="19" t="inlineStr">
        <is>
          <t>Framework + sub-family themes · 3+ answered</t>
        </is>
      </c>
      <c r="AV190" s="9" t="inlineStr">
        <is>
          <t>2 holders, 2 answered the survey; sub-family 15 answered</t>
        </is>
      </c>
    </row>
    <row r="191" ht="106" customHeight="1">
      <c r="A191" s="17" t="inlineStr">
        <is>
          <t>RC-167</t>
        </is>
      </c>
      <c r="B191" s="9" t="inlineStr">
        <is>
          <t>Sales &amp; Business Development</t>
        </is>
      </c>
      <c r="C191" s="9" t="inlineStr">
        <is>
          <t>Sales Development &amp; Prospecting</t>
        </is>
      </c>
      <c r="D191" s="21" t="inlineStr">
        <is>
          <t>B2</t>
        </is>
      </c>
      <c r="E191" s="22" t="inlineStr">
        <is>
          <t>Senior Specialist</t>
        </is>
      </c>
      <c r="F191" s="9" t="inlineStr">
        <is>
          <t>IC</t>
        </is>
      </c>
      <c r="G191" s="9" t="inlineStr">
        <is>
          <t>Senior Account Executive – POD Lead</t>
        </is>
      </c>
      <c r="H191" s="8" t="n">
        <v>1</v>
      </c>
      <c r="I191" s="9" t="inlineStr">
        <is>
          <t>CARBON 1</t>
        </is>
      </c>
      <c r="J191" s="9" t="inlineStr">
        <is>
          <r>
            <rPr>
              <rFont val="Calibri"/>
              <sz val="10"/>
            </rPr>
            <t xml:space="preserve">Researches target accounts, runs outbound outreach, qualifies leads and books meetings. At B2: deep domain expertise, or one team.
</t>
          </r>
          <r>
            <rPr>
              <rFont val="Calibri"/>
              <b val="1"/>
              <sz val="10"/>
            </rPr>
            <t>Common themes in sub-family holders, all levels' answers:</t>
          </r>
          <r>
            <rPr>
              <rFont val="Calibri"/>
              <sz val="10"/>
            </rPr>
            <t xml:space="preserve"> sales · scheduling · customers shared · cold · navigator fetch · database</t>
          </r>
        </is>
      </c>
      <c r="K191" s="9" t="inlineStr">
        <is>
          <r>
            <rPr>
              <rFont val="Calibri"/>
              <sz val="10"/>
            </rPr>
            <t xml:space="preserve">Researches target accounts, runs outbound outreach, qualifies leads and books meetings; Hardest problems in the domain; One team or a client portfolio
</t>
          </r>
          <r>
            <rPr>
              <rFont val="Calibri"/>
              <b val="1"/>
              <sz val="10"/>
            </rPr>
            <t>Common themes in sub-family holders, all levels' answers:</t>
          </r>
          <r>
            <rPr>
              <rFont val="Calibri"/>
              <sz val="10"/>
            </rPr>
            <t xml:space="preserve"> outreach · linkedin · calls · pipeline · qualified · cold</t>
          </r>
        </is>
      </c>
      <c r="L191" s="9" t="inlineStr">
        <is>
          <r>
            <rPr>
              <rFont val="Calibri"/>
              <sz val="10"/>
            </rPr>
            <t xml:space="preserve">One team or a client portfolio
</t>
          </r>
          <r>
            <rPr>
              <rFont val="Calibri"/>
              <b val="1"/>
              <sz val="10"/>
            </rPr>
            <t>Common themes in sub-family holders, all levels' answers:</t>
          </r>
          <r>
            <rPr>
              <rFont val="Calibri"/>
              <sz val="10"/>
            </rPr>
            <t xml:space="preserve"> meetings · pipeline · sales · opportunities · lead · discovery</t>
          </r>
        </is>
      </c>
      <c r="M191" s="9" t="inlineStr">
        <is>
          <r>
            <rPr>
              <rFont val="Calibri"/>
              <sz val="10"/>
            </rPr>
            <t xml:space="preserve">One team or a client portfolio
</t>
          </r>
          <r>
            <rPr>
              <rFont val="Calibri"/>
              <b val="1"/>
              <sz val="10"/>
            </rPr>
            <t>Common themes in sub-family holders, all levels' answers:</t>
          </r>
          <r>
            <rPr>
              <rFont val="Calibri"/>
              <sz val="10"/>
            </rPr>
            <t xml:space="preserve"> pipeline · lead · meetings · accountable · qualified · opportunities</t>
          </r>
        </is>
      </c>
      <c r="N191" s="9" t="inlineStr">
        <is>
          <r>
            <rPr>
              <rFont val="Calibri"/>
              <sz val="10"/>
            </rPr>
            <t xml:space="preserve">Allocates people and sets team priorities
</t>
          </r>
          <r>
            <rPr>
              <rFont val="Calibri"/>
              <b val="1"/>
              <sz val="10"/>
            </rPr>
            <t>Common themes in sub-family holders, all levels' answers:</t>
          </r>
          <r>
            <rPr>
              <rFont val="Calibri"/>
              <sz val="10"/>
            </rPr>
            <t xml:space="preserve"> outreach · approach · messaging · calls · emails · pipeline</t>
          </r>
        </is>
      </c>
      <c r="O191" s="9" t="inlineStr">
        <is>
          <t>—</t>
        </is>
      </c>
      <c r="P191" s="9" t="inlineStr">
        <is>
          <t>Marketing · cold calling · objection handling · Communication · Linkedin outreach · Hubspot · Communication skills</t>
        </is>
      </c>
      <c r="Q191" s="9" t="inlineStr">
        <is>
          <t>HUBSPOT · Linkedin · SALES NAVIGATOR · Excel · CHATGPT · Zoominfo · Claude · Hubspot Linkedin</t>
        </is>
      </c>
      <c r="R191" s="9" t="inlineStr">
        <is>
          <t>Deep domain expertise, or one team</t>
        </is>
      </c>
      <c r="S191" s="9" t="inlineStr">
        <is>
          <t>Hardest problems in the domain</t>
        </is>
      </c>
      <c r="T191" s="9" t="inlineStr">
        <is>
          <t>Allocates people and sets team priorities</t>
        </is>
      </c>
      <c r="U191" s="9" t="inlineStr">
        <is>
          <t>One team or a client portfolio</t>
        </is>
      </c>
      <c r="V191" s="9" t="inlineStr">
        <is>
          <r>
            <rPr>
              <rFont val="Calibri"/>
              <b val="1"/>
              <sz val="10"/>
            </rPr>
            <t>IC:</t>
          </r>
          <r>
            <rPr>
              <rFont val="Calibri"/>
              <sz val="10"/>
            </rPr>
            <t xml:space="preserve"> guides others in the domain · People: manages a team of 6+</t>
          </r>
        </is>
      </c>
      <c r="W191" s="9" t="inlineStr">
        <is>
          <t>6–9 yrs</t>
        </is>
      </c>
      <c r="X191" s="9" t="inlineStr">
        <is>
          <t>Graduate or postgraduate; professional qualification preferred</t>
        </is>
      </c>
      <c r="Y191" s="9" t="inlineStr">
        <is>
          <t>Google / HubSpot certifications</t>
        </is>
      </c>
      <c r="Z191" s="9" t="inlineStr">
        <is>
          <r>
            <rPr>
              <rFont val="Calibri"/>
              <b val="1"/>
              <sz val="10"/>
            </rPr>
            <t>IC:</t>
          </r>
          <r>
            <rPr>
              <rFont val="Calibri"/>
              <sz val="10"/>
            </rPr>
            <t xml:space="preserve"> none · People: 6–8 knowledge work, 8–12 standardised delivery</t>
          </r>
        </is>
      </c>
      <c r="AA191" s="9" t="inlineStr">
        <is>
          <t>Core 3 · Future-ready 3 · Functional 4 · Leadership 2</t>
        </is>
      </c>
      <c r="AB191" s="9" t="inlineStr">
        <is>
          <t>Sales, Negotiation &amp; Account Growth · Marketing Tech &amp; Digital Marketing</t>
        </is>
      </c>
      <c r="AC191" s="9" t="inlineStr">
        <is>
          <t>Stakeholder &amp; Client Management · Communication &amp; Presentation · Product, Platform &amp; Domain Knowledge · Strategic Thinking &amp; Business Acumen</t>
        </is>
      </c>
      <c r="AD191" s="8" t="inlineStr">
        <is>
          <t>P4 / M3</t>
        </is>
      </c>
      <c r="AE191" s="8" t="inlineStr">
        <is>
          <t>4–5</t>
        </is>
      </c>
      <c r="AF191" s="9" t="inlineStr">
        <is>
          <t>IRIS Vs Competitor Benchmark — SaaS sales ladder — IC: Mid-Market AE · IRIS Vs Competitor Benchmark — SaaS sales ladder — management: Sales Manager</t>
        </is>
      </c>
      <c r="AG191" s="9" t="inlineStr">
        <is>
          <t>SaaS sales ladder · SDR → AE → Enterprise AE → VP / CRO; MEDDICC-style qualification</t>
        </is>
      </c>
      <c r="AH191" s="9" t="inlineStr">
        <is>
          <t>B3 · Lead Specialist</t>
        </is>
      </c>
      <c r="AI191" s="9" t="inlineStr">
        <is>
          <t>Client, sales &amp; stakeholders · Broader exposure &amp; ownership</t>
        </is>
      </c>
      <c r="AJ191" s="9" t="inlineStr">
        <is>
          <t>—</t>
        </is>
      </c>
      <c r="AK191" s="9" t="inlineStr">
        <is>
          <t>Formal / classroom training · Mentoring / guidance from seniors · Knowledge transfer · KT · On-the-job / hands-on</t>
        </is>
      </c>
      <c r="AL191" s="9" t="inlineStr">
        <is>
          <t>database · laptop · outdated · limited · connects</t>
        </is>
      </c>
      <c r="AM191" s="9" t="inlineStr">
        <is>
          <t>data · better · time · intent · outreach</t>
        </is>
      </c>
      <c r="AN191" s="9" t="inlineStr">
        <is>
          <t>5 of 15 say the role is changing because of AI / automation</t>
        </is>
      </c>
      <c r="AO191" s="9" t="inlineStr">
        <is>
          <t>Create and convert commercial opportunities. Includes: Prospecting, account sales, alliances, presales and sales operations. Excludes: Customer adoption unless sales accountability is primary.</t>
        </is>
      </c>
      <c r="AP191" s="9" t="inlineStr">
        <is>
          <t>SAL01-3 · Senior Sales Development Representative</t>
        </is>
      </c>
      <c r="AQ191" s="9" t="inlineStr">
        <is>
          <t>Handle complex stakeholder maps and improve accepted-opportunity quality.</t>
        </is>
      </c>
      <c r="AR191" s="9" t="inlineStr">
        <is>
          <t>Evidence of complex work, decisions and outcomes beyond routine delivery.</t>
        </is>
      </c>
      <c r="AS191" s="9" t="inlineStr">
        <is>
          <t>A prospecting plan and accepted opportunity set with quality and conversion evidence</t>
        </is>
      </c>
      <c r="AT191" s="9" t="inlineStr">
        <is>
          <r>
            <rPr>
              <rFont val="Calibri"/>
              <b val="1"/>
              <sz val="10"/>
            </rPr>
            <t>Workiva:</t>
          </r>
          <r>
            <rPr>
              <rFont val="Calibri"/>
              <sz val="10"/>
            </rPr>
            <t xml:space="preserve"> Sales Development Representative, SLED · Selected role. Gap: SDR role is observed; Whatfix supplies a dated India SaaS progression example</t>
          </r>
        </is>
      </c>
      <c r="AU191" s="19" t="inlineStr">
        <is>
          <t>Framework + sub-family themes · 3+ answered</t>
        </is>
      </c>
      <c r="AV191" s="9" t="inlineStr">
        <is>
          <t>1 holder, 1 answered the survey; sub-family 15 answered</t>
        </is>
      </c>
    </row>
    <row r="192" ht="80" customHeight="1">
      <c r="A192" s="17" t="inlineStr">
        <is>
          <t>RC-168</t>
        </is>
      </c>
      <c r="B192" s="9" t="inlineStr">
        <is>
          <t>Sales &amp; Business Development</t>
        </is>
      </c>
      <c r="C192" s="9" t="inlineStr">
        <is>
          <t>Sales Leadership</t>
        </is>
      </c>
      <c r="D192" s="21" t="inlineStr">
        <is>
          <t>B2</t>
        </is>
      </c>
      <c r="E192" s="22" t="inlineStr">
        <is>
          <t>Senior Specialist</t>
        </is>
      </c>
      <c r="F192" s="9" t="inlineStr">
        <is>
          <t>IC</t>
        </is>
      </c>
      <c r="G192" s="9" t="inlineStr">
        <is>
          <t>Lead Account Executive · Senior Account Executive – POD Lead</t>
        </is>
      </c>
      <c r="H192" s="8" t="n">
        <v>2</v>
      </c>
      <c r="I192" s="9" t="inlineStr">
        <is>
          <t>CARBON 1 · iFile 1</t>
        </is>
      </c>
      <c r="J192" s="9" t="inlineStr">
        <is>
          <r>
            <rPr>
              <rFont val="Calibri"/>
              <sz val="10"/>
            </rPr>
            <t xml:space="preserve">Leads the sales &amp; business development function. At B2: deep domain expertise, or one team.
</t>
          </r>
          <r>
            <rPr>
              <rFont val="Calibri"/>
              <b val="1"/>
              <sz val="10"/>
            </rPr>
            <t>Common themes in sub-family holders, all levels' answers:</t>
          </r>
          <r>
            <rPr>
              <rFont val="Calibri"/>
              <sz val="10"/>
            </rPr>
            <t xml:space="preserve"> client · follow till · negotiations · details sdr · understand · call</t>
          </r>
        </is>
      </c>
      <c r="K192" s="9" t="inlineStr">
        <is>
          <r>
            <rPr>
              <rFont val="Calibri"/>
              <sz val="10"/>
            </rPr>
            <t xml:space="preserve">Leads the sales &amp; business development function; Hardest problems in the domain; One team or a client portfolio
</t>
          </r>
          <r>
            <rPr>
              <rFont val="Calibri"/>
              <b val="1"/>
              <sz val="10"/>
            </rPr>
            <t>Common themes in sub-family holders, all levels' answers:</t>
          </r>
          <r>
            <rPr>
              <rFont val="Calibri"/>
              <sz val="10"/>
            </rPr>
            <t xml:space="preserve"> building · partner</t>
          </r>
        </is>
      </c>
      <c r="L192" s="9" t="inlineStr">
        <is>
          <r>
            <rPr>
              <rFont val="Calibri"/>
              <sz val="10"/>
            </rPr>
            <t xml:space="preserve">One team or a client portfolio
</t>
          </r>
          <r>
            <rPr>
              <rFont val="Calibri"/>
              <b val="1"/>
              <sz val="10"/>
            </rPr>
            <t>Common themes in sub-family holders, all levels' answers:</t>
          </r>
          <r>
            <rPr>
              <rFont val="Calibri"/>
              <sz val="10"/>
            </rPr>
            <t xml:space="preserve"> sales</t>
          </r>
        </is>
      </c>
      <c r="M192" s="9" t="inlineStr">
        <is>
          <r>
            <rPr>
              <rFont val="Calibri"/>
              <sz val="10"/>
            </rPr>
            <t xml:space="preserve">One team or a client portfolio
</t>
          </r>
          <r>
            <rPr>
              <rFont val="Calibri"/>
              <b val="1"/>
              <sz val="10"/>
            </rPr>
            <t>Common themes in sub-family holders, all levels' answers:</t>
          </r>
          <r>
            <rPr>
              <rFont val="Calibri"/>
              <sz val="10"/>
            </rPr>
            <t xml:space="preserve"> revenue · generation · sales</t>
          </r>
        </is>
      </c>
      <c r="N192" s="9" t="inlineStr">
        <is>
          <t>Allocates people and sets team priorities</t>
        </is>
      </c>
      <c r="O192" s="9" t="inlineStr">
        <is>
          <t>—</t>
        </is>
      </c>
      <c r="P192" s="9" t="inlineStr">
        <is>
          <t>Sales</t>
        </is>
      </c>
      <c r="Q192" s="9" t="inlineStr">
        <is>
          <t>—</t>
        </is>
      </c>
      <c r="R192" s="9" t="inlineStr">
        <is>
          <t>Deep domain expertise, or one team</t>
        </is>
      </c>
      <c r="S192" s="9" t="inlineStr">
        <is>
          <t>Hardest problems in the domain</t>
        </is>
      </c>
      <c r="T192" s="9" t="inlineStr">
        <is>
          <t>Allocates people and sets team priorities</t>
        </is>
      </c>
      <c r="U192" s="9" t="inlineStr">
        <is>
          <t>One team or a client portfolio</t>
        </is>
      </c>
      <c r="V192" s="9" t="inlineStr">
        <is>
          <r>
            <rPr>
              <rFont val="Calibri"/>
              <b val="1"/>
              <sz val="10"/>
            </rPr>
            <t>IC:</t>
          </r>
          <r>
            <rPr>
              <rFont val="Calibri"/>
              <sz val="10"/>
            </rPr>
            <t xml:space="preserve"> guides others in the domain · People: manages a team of 6+</t>
          </r>
        </is>
      </c>
      <c r="W192" s="9" t="inlineStr">
        <is>
          <t>6–9 yrs</t>
        </is>
      </c>
      <c r="X192" s="9" t="inlineStr">
        <is>
          <t>Graduate or postgraduate; professional qualification preferred</t>
        </is>
      </c>
      <c r="Y192" s="9" t="inlineStr">
        <is>
          <t>Google / HubSpot certifications</t>
        </is>
      </c>
      <c r="Z192" s="9" t="inlineStr">
        <is>
          <r>
            <rPr>
              <rFont val="Calibri"/>
              <b val="1"/>
              <sz val="10"/>
            </rPr>
            <t>IC:</t>
          </r>
          <r>
            <rPr>
              <rFont val="Calibri"/>
              <sz val="10"/>
            </rPr>
            <t xml:space="preserve"> none · People: 6–8 knowledge work, 8–12 standardised delivery</t>
          </r>
        </is>
      </c>
      <c r="AA192" s="9" t="inlineStr">
        <is>
          <t>Core 3 · Future-ready 3 · Functional 4 · Leadership 2</t>
        </is>
      </c>
      <c r="AB192" s="9" t="inlineStr">
        <is>
          <t>Sales, Negotiation &amp; Account Growth · Marketing Tech &amp; Digital Marketing</t>
        </is>
      </c>
      <c r="AC192" s="9" t="inlineStr">
        <is>
          <t>Stakeholder &amp; Client Management · Communication &amp; Presentation · Product, Platform &amp; Domain Knowledge · Strategic Thinking &amp; Business Acumen</t>
        </is>
      </c>
      <c r="AD192" s="8" t="inlineStr">
        <is>
          <t>P4 / M3</t>
        </is>
      </c>
      <c r="AE192" s="8" t="inlineStr">
        <is>
          <t>4–5</t>
        </is>
      </c>
      <c r="AF192" s="9" t="inlineStr">
        <is>
          <t>IRIS Vs Competitor Benchmark — SaaS sales ladder — IC: Mid-Market AE · IRIS Vs Competitor Benchmark — SaaS sales ladder — management: Sales Manager</t>
        </is>
      </c>
      <c r="AG192" s="9" t="inlineStr">
        <is>
          <t>SaaS sales ladder · SDR → AE → Enterprise AE → VP / CRO; MEDDICC-style qualification</t>
        </is>
      </c>
      <c r="AH192" s="9" t="inlineStr">
        <is>
          <t>B3 · Lead Specialist</t>
        </is>
      </c>
      <c r="AI192" s="9" t="inlineStr">
        <is>
          <t>Broader exposure &amp; ownership · Client, sales &amp; stakeholders</t>
        </is>
      </c>
      <c r="AJ192" s="9" t="inlineStr">
        <is>
          <t>SaaS/RegTech product &amp; domain knowledge, Knowledge of competition - product and pricing, Knowledge of Tech trends and AI</t>
        </is>
      </c>
      <c r="AK192" s="9" t="inlineStr">
        <is>
          <t>On-the-job / hands-on · Mentoring / guidance from seniors · Formal / classroom training</t>
        </is>
      </c>
      <c r="AL192" s="9" t="inlineStr">
        <is>
          <t>No common theme</t>
        </is>
      </c>
      <c r="AM192" s="9" t="inlineStr">
        <is>
          <t>availability</t>
        </is>
      </c>
      <c r="AN192" s="9" t="inlineStr">
        <is>
          <t>3 of 3 say the role is changing because of AI / automation</t>
        </is>
      </c>
      <c r="AO192" s="9" t="inlineStr">
        <is>
          <t>Create and convert commercial opportunities. Includes: Prospecting, account sales, alliances, presales and sales operations. Excludes: Customer adoption unless sales accountability is primary.</t>
        </is>
      </c>
      <c r="AP192" s="9" t="inlineStr">
        <is>
          <t>LD05-1 · Sales / Sales Development Manager</t>
        </is>
      </c>
      <c r="AQ192" s="9" t="inlineStr">
        <is>
          <t>Own staffing decisions, performance support, service quality and delegated team resources</t>
        </is>
      </c>
      <c r="AR192" s="9" t="inlineStr">
        <is>
          <t>Do not manufacture three reporting layers. Choose roles the organisation needs. A specialist may remain on an equally valued expert path.</t>
        </is>
      </c>
      <c r="AS192" s="9" t="inlineStr">
        <is>
          <t>—</t>
        </is>
      </c>
      <c r="AT192" s="9" t="inlineStr">
        <is>
          <t>—</t>
        </is>
      </c>
      <c r="AU192" s="19" t="inlineStr">
        <is>
          <t>Framework + sub-family themes · 3+ answered</t>
        </is>
      </c>
      <c r="AV192" s="9" t="inlineStr">
        <is>
          <t>2 holders, 2 answered the survey; sub-family 3 answered</t>
        </is>
      </c>
    </row>
    <row r="193" ht="93" customHeight="1">
      <c r="A193" s="17" t="inlineStr">
        <is>
          <t>RC-169</t>
        </is>
      </c>
      <c r="B193" s="9" t="inlineStr">
        <is>
          <t>Sales &amp; Business Development</t>
        </is>
      </c>
      <c r="C193" s="9" t="inlineStr">
        <is>
          <t>Sales Leadership</t>
        </is>
      </c>
      <c r="D193" s="21" t="inlineStr">
        <is>
          <t>B3</t>
        </is>
      </c>
      <c r="E193" s="22" t="inlineStr">
        <is>
          <t>Lead Specialist</t>
        </is>
      </c>
      <c r="F193" s="9" t="inlineStr">
        <is>
          <t>IC</t>
        </is>
      </c>
      <c r="G193" s="9" t="inlineStr">
        <is>
          <t>Lead Account Executive</t>
        </is>
      </c>
      <c r="H193" s="8" t="n">
        <v>1</v>
      </c>
      <c r="I193" s="9" t="inlineStr">
        <is>
          <t>CARBON 1</t>
        </is>
      </c>
      <c r="J193" s="9" t="inlineStr">
        <is>
          <r>
            <rPr>
              <rFont val="Calibri"/>
              <sz val="10"/>
            </rPr>
            <t xml:space="preserve">Leads the sales &amp; business development function. At B3: a practice, or several teams through team leads.
</t>
          </r>
          <r>
            <rPr>
              <rFont val="Calibri"/>
              <b val="1"/>
              <sz val="10"/>
            </rPr>
            <t>Common themes in sub-family holders, all levels' answers:</t>
          </r>
          <r>
            <rPr>
              <rFont val="Calibri"/>
              <sz val="10"/>
            </rPr>
            <t xml:space="preserve"> client · follow till · negotiations · details sdr · understand · call</t>
          </r>
        </is>
      </c>
      <c r="K193" s="9" t="inlineStr">
        <is>
          <r>
            <rPr>
              <rFont val="Calibri"/>
              <sz val="10"/>
            </rPr>
            <t xml:space="preserve">Leads the sales &amp; business development function; Sets standards for a practice; cross-team problems; Several teams or a practice
</t>
          </r>
          <r>
            <rPr>
              <rFont val="Calibri"/>
              <b val="1"/>
              <sz val="10"/>
            </rPr>
            <t>Common themes in sub-family holders, all levels' answers:</t>
          </r>
          <r>
            <rPr>
              <rFont val="Calibri"/>
              <sz val="10"/>
            </rPr>
            <t xml:space="preserve"> building · partner</t>
          </r>
        </is>
      </c>
      <c r="L193" s="9" t="inlineStr">
        <is>
          <r>
            <rPr>
              <rFont val="Calibri"/>
              <sz val="10"/>
            </rPr>
            <t xml:space="preserve">Several teams or a practice
</t>
          </r>
          <r>
            <rPr>
              <rFont val="Calibri"/>
              <b val="1"/>
              <sz val="10"/>
            </rPr>
            <t>Common themes in sub-family holders, all levels' answers:</t>
          </r>
          <r>
            <rPr>
              <rFont val="Calibri"/>
              <sz val="10"/>
            </rPr>
            <t xml:space="preserve"> sales</t>
          </r>
        </is>
      </c>
      <c r="M193" s="9" t="inlineStr">
        <is>
          <r>
            <rPr>
              <rFont val="Calibri"/>
              <sz val="10"/>
            </rPr>
            <t xml:space="preserve">Several teams or a practice
</t>
          </r>
          <r>
            <rPr>
              <rFont val="Calibri"/>
              <b val="1"/>
              <sz val="10"/>
            </rPr>
            <t>Common themes in sub-family holders, all levels' answers:</t>
          </r>
          <r>
            <rPr>
              <rFont val="Calibri"/>
              <sz val="10"/>
            </rPr>
            <t xml:space="preserve"> revenue · generation · sales</t>
          </r>
        </is>
      </c>
      <c r="N193" s="9" t="inlineStr">
        <is>
          <t>Commercial / strategic calls for the unit</t>
        </is>
      </c>
      <c r="O193" s="9" t="inlineStr">
        <is>
          <t>—</t>
        </is>
      </c>
      <c r="P193" s="9" t="inlineStr">
        <is>
          <t>Sales</t>
        </is>
      </c>
      <c r="Q193" s="9" t="inlineStr">
        <is>
          <t>—</t>
        </is>
      </c>
      <c r="R193" s="9" t="inlineStr">
        <is>
          <t>A practice, or several teams through team leads</t>
        </is>
      </c>
      <c r="S193" s="9" t="inlineStr">
        <is>
          <t>Sets standards for a practice; cross-team problems</t>
        </is>
      </c>
      <c r="T193" s="9" t="inlineStr">
        <is>
          <t>Commercial / strategic calls for the unit</t>
        </is>
      </c>
      <c r="U193" s="9" t="inlineStr">
        <is>
          <t>Several teams or a practice</t>
        </is>
      </c>
      <c r="V193" s="9" t="inlineStr">
        <is>
          <r>
            <rPr>
              <rFont val="Calibri"/>
              <b val="1"/>
              <sz val="10"/>
            </rPr>
            <t>IC:</t>
          </r>
          <r>
            <rPr>
              <rFont val="Calibri"/>
              <sz val="10"/>
            </rPr>
            <t xml:space="preserve"> leads a practice · People: team leads / managers report in</t>
          </r>
        </is>
      </c>
      <c r="W193" s="9" t="inlineStr">
        <is>
          <t>8–12 yrs</t>
        </is>
      </c>
      <c r="X193" s="9" t="inlineStr">
        <is>
          <t>Postgraduate or professional qualification preferred</t>
        </is>
      </c>
      <c r="Y193" s="9" t="inlineStr">
        <is>
          <t>Google / HubSpot certifications</t>
        </is>
      </c>
      <c r="Z193" s="9" t="inlineStr">
        <is>
          <r>
            <rPr>
              <rFont val="Calibri"/>
              <b val="1"/>
              <sz val="10"/>
            </rPr>
            <t>IC:</t>
          </r>
          <r>
            <rPr>
              <rFont val="Calibri"/>
              <sz val="10"/>
            </rPr>
            <t xml:space="preserve"> none · People: 5–8 incl. team leads</t>
          </r>
        </is>
      </c>
      <c r="AA193" s="9" t="inlineStr">
        <is>
          <t>Core 4 · Future-ready 3 · Functional 4 · Leadership 3</t>
        </is>
      </c>
      <c r="AB193" s="9" t="inlineStr">
        <is>
          <t>Sales, Negotiation &amp; Account Growth · Marketing Tech &amp; Digital Marketing</t>
        </is>
      </c>
      <c r="AC193" s="9" t="inlineStr">
        <is>
          <t>Stakeholder &amp; Client Management · Communication &amp; Presentation · Product, Platform &amp; Domain Knowledge · Strategic Thinking &amp; Business Acumen</t>
        </is>
      </c>
      <c r="AD193" s="8" t="inlineStr">
        <is>
          <t>P5 / M4</t>
        </is>
      </c>
      <c r="AE193" s="8" t="inlineStr">
        <is>
          <t>5 Ensure, advise</t>
        </is>
      </c>
      <c r="AF193" s="9" t="inlineStr">
        <is>
          <t>IRIS Vs Competitor Benchmark — SaaS sales ladder — IC: Enterprise AE · IRIS Vs Competitor Benchmark — SaaS sales ladder — management: Senior Sales Manager</t>
        </is>
      </c>
      <c r="AG193" s="9" t="inlineStr">
        <is>
          <t>SaaS sales ladder · SDR → AE → Enterprise AE → VP / CRO; MEDDICC-style qualification</t>
        </is>
      </c>
      <c r="AH193" s="9" t="inlineStr">
        <is>
          <t>C1 · Principal · or B+ · Player-Coach transition step if leading people hands-on</t>
        </is>
      </c>
      <c r="AI193" s="9" t="inlineStr">
        <is>
          <t>Client, sales &amp; stakeholders · Strategy &amp; business acumen · Broader exposure &amp; ownership</t>
        </is>
      </c>
      <c r="AJ193" s="9" t="inlineStr">
        <is>
          <t>Sales</t>
        </is>
      </c>
      <c r="AK193" s="9" t="inlineStr">
        <is>
          <t>On-the-job / hands-on · Mentoring / guidance from seniors · Formal / classroom training</t>
        </is>
      </c>
      <c r="AL193" s="9" t="inlineStr">
        <is>
          <t>No common theme</t>
        </is>
      </c>
      <c r="AM193" s="9" t="inlineStr">
        <is>
          <t>availability</t>
        </is>
      </c>
      <c r="AN193" s="9" t="inlineStr">
        <is>
          <t>3 of 3 say the role is changing because of AI / automation</t>
        </is>
      </c>
      <c r="AO193" s="9" t="inlineStr">
        <is>
          <t>Create and convert commercial opportunities. Includes: Prospecting, account sales, alliances, presales and sales operations. Excludes: Customer adoption unless sales accountability is primary.</t>
        </is>
      </c>
      <c r="AP193" s="9" t="inlineStr">
        <is>
          <t>LD05-1 · Sales / Sales Development Manager</t>
        </is>
      </c>
      <c r="AQ193" s="9" t="inlineStr">
        <is>
          <t>Own staffing decisions, performance support, service quality and delegated team resources</t>
        </is>
      </c>
      <c r="AR193" s="9" t="inlineStr">
        <is>
          <t>Do not manufacture three reporting layers. Choose roles the organisation needs. A specialist may remain on an equally valued expert path.</t>
        </is>
      </c>
      <c r="AS193" s="9" t="inlineStr">
        <is>
          <t>—</t>
        </is>
      </c>
      <c r="AT193" s="9" t="inlineStr">
        <is>
          <t>—</t>
        </is>
      </c>
      <c r="AU193" s="19" t="inlineStr">
        <is>
          <t>Framework + sub-family themes · 3+ answered</t>
        </is>
      </c>
      <c r="AV193" s="9" t="inlineStr">
        <is>
          <t>1 holder, 1 answered the survey; sub-family 3 answered</t>
        </is>
      </c>
    </row>
    <row r="194" ht="93" customHeight="1">
      <c r="A194" s="17" t="inlineStr">
        <is>
          <t>RC-170</t>
        </is>
      </c>
      <c r="B194" s="9" t="inlineStr">
        <is>
          <t>Sales &amp; Business Development</t>
        </is>
      </c>
      <c r="C194" s="9" t="inlineStr">
        <is>
          <t>Sales Leadership</t>
        </is>
      </c>
      <c r="D194" s="27" t="inlineStr">
        <is>
          <t>C1</t>
        </is>
      </c>
      <c r="E194" s="28" t="inlineStr">
        <is>
          <t>Principal</t>
        </is>
      </c>
      <c r="F194" s="9" t="inlineStr">
        <is>
          <t>IC</t>
        </is>
      </c>
      <c r="G194" s="9" t="inlineStr">
        <is>
          <t>Principal – Enterprise Sales · Principal – Sales</t>
        </is>
      </c>
      <c r="H194" s="8" t="n">
        <v>3</v>
      </c>
      <c r="I194" s="9" t="inlineStr">
        <is>
          <t>CARBON 1 · iFile 1 · Datatech 1</t>
        </is>
      </c>
      <c r="J194" s="9" t="inlineStr">
        <is>
          <r>
            <rPr>
              <rFont val="Calibri"/>
              <sz val="10"/>
            </rPr>
            <t xml:space="preserve">Leads the sales &amp; business development function. At C1: a sub-function, or principal authority across products.
</t>
          </r>
          <r>
            <rPr>
              <rFont val="Calibri"/>
              <b val="1"/>
              <sz val="10"/>
            </rPr>
            <t>Common themes in sub-family holders, all levels' answers:</t>
          </r>
          <r>
            <rPr>
              <rFont val="Calibri"/>
              <sz val="10"/>
            </rPr>
            <t xml:space="preserve"> client · follow till · negotiations · details sdr · understand · call</t>
          </r>
        </is>
      </c>
      <c r="K194" s="9" t="inlineStr">
        <is>
          <r>
            <rPr>
              <rFont val="Calibri"/>
              <sz val="10"/>
            </rPr>
            <t xml:space="preserve">Leads the sales &amp; business development function; Ambiguous, cross-product problems; Sub-function results or domain quality across products
</t>
          </r>
          <r>
            <rPr>
              <rFont val="Calibri"/>
              <b val="1"/>
              <sz val="10"/>
            </rPr>
            <t>Common themes in sub-family holders, all levels' answers:</t>
          </r>
          <r>
            <rPr>
              <rFont val="Calibri"/>
              <sz val="10"/>
            </rPr>
            <t xml:space="preserve"> building · partner</t>
          </r>
        </is>
      </c>
      <c r="L194" s="9" t="inlineStr">
        <is>
          <r>
            <rPr>
              <rFont val="Calibri"/>
              <sz val="10"/>
            </rPr>
            <t xml:space="preserve">Sub-function results or domain quality across products
</t>
          </r>
          <r>
            <rPr>
              <rFont val="Calibri"/>
              <b val="1"/>
              <sz val="10"/>
            </rPr>
            <t>Common themes in sub-family holders, all levels' answers:</t>
          </r>
          <r>
            <rPr>
              <rFont val="Calibri"/>
              <sz val="10"/>
            </rPr>
            <t xml:space="preserve"> sales</t>
          </r>
        </is>
      </c>
      <c r="M194" s="9" t="inlineStr">
        <is>
          <r>
            <rPr>
              <rFont val="Calibri"/>
              <sz val="10"/>
            </rPr>
            <t xml:space="preserve">Sub-function results or domain quality across products
</t>
          </r>
          <r>
            <rPr>
              <rFont val="Calibri"/>
              <b val="1"/>
              <sz val="10"/>
            </rPr>
            <t>Common themes in sub-family holders, all levels' answers:</t>
          </r>
          <r>
            <rPr>
              <rFont val="Calibri"/>
              <sz val="10"/>
            </rPr>
            <t xml:space="preserve"> revenue · generation · sales</t>
          </r>
        </is>
      </c>
      <c r="N194" s="9" t="inlineStr">
        <is>
          <t>Sets direction for a sub-function or domain</t>
        </is>
      </c>
      <c r="O194" s="9" t="inlineStr">
        <is>
          <t>—</t>
        </is>
      </c>
      <c r="P194" s="9" t="inlineStr">
        <is>
          <t>Sales</t>
        </is>
      </c>
      <c r="Q194" s="9" t="inlineStr">
        <is>
          <t>—</t>
        </is>
      </c>
      <c r="R194" s="9" t="inlineStr">
        <is>
          <t>A sub-function, or principal authority across products</t>
        </is>
      </c>
      <c r="S194" s="9" t="inlineStr">
        <is>
          <t>Ambiguous, cross-product problems</t>
        </is>
      </c>
      <c r="T194" s="9" t="inlineStr">
        <is>
          <t>Sets direction for a sub-function or domain</t>
        </is>
      </c>
      <c r="U194" s="9" t="inlineStr">
        <is>
          <t>Sub-function results or domain quality across products</t>
        </is>
      </c>
      <c r="V194" s="9" t="inlineStr">
        <is>
          <t>Leads managers or a community of practice</t>
        </is>
      </c>
      <c r="W194" s="9" t="inlineStr">
        <is>
          <t>10–14 yrs</t>
        </is>
      </c>
      <c r="X194" s="9" t="inlineStr">
        <is>
          <t>Postgraduate / professional qualification preferred</t>
        </is>
      </c>
      <c r="Y194" s="9" t="inlineStr">
        <is>
          <t>Google / HubSpot certifications</t>
        </is>
      </c>
      <c r="Z194" s="9" t="inlineStr">
        <is>
          <t>5–8, mostly managers</t>
        </is>
      </c>
      <c r="AA194" s="9" t="inlineStr">
        <is>
          <t>Core 4 · Future-ready 4 · Functional 4 · Leadership 4</t>
        </is>
      </c>
      <c r="AB194" s="9" t="inlineStr">
        <is>
          <t>Sales, Negotiation &amp; Account Growth · Marketing Tech &amp; Digital Marketing</t>
        </is>
      </c>
      <c r="AC194" s="9" t="inlineStr">
        <is>
          <t>Stakeholder &amp; Client Management · Communication &amp; Presentation · Product, Platform &amp; Domain Knowledge · Strategic Thinking &amp; Business Acumen</t>
        </is>
      </c>
      <c r="AD194" s="8" t="inlineStr">
        <is>
          <t>P6 / M5</t>
        </is>
      </c>
      <c r="AE194" s="8" t="inlineStr">
        <is>
          <t>5–6</t>
        </is>
      </c>
      <c r="AF194" s="9" t="inlineStr">
        <is>
          <t>IRIS Vs Competitor Benchmark — SaaS sales ladder — IC: Strategic / Principal AE · IRIS Vs Competitor Benchmark — SaaS sales ladder — management: Regional Sales Head</t>
        </is>
      </c>
      <c r="AG194" s="9" t="inlineStr">
        <is>
          <t>SaaS sales ladder · SDR → AE → Enterprise AE → VP / CRO; MEDDICC-style qualification</t>
        </is>
      </c>
      <c r="AH194" s="9" t="inlineStr">
        <is>
          <t>C2 · Senior Principal / Architect</t>
        </is>
      </c>
      <c r="AI194" s="9" t="inlineStr">
        <is>
          <t>—</t>
        </is>
      </c>
      <c r="AJ194" s="9" t="inlineStr">
        <is>
          <t>SupTech Domain</t>
        </is>
      </c>
      <c r="AK194" s="9" t="inlineStr">
        <is>
          <t>On-the-job / hands-on · Mentoring / guidance from seniors · Formal / classroom training</t>
        </is>
      </c>
      <c r="AL194" s="9" t="inlineStr">
        <is>
          <t>No common theme</t>
        </is>
      </c>
      <c r="AM194" s="9" t="inlineStr">
        <is>
          <t>availability</t>
        </is>
      </c>
      <c r="AN194" s="9" t="inlineStr">
        <is>
          <t>3 of 3 say the role is changing because of AI / automation</t>
        </is>
      </c>
      <c r="AO194" s="9" t="inlineStr">
        <is>
          <t>Create and convert commercial opportunities. Includes: Prospecting, account sales, alliances, presales and sales operations. Excludes: Customer adoption unless sales accountability is primary.</t>
        </is>
      </c>
      <c r="AP194" s="9" t="inlineStr">
        <is>
          <t>LD05-2 · Head / VP of Sales</t>
        </is>
      </c>
      <c r="AQ194" s="9" t="inlineStr">
        <is>
          <t>Own integrated function strategy, capacity, controls and cross-team trade-offs</t>
        </is>
      </c>
      <c r="AR194" s="9" t="inlineStr">
        <is>
          <t>Do not manufacture three reporting layers. Choose roles the organisation needs. A specialist may remain on an equally valued expert path.</t>
        </is>
      </c>
      <c r="AS194" s="9" t="inlineStr">
        <is>
          <t>—</t>
        </is>
      </c>
      <c r="AT194" s="9" t="inlineStr">
        <is>
          <t>—</t>
        </is>
      </c>
      <c r="AU194" s="19" t="inlineStr">
        <is>
          <t>Framework + sub-family themes · 3+ answered</t>
        </is>
      </c>
      <c r="AV194" s="9" t="inlineStr">
        <is>
          <t>3 holders, 0 answered the survey; sub-family 3 answered</t>
        </is>
      </c>
    </row>
    <row r="195" ht="93" customHeight="1">
      <c r="A195" s="17" t="inlineStr">
        <is>
          <t>RC-171</t>
        </is>
      </c>
      <c r="B195" s="9" t="inlineStr">
        <is>
          <t>Sales &amp; Business Development</t>
        </is>
      </c>
      <c r="C195" s="9" t="inlineStr">
        <is>
          <t>Sales Leadership</t>
        </is>
      </c>
      <c r="D195" s="27" t="inlineStr">
        <is>
          <t>C2</t>
        </is>
      </c>
      <c r="E195" s="28" t="inlineStr">
        <is>
          <t>Head of Function</t>
        </is>
      </c>
      <c r="F195" s="9" t="inlineStr">
        <is>
          <t>Manager</t>
        </is>
      </c>
      <c r="G195" s="9" t="inlineStr">
        <is>
          <t>Head – Sales</t>
        </is>
      </c>
      <c r="H195" s="8" t="n">
        <v>1</v>
      </c>
      <c r="I195" s="9" t="inlineStr">
        <is>
          <t>iFile 1</t>
        </is>
      </c>
      <c r="J195" s="9" t="inlineStr">
        <is>
          <r>
            <rPr>
              <rFont val="Calibri"/>
              <sz val="10"/>
            </rPr>
            <t xml:space="preserve">Leads the sales &amp; business development function. At C2: a function or department, or a company-wide discipline.
</t>
          </r>
          <r>
            <rPr>
              <rFont val="Calibri"/>
              <b val="1"/>
              <sz val="10"/>
            </rPr>
            <t>Common themes in sub-family holders, all levels' answers:</t>
          </r>
          <r>
            <rPr>
              <rFont val="Calibri"/>
              <sz val="10"/>
            </rPr>
            <t xml:space="preserve"> client · follow till · negotiations · details sdr · understand · call</t>
          </r>
        </is>
      </c>
      <c r="K195" s="9" t="inlineStr">
        <is>
          <r>
            <rPr>
              <rFont val="Calibri"/>
              <sz val="10"/>
            </rPr>
            <t xml:space="preserve">Leads the sales &amp; business development function; Function-wide or company-wide problems; creates methods and standards; Function results, budget and risk
</t>
          </r>
          <r>
            <rPr>
              <rFont val="Calibri"/>
              <b val="1"/>
              <sz val="10"/>
            </rPr>
            <t>Common themes in sub-family holders, all levels' answers:</t>
          </r>
          <r>
            <rPr>
              <rFont val="Calibri"/>
              <sz val="10"/>
            </rPr>
            <t xml:space="preserve"> building · partner</t>
          </r>
        </is>
      </c>
      <c r="L195" s="9" t="inlineStr">
        <is>
          <r>
            <rPr>
              <rFont val="Calibri"/>
              <sz val="10"/>
            </rPr>
            <t xml:space="preserve">Function results, budget and risk
</t>
          </r>
          <r>
            <rPr>
              <rFont val="Calibri"/>
              <b val="1"/>
              <sz val="10"/>
            </rPr>
            <t>Common themes in sub-family holders, all levels' answers:</t>
          </r>
          <r>
            <rPr>
              <rFont val="Calibri"/>
              <sz val="10"/>
            </rPr>
            <t xml:space="preserve"> sales</t>
          </r>
        </is>
      </c>
      <c r="M195" s="9" t="inlineStr">
        <is>
          <r>
            <rPr>
              <rFont val="Calibri"/>
              <sz val="10"/>
            </rPr>
            <t xml:space="preserve">Function results, budget and risk
</t>
          </r>
          <r>
            <rPr>
              <rFont val="Calibri"/>
              <b val="1"/>
              <sz val="10"/>
            </rPr>
            <t>Common themes in sub-family holders, all levels' answers:</t>
          </r>
          <r>
            <rPr>
              <rFont val="Calibri"/>
              <sz val="10"/>
            </rPr>
            <t xml:space="preserve"> revenue · generation · sales</t>
          </r>
        </is>
      </c>
      <c r="N195" s="9" t="inlineStr">
        <is>
          <t>Sets direction for a function</t>
        </is>
      </c>
      <c r="O195" s="9" t="inlineStr">
        <is>
          <t>—</t>
        </is>
      </c>
      <c r="P195" s="9" t="inlineStr">
        <is>
          <t>Sales</t>
        </is>
      </c>
      <c r="Q195" s="9" t="inlineStr">
        <is>
          <t>—</t>
        </is>
      </c>
      <c r="R195" s="9" t="inlineStr">
        <is>
          <t>A function or department, or a company-wide discipline</t>
        </is>
      </c>
      <c r="S195" s="9" t="inlineStr">
        <is>
          <t>Function-wide or company-wide problems; creates methods and standards</t>
        </is>
      </c>
      <c r="T195" s="9" t="inlineStr">
        <is>
          <t>Sets direction for a function</t>
        </is>
      </c>
      <c r="U195" s="9" t="inlineStr">
        <is>
          <t>Function results, budget and risk</t>
        </is>
      </c>
      <c r="V195" s="9" t="inlineStr">
        <is>
          <t>Leads a function; shapes functional strategy</t>
        </is>
      </c>
      <c r="W195" s="9" t="inlineStr">
        <is>
          <t>12–17 yrs</t>
        </is>
      </c>
      <c r="X195" s="9" t="inlineStr">
        <is>
          <t>Postgraduate / professional qualification preferred</t>
        </is>
      </c>
      <c r="Y195" s="9" t="inlineStr">
        <is>
          <t>Google / HubSpot certifications</t>
        </is>
      </c>
      <c r="Z195" s="9" t="inlineStr">
        <is>
          <t>5–8 managers / associate heads</t>
        </is>
      </c>
      <c r="AA195" s="9" t="inlineStr">
        <is>
          <t>Core 4 · Future-ready 4 · Functional 5 · Leadership 4</t>
        </is>
      </c>
      <c r="AB195" s="9" t="inlineStr">
        <is>
          <t>Sales, Negotiation &amp; Account Growth · Marketing Tech &amp; Digital Marketing</t>
        </is>
      </c>
      <c r="AC195" s="9" t="inlineStr">
        <is>
          <t>Stakeholder &amp; Client Management · Communication &amp; Presentation · Product, Platform &amp; Domain Knowledge · Strategic Thinking &amp; Business Acumen</t>
        </is>
      </c>
      <c r="AD195" s="8" t="inlineStr">
        <is>
          <t>P7 / M6</t>
        </is>
      </c>
      <c r="AE195" s="8" t="inlineStr">
        <is>
          <t>6 Initiate, influence</t>
        </is>
      </c>
      <c r="AF195" s="9" t="inlineStr">
        <is>
          <t>IRIS Vs Competitor Benchmark — SaaS sales ladder — management: Director of Sales</t>
        </is>
      </c>
      <c r="AG195" s="9" t="inlineStr">
        <is>
          <t>SaaS sales ladder · SDR → AE → Enterprise AE → VP / CRO; MEDDICC-style qualification</t>
        </is>
      </c>
      <c r="AH195" s="9" t="inlineStr">
        <is>
          <t>D1 · Chief Specialist / Distinguished Principal · or C+ · Player-Coach transition step if leading people hands-on</t>
        </is>
      </c>
      <c r="AI195" s="9" t="inlineStr">
        <is>
          <t>—</t>
        </is>
      </c>
      <c r="AJ195" s="9" t="inlineStr">
        <is>
          <t>—</t>
        </is>
      </c>
      <c r="AK195" s="9" t="inlineStr">
        <is>
          <t>On-the-job / hands-on · Mentoring / guidance from seniors · Formal / classroom training</t>
        </is>
      </c>
      <c r="AL195" s="9" t="inlineStr">
        <is>
          <t>No common theme</t>
        </is>
      </c>
      <c r="AM195" s="9" t="inlineStr">
        <is>
          <t>availability</t>
        </is>
      </c>
      <c r="AN195" s="9" t="inlineStr">
        <is>
          <t>3 of 3 say the role is changing because of AI / automation</t>
        </is>
      </c>
      <c r="AO195" s="9" t="inlineStr">
        <is>
          <t>Create and convert commercial opportunities. Includes: Prospecting, account sales, alliances, presales and sales operations. Excludes: Customer adoption unless sales accountability is primary.</t>
        </is>
      </c>
      <c r="AP195" s="9" t="inlineStr">
        <is>
          <t>LD05-2 · Head / VP of Sales</t>
        </is>
      </c>
      <c r="AQ195" s="9" t="inlineStr">
        <is>
          <t>Own integrated function strategy, capacity, controls and cross-team trade-offs</t>
        </is>
      </c>
      <c r="AR195" s="9" t="inlineStr">
        <is>
          <t>Do not manufacture three reporting layers. Choose roles the organisation needs. A specialist may remain on an equally valued expert path.</t>
        </is>
      </c>
      <c r="AS195" s="9" t="inlineStr">
        <is>
          <t>—</t>
        </is>
      </c>
      <c r="AT195" s="9" t="inlineStr">
        <is>
          <t>—</t>
        </is>
      </c>
      <c r="AU195" s="19" t="inlineStr">
        <is>
          <t>Framework + sub-family themes · 3+ answered</t>
        </is>
      </c>
      <c r="AV195" s="9" t="inlineStr">
        <is>
          <t>1 holder, 0 answered the survey; sub-family 3 answered</t>
        </is>
      </c>
    </row>
    <row r="196">
      <c r="A196" s="94" t="inlineStr">
        <is>
          <t>Solution Consulting &amp; Implementation — 3 roles · 7 people</t>
        </is>
      </c>
    </row>
    <row r="197" ht="145" customHeight="1">
      <c r="A197" s="17" t="inlineStr">
        <is>
          <t>RC-172</t>
        </is>
      </c>
      <c r="B197" s="9" t="inlineStr">
        <is>
          <t>Solution Consulting &amp; Implementation</t>
        </is>
      </c>
      <c r="C197" s="9" t="inlineStr">
        <is>
          <t>Solution Consulting &amp; Implementation</t>
        </is>
      </c>
      <c r="D197" s="18" t="inlineStr">
        <is>
          <t>A3</t>
        </is>
      </c>
      <c r="E197" s="19" t="inlineStr">
        <is>
          <t>Senior Associate</t>
        </is>
      </c>
      <c r="F197" s="9" t="inlineStr">
        <is>
          <t>IC</t>
        </is>
      </c>
      <c r="G197" s="9" t="inlineStr">
        <is>
          <t>Senior Functional Analyst</t>
        </is>
      </c>
      <c r="H197" s="8" t="n">
        <v>1</v>
      </c>
      <c r="I197" s="9" t="inlineStr">
        <is>
          <t>CARBON 1</t>
        </is>
      </c>
      <c r="J197" s="9" t="inlineStr">
        <is>
          <r>
            <rPr>
              <rFont val="Calibri"/>
              <sz val="10"/>
            </rPr>
            <t xml:space="preserve">Implements the product at clients, runs demos and training, advises on ESG / disclosure reporting. At A3: varied work; reviews juniors; go-to for a process.
</t>
          </r>
          <r>
            <rPr>
              <rFont val="Calibri"/>
              <b val="1"/>
              <sz val="10"/>
            </rPr>
            <t>Common themes in sub-family holders, all levels' answers:</t>
          </r>
          <r>
            <rPr>
              <rFont val="Calibri"/>
              <sz val="10"/>
            </rPr>
            <t xml:space="preserve"> product · clients · implementation · requirements · understand · iris</t>
          </r>
        </is>
      </c>
      <c r="K197" s="9" t="inlineStr">
        <is>
          <r>
            <rPr>
              <rFont val="Calibri"/>
              <sz val="10"/>
            </rPr>
            <t xml:space="preserve">Implements the product at clients, runs demos and training, advises on ESG / disclosure reporting; Varied and non-standard work; handles exceptions; A module / process, or work with client or regulatory consequences
</t>
          </r>
          <r>
            <rPr>
              <rFont val="Calibri"/>
              <b val="1"/>
              <sz val="10"/>
            </rPr>
            <t>Common themes in sub-family holders, all levels' answers:</t>
          </r>
          <r>
            <rPr>
              <rFont val="Calibri"/>
              <sz val="10"/>
            </rPr>
            <t xml:space="preserve"> client · implementation · demos · testing · delivery · platform</t>
          </r>
        </is>
      </c>
      <c r="L197" s="9" t="inlineStr">
        <is>
          <r>
            <rPr>
              <rFont val="Calibri"/>
              <sz val="10"/>
            </rPr>
            <t xml:space="preserve">A module / process, or work with client or regulatory consequences
</t>
          </r>
          <r>
            <rPr>
              <rFont val="Calibri"/>
              <b val="1"/>
              <sz val="10"/>
            </rPr>
            <t>Common themes in sub-family holders, all levels' answers:</t>
          </r>
          <r>
            <rPr>
              <rFont val="Calibri"/>
              <sz val="10"/>
            </rPr>
            <t xml:space="preserve"> product · implementation · marketing · esg project · requirements · reports</t>
          </r>
        </is>
      </c>
      <c r="M197" s="9" t="inlineStr">
        <is>
          <r>
            <rPr>
              <rFont val="Calibri"/>
              <sz val="10"/>
            </rPr>
            <t xml:space="preserve">A module / process, or work with client or regulatory consequences
</t>
          </r>
          <r>
            <rPr>
              <rFont val="Calibri"/>
              <b val="1"/>
              <sz val="10"/>
            </rPr>
            <t>Common themes in sub-family holders, all levels' answers:</t>
          </r>
          <r>
            <rPr>
              <rFont val="Calibri"/>
              <sz val="10"/>
            </rPr>
            <t xml:space="preserve"> implementation · product · client · accountable · esg · demos</t>
          </r>
        </is>
      </c>
      <c r="N197" s="9" t="inlineStr">
        <is>
          <r>
            <rPr>
              <rFont val="Calibri"/>
              <sz val="10"/>
            </rPr>
            <t xml:space="preserve">Technical / QC / client calls on own work
</t>
          </r>
          <r>
            <rPr>
              <rFont val="Calibri"/>
              <b val="1"/>
              <sz val="10"/>
            </rPr>
            <t>Common themes in sub-family holders, all levels' answers:</t>
          </r>
          <r>
            <rPr>
              <rFont val="Calibri"/>
              <sz val="10"/>
            </rPr>
            <t xml:space="preserve"> project · activities · features · setup</t>
          </r>
        </is>
      </c>
      <c r="O197" s="9" t="inlineStr">
        <is>
          <t>—</t>
        </is>
      </c>
      <c r="P197" s="9" t="inlineStr">
        <is>
          <t>CE · ESG frameworks · ESG</t>
        </is>
      </c>
      <c r="Q197" s="9" t="inlineStr">
        <is>
          <t>Adobe InDesign · Outlook · Teams · Claude</t>
        </is>
      </c>
      <c r="R197" s="9" t="inlineStr">
        <is>
          <t>Varied work; reviews juniors; go-to for a process</t>
        </is>
      </c>
      <c r="S197" s="9" t="inlineStr">
        <is>
          <t>Varied and non-standard work; handles exceptions</t>
        </is>
      </c>
      <c r="T197" s="9" t="inlineStr">
        <is>
          <t>Technical / QC / client calls on own work</t>
        </is>
      </c>
      <c r="U197" s="9" t="inlineStr">
        <is>
          <t>A module / process, or work with client or regulatory consequences</t>
        </is>
      </c>
      <c r="V197" s="9" t="inlineStr">
        <is>
          <t>Not scored in Band A</t>
        </is>
      </c>
      <c r="W197" s="9" t="inlineStr">
        <is>
          <t>2–4 yrs</t>
        </is>
      </c>
      <c r="X197" s="9" t="inlineStr">
        <is>
          <t>Graduate; relevant certification preferred</t>
        </is>
      </c>
      <c r="Y197" s="9" t="inlineStr">
        <is>
          <t>Internal product certification; GRI / SASB / ESG certificates</t>
        </is>
      </c>
      <c r="Z197" s="9" t="inlineStr">
        <is>
          <t>None · guides 1–3 juniors informally</t>
        </is>
      </c>
      <c r="AA197" s="9" t="inlineStr">
        <is>
          <t>Core 2 · Future-ready 2 · Functional 3 · Leadership —</t>
        </is>
      </c>
      <c r="AB197" s="9" t="inlineStr">
        <is>
          <t>Product, Platform &amp; Domain Knowledge · ESG &amp; Sustainability</t>
        </is>
      </c>
      <c r="AC197" s="9" t="inlineStr">
        <is>
          <t>Stakeholder &amp; Client Management · Communication &amp; Presentation · Business Analysis &amp; Requirements Engineering · Project, Program &amp; Agile Management</t>
        </is>
      </c>
      <c r="AD197" s="8" t="inlineStr">
        <is>
          <t>P2</t>
        </is>
      </c>
      <c r="AE197" s="8" t="inlineStr">
        <is>
          <t>3 Apply</t>
        </is>
      </c>
      <c r="AF197" s="9" t="inlineStr">
        <is>
          <r>
            <rPr>
              <rFont val="Calibri"/>
              <b val="1"/>
              <sz val="10"/>
            </rPr>
            <t>Big Four:</t>
          </r>
          <r>
            <rPr>
              <rFont val="Calibri"/>
              <sz val="10"/>
            </rPr>
            <t xml:space="preserve"> Consultant · Regnology: Junior BA</t>
          </r>
        </is>
      </c>
      <c r="AG197" s="9" t="inlineStr">
        <is>
          <t>TSIA professional services; PMI; BABOK</t>
        </is>
      </c>
      <c r="AH197" s="9" t="inlineStr">
        <is>
          <t>B1 · Specialist</t>
        </is>
      </c>
      <c r="AI197" s="9" t="inlineStr">
        <is>
          <t>—</t>
        </is>
      </c>
      <c r="AJ197" s="9" t="inlineStr">
        <is>
          <t>Customer success methods; communication &amp; de-escalation; product/domain depth; ticketing &amp; SLA tools | Transition to leadership: people management &amp; delegation, mentoring/coaching, project ownership &amp; stakeholder management, prioritisation under ambiguity, presentation &amp; influence skills</t>
        </is>
      </c>
      <c r="AK197" s="9" t="inlineStr">
        <is>
          <t>Mentoring / guidance from seniors · On-the-job / hands-on</t>
        </is>
      </c>
      <c r="AL197" s="9" t="inlineStr">
        <is>
          <t>assigned</t>
        </is>
      </c>
      <c r="AM197" s="9" t="inlineStr">
        <is>
          <t>better · structure · responsibilities</t>
        </is>
      </c>
      <c r="AN197" s="9" t="inlineStr">
        <is>
          <t>1 of 6 say the role is changing because of AI / automation</t>
        </is>
      </c>
      <c r="AO197" s="9" t="inlineStr">
        <is>
          <t>Put client solutions into working use. Includes: Configuration, integration, migration and client acceptance. Excludes: Ongoing support cases; product-engineering platform ownership.</t>
        </is>
      </c>
      <c r="AP197" s="9" t="inlineStr">
        <is>
          <t>SOL01-2 · Implementation Consultant</t>
        </is>
      </c>
      <c r="AQ197" s="9" t="inlineStr">
        <is>
          <t>Configure agreed workflows and obtain client acceptance.</t>
        </is>
      </c>
      <c r="AR197" s="9" t="inlineStr">
        <is>
          <t>Demonstrate routine delivery plus judgement in bounded exceptions.</t>
        </is>
      </c>
      <c r="AS197" s="9" t="inlineStr">
        <is>
          <t>A scoped implementation with requirements traceability, UAT and go-live acceptance</t>
        </is>
      </c>
      <c r="AT197" s="9" t="inlineStr">
        <is>
          <r>
            <rPr>
              <rFont val="Calibri"/>
              <b val="1"/>
              <sz val="10"/>
            </rPr>
            <t>Regnology:</t>
          </r>
          <r>
            <rPr>
              <rFont val="Calibri"/>
              <sz val="10"/>
            </rPr>
            <t xml:space="preserve"> Senior risk consultant · Selected role. Gap: Functional implementation is observed; risk-product specialisation limits transfer</t>
          </r>
        </is>
      </c>
      <c r="AU197" s="19" t="inlineStr">
        <is>
          <t>Framework + sub-family themes · 3+ answered</t>
        </is>
      </c>
      <c r="AV197" s="9" t="inlineStr">
        <is>
          <t>1 holder, 1 answered the survey; sub-family 7 answered</t>
        </is>
      </c>
    </row>
    <row r="198" ht="93" customHeight="1">
      <c r="A198" s="17" t="inlineStr">
        <is>
          <t>RC-173</t>
        </is>
      </c>
      <c r="B198" s="9" t="inlineStr">
        <is>
          <t>Solution Consulting &amp; Implementation</t>
        </is>
      </c>
      <c r="C198" s="9" t="inlineStr">
        <is>
          <t>Solution Consulting &amp; Implementation</t>
        </is>
      </c>
      <c r="D198" s="21" t="inlineStr">
        <is>
          <t>B1</t>
        </is>
      </c>
      <c r="E198" s="22" t="inlineStr">
        <is>
          <t>Specialist</t>
        </is>
      </c>
      <c r="F198" s="9" t="inlineStr">
        <is>
          <t>IC</t>
        </is>
      </c>
      <c r="G198" s="9" t="inlineStr">
        <is>
          <t>Functional Specialist · Functional Specialist – POD Lead</t>
        </is>
      </c>
      <c r="H198" s="8" t="n">
        <v>5</v>
      </c>
      <c r="I198" s="9" t="inlineStr">
        <is>
          <t>CARBON 5</t>
        </is>
      </c>
      <c r="J198" s="9" t="inlineStr">
        <is>
          <r>
            <rPr>
              <rFont val="Calibri"/>
              <sz val="10"/>
            </rPr>
            <t xml:space="preserve">Implements the product at clients, runs demos and training, advises on ESG / disclosure reporting. At B1: a domain / module, or a small team.
</t>
          </r>
          <r>
            <rPr>
              <rFont val="Calibri"/>
              <b val="1"/>
              <sz val="10"/>
            </rPr>
            <t>Common themes in role-holders' answers:</t>
          </r>
          <r>
            <rPr>
              <rFont val="Calibri"/>
              <sz val="10"/>
            </rPr>
            <t xml:space="preserve"> iris · product · clients · platform · carbon · dm</t>
          </r>
        </is>
      </c>
      <c r="K198" s="9" t="inlineStr">
        <is>
          <r>
            <rPr>
              <rFont val="Calibri"/>
              <sz val="10"/>
            </rPr>
            <t xml:space="preserve">Implements the product at clients, runs demos and training, advises on ESG / disclosure reporting; Domain specialist work; A domain or a small team
</t>
          </r>
          <r>
            <rPr>
              <rFont val="Calibri"/>
              <b val="1"/>
              <sz val="10"/>
            </rPr>
            <t>Common themes in role-holders' answers:</t>
          </r>
          <r>
            <rPr>
              <rFont val="Calibri"/>
              <sz val="10"/>
            </rPr>
            <t xml:space="preserve"> delivery · demos · implementation · testing · client</t>
          </r>
        </is>
      </c>
      <c r="L198" s="9" t="inlineStr">
        <is>
          <r>
            <rPr>
              <rFont val="Calibri"/>
              <sz val="10"/>
            </rPr>
            <t xml:space="preserve">A domain or a small team
</t>
          </r>
          <r>
            <rPr>
              <rFont val="Calibri"/>
              <b val="1"/>
              <sz val="10"/>
            </rPr>
            <t>Common themes in role-holders' answers:</t>
          </r>
          <r>
            <rPr>
              <rFont val="Calibri"/>
              <sz val="10"/>
            </rPr>
            <t xml:space="preserve"> implementation · marketing · product</t>
          </r>
        </is>
      </c>
      <c r="M198" s="9" t="inlineStr">
        <is>
          <r>
            <rPr>
              <rFont val="Calibri"/>
              <sz val="10"/>
            </rPr>
            <t xml:space="preserve">A domain or a small team
</t>
          </r>
          <r>
            <rPr>
              <rFont val="Calibri"/>
              <b val="1"/>
              <sz val="10"/>
            </rPr>
            <t>Common themes in role-holders' answers:</t>
          </r>
          <r>
            <rPr>
              <rFont val="Calibri"/>
              <sz val="10"/>
            </rPr>
            <t xml:space="preserve"> client · accountable · demos · implementation · training</t>
          </r>
        </is>
      </c>
      <c r="N198" s="9" t="inlineStr">
        <is>
          <r>
            <rPr>
              <rFont val="Calibri"/>
              <sz val="10"/>
            </rPr>
            <t xml:space="preserve">Technical / QC / client calls for the domain
</t>
          </r>
          <r>
            <rPr>
              <rFont val="Calibri"/>
              <b val="1"/>
              <sz val="10"/>
            </rPr>
            <t>Common themes in role-holders' answers:</t>
          </r>
          <r>
            <rPr>
              <rFont val="Calibri"/>
              <sz val="10"/>
            </rPr>
            <t xml:space="preserve"> project · activities · features</t>
          </r>
        </is>
      </c>
      <c r="O198" s="9" t="inlineStr">
        <is>
          <t>—</t>
        </is>
      </c>
      <c r="P198" s="9" t="inlineStr">
        <is>
          <t>CE</t>
        </is>
      </c>
      <c r="Q198" s="9" t="inlineStr">
        <is>
          <t>Adobe InDesign · Claude</t>
        </is>
      </c>
      <c r="R198" s="9" t="inlineStr">
        <is>
          <t>A domain / module, or a small team</t>
        </is>
      </c>
      <c r="S198" s="9" t="inlineStr">
        <is>
          <t>Domain specialist work</t>
        </is>
      </c>
      <c r="T198" s="9" t="inlineStr">
        <is>
          <t>Technical / QC / client calls for the domain</t>
        </is>
      </c>
      <c r="U198" s="9" t="inlineStr">
        <is>
          <t>A domain or a small team</t>
        </is>
      </c>
      <c r="V198" s="9" t="inlineStr">
        <is>
          <r>
            <rPr>
              <rFont val="Calibri"/>
              <b val="1"/>
              <sz val="10"/>
            </rPr>
            <t>IC:</t>
          </r>
          <r>
            <rPr>
              <rFont val="Calibri"/>
              <sz val="10"/>
            </rPr>
            <t xml:space="preserve"> mentors and reviews · People: hands-on team lead of 3–5</t>
          </r>
        </is>
      </c>
      <c r="W198" s="9" t="inlineStr">
        <is>
          <t>4–7 yrs</t>
        </is>
      </c>
      <c r="X198" s="9" t="inlineStr">
        <is>
          <t>Graduate + relevant qualification or certification preferred</t>
        </is>
      </c>
      <c r="Y198" s="9" t="inlineStr">
        <is>
          <t>Internal product certification; GRI / SASB / ESG certificates</t>
        </is>
      </c>
      <c r="Z198" s="9" t="inlineStr">
        <is>
          <r>
            <rPr>
              <rFont val="Calibri"/>
              <b val="1"/>
              <sz val="10"/>
            </rPr>
            <t>IC:</t>
          </r>
          <r>
            <rPr>
              <rFont val="Calibri"/>
              <sz val="10"/>
            </rPr>
            <t xml:space="preserve"> none · Team Lead: 3–5</t>
          </r>
        </is>
      </c>
      <c r="AA198" s="9" t="inlineStr">
        <is>
          <t>Core 3 · Future-ready 3 · Functional 3 · Leadership 1</t>
        </is>
      </c>
      <c r="AB198" s="9" t="inlineStr">
        <is>
          <t>Product, Platform &amp; Domain Knowledge · ESG &amp; Sustainability</t>
        </is>
      </c>
      <c r="AC198" s="9" t="inlineStr">
        <is>
          <t>Stakeholder &amp; Client Management · Communication &amp; Presentation · Business Analysis &amp; Requirements Engineering · Project, Program &amp; Agile Management</t>
        </is>
      </c>
      <c r="AD198" s="8" t="inlineStr">
        <is>
          <t>P3 / M2</t>
        </is>
      </c>
      <c r="AE198" s="8" t="inlineStr">
        <is>
          <t>4 Enable</t>
        </is>
      </c>
      <c r="AF198" s="9" t="inlineStr">
        <is>
          <r>
            <rPr>
              <rFont val="Calibri"/>
              <b val="1"/>
              <sz val="10"/>
            </rPr>
            <t>Big Four:</t>
          </r>
          <r>
            <rPr>
              <rFont val="Calibri"/>
              <sz val="10"/>
            </rPr>
            <t xml:space="preserve"> Senior Consultant · Regnology: BA · Reg Reporting</t>
          </r>
        </is>
      </c>
      <c r="AG198" s="9" t="inlineStr">
        <is>
          <t>TSIA professional services; PMI; BABOK</t>
        </is>
      </c>
      <c r="AH198" s="9" t="inlineStr">
        <is>
          <t>B2 · Senior Specialist</t>
        </is>
      </c>
      <c r="AI198" s="9" t="inlineStr">
        <is>
          <t>Domain, regulatory &amp; XBRL · Client, sales &amp; stakeholders · Technical depth &amp; architecture · Marketing &amp; content · Product &amp; tool knowledge</t>
        </is>
      </c>
      <c r="AJ198" s="9" t="inlineStr">
        <is>
          <t>presentation influence · de-escalation · ownership · success · stakeholder management</t>
        </is>
      </c>
      <c r="AK198" s="9" t="inlineStr">
        <is>
          <t>Mentoring / guidance from seniors · On-the-job / hands-on</t>
        </is>
      </c>
      <c r="AL198" s="9" t="inlineStr">
        <is>
          <t>No common theme</t>
        </is>
      </c>
      <c r="AM198" s="9" t="inlineStr">
        <is>
          <t>better · structure · responsibilities</t>
        </is>
      </c>
      <c r="AN198" s="9" t="inlineStr">
        <is>
          <t>0 of 5 say the role is changing because of AI / automation</t>
        </is>
      </c>
      <c r="AO198" s="9" t="inlineStr">
        <is>
          <t>Put client solutions into working use. Includes: Configuration, integration, migration and client acceptance. Excludes: Ongoing support cases; product-engineering platform ownership.</t>
        </is>
      </c>
      <c r="AP198" s="9" t="inlineStr">
        <is>
          <t>SOL01-3 · Senior Implementation Consultant</t>
        </is>
      </c>
      <c r="AQ198" s="9" t="inlineStr">
        <is>
          <t>Lead complex discovery, configuration trade-offs and go-live readiness.</t>
        </is>
      </c>
      <c r="AR198" s="9" t="inlineStr">
        <is>
          <t>Evidence of complex work, decisions and outcomes beyond routine delivery.</t>
        </is>
      </c>
      <c r="AS198" s="9" t="inlineStr">
        <is>
          <t>A scoped implementation with requirements traceability, UAT and go-live acceptance</t>
        </is>
      </c>
      <c r="AT198" s="9" t="inlineStr">
        <is>
          <r>
            <rPr>
              <rFont val="Calibri"/>
              <b val="1"/>
              <sz val="10"/>
            </rPr>
            <t>Regnology:</t>
          </r>
          <r>
            <rPr>
              <rFont val="Calibri"/>
              <sz val="10"/>
            </rPr>
            <t xml:space="preserve"> Senior risk consultant · Selected role. Gap: Functional implementation is observed; risk-product specialisation limits transfer</t>
          </r>
        </is>
      </c>
      <c r="AU198" s="22" t="inlineStr">
        <is>
          <t>Framework + role-holders' themes · 3+ answered</t>
        </is>
      </c>
      <c r="AV198" s="9" t="inlineStr">
        <is>
          <t>5 holders, 5 answered the survey; sub-family 7 answered</t>
        </is>
      </c>
    </row>
    <row r="199" ht="106" customHeight="1">
      <c r="A199" s="17" t="inlineStr">
        <is>
          <t>RC-174</t>
        </is>
      </c>
      <c r="B199" s="9" t="inlineStr">
        <is>
          <t>Solution Consulting &amp; Implementation</t>
        </is>
      </c>
      <c r="C199" s="9" t="inlineStr">
        <is>
          <t>Solution Consulting &amp; Implementation</t>
        </is>
      </c>
      <c r="D199" s="21" t="inlineStr">
        <is>
          <t>B2</t>
        </is>
      </c>
      <c r="E199" s="22" t="inlineStr">
        <is>
          <t>Senior Specialist</t>
        </is>
      </c>
      <c r="F199" s="9" t="inlineStr">
        <is>
          <t>IC</t>
        </is>
      </c>
      <c r="G199" s="9" t="inlineStr">
        <is>
          <t>Senior Functional Specialist</t>
        </is>
      </c>
      <c r="H199" s="8" t="n">
        <v>1</v>
      </c>
      <c r="I199" s="9" t="inlineStr">
        <is>
          <t>CARBON 1</t>
        </is>
      </c>
      <c r="J199" s="9" t="inlineStr">
        <is>
          <r>
            <rPr>
              <rFont val="Calibri"/>
              <sz val="10"/>
            </rPr>
            <t xml:space="preserve">Implements the product at clients, runs demos and training, advises on ESG / disclosure reporting. At B2: deep domain expertise, or one team.
</t>
          </r>
          <r>
            <rPr>
              <rFont val="Calibri"/>
              <b val="1"/>
              <sz val="10"/>
            </rPr>
            <t>Common themes in sub-family holders, all levels' answers:</t>
          </r>
          <r>
            <rPr>
              <rFont val="Calibri"/>
              <sz val="10"/>
            </rPr>
            <t xml:space="preserve"> product · clients · implementation · requirements · understand · iris</t>
          </r>
        </is>
      </c>
      <c r="K199" s="9" t="inlineStr">
        <is>
          <r>
            <rPr>
              <rFont val="Calibri"/>
              <sz val="10"/>
            </rPr>
            <t xml:space="preserve">Implements the product at clients, runs demos and training, advises on ESG / disclosure reporting; Hardest problems in the domain; One team or a client portfolio
</t>
          </r>
          <r>
            <rPr>
              <rFont val="Calibri"/>
              <b val="1"/>
              <sz val="10"/>
            </rPr>
            <t>Common themes in sub-family holders, all levels' answers:</t>
          </r>
          <r>
            <rPr>
              <rFont val="Calibri"/>
              <sz val="10"/>
            </rPr>
            <t xml:space="preserve"> client · implementation · demos · testing · delivery · platform</t>
          </r>
        </is>
      </c>
      <c r="L199" s="9" t="inlineStr">
        <is>
          <r>
            <rPr>
              <rFont val="Calibri"/>
              <sz val="10"/>
            </rPr>
            <t xml:space="preserve">One team or a client portfolio
</t>
          </r>
          <r>
            <rPr>
              <rFont val="Calibri"/>
              <b val="1"/>
              <sz val="10"/>
            </rPr>
            <t>Common themes in sub-family holders, all levels' answers:</t>
          </r>
          <r>
            <rPr>
              <rFont val="Calibri"/>
              <sz val="10"/>
            </rPr>
            <t xml:space="preserve"> product · implementation · marketing · esg project · requirements · reports</t>
          </r>
        </is>
      </c>
      <c r="M199" s="9" t="inlineStr">
        <is>
          <r>
            <rPr>
              <rFont val="Calibri"/>
              <sz val="10"/>
            </rPr>
            <t xml:space="preserve">One team or a client portfolio
</t>
          </r>
          <r>
            <rPr>
              <rFont val="Calibri"/>
              <b val="1"/>
              <sz val="10"/>
            </rPr>
            <t>Common themes in sub-family holders, all levels' answers:</t>
          </r>
          <r>
            <rPr>
              <rFont val="Calibri"/>
              <sz val="10"/>
            </rPr>
            <t xml:space="preserve"> implementation · product · client · accountable · esg · demos</t>
          </r>
        </is>
      </c>
      <c r="N199" s="9" t="inlineStr">
        <is>
          <r>
            <rPr>
              <rFont val="Calibri"/>
              <sz val="10"/>
            </rPr>
            <t xml:space="preserve">Allocates people and sets team priorities
</t>
          </r>
          <r>
            <rPr>
              <rFont val="Calibri"/>
              <b val="1"/>
              <sz val="10"/>
            </rPr>
            <t>Common themes in sub-family holders, all levels' answers:</t>
          </r>
          <r>
            <rPr>
              <rFont val="Calibri"/>
              <sz val="10"/>
            </rPr>
            <t xml:space="preserve"> project · activities · features · setup</t>
          </r>
        </is>
      </c>
      <c r="O199" s="9" t="inlineStr">
        <is>
          <t>—</t>
        </is>
      </c>
      <c r="P199" s="9" t="inlineStr">
        <is>
          <t>CE · ESG frameworks · ESG</t>
        </is>
      </c>
      <c r="Q199" s="9" t="inlineStr">
        <is>
          <t>Adobe InDesign · Outlook · Teams · Claude</t>
        </is>
      </c>
      <c r="R199" s="9" t="inlineStr">
        <is>
          <t>Deep domain expertise, or one team</t>
        </is>
      </c>
      <c r="S199" s="9" t="inlineStr">
        <is>
          <t>Hardest problems in the domain</t>
        </is>
      </c>
      <c r="T199" s="9" t="inlineStr">
        <is>
          <t>Allocates people and sets team priorities</t>
        </is>
      </c>
      <c r="U199" s="9" t="inlineStr">
        <is>
          <t>One team or a client portfolio</t>
        </is>
      </c>
      <c r="V199" s="9" t="inlineStr">
        <is>
          <r>
            <rPr>
              <rFont val="Calibri"/>
              <b val="1"/>
              <sz val="10"/>
            </rPr>
            <t>IC:</t>
          </r>
          <r>
            <rPr>
              <rFont val="Calibri"/>
              <sz val="10"/>
            </rPr>
            <t xml:space="preserve"> guides others in the domain · People: manages a team of 6+</t>
          </r>
        </is>
      </c>
      <c r="W199" s="9" t="inlineStr">
        <is>
          <t>6–9 yrs</t>
        </is>
      </c>
      <c r="X199" s="9" t="inlineStr">
        <is>
          <t>Graduate or postgraduate; professional qualification preferred</t>
        </is>
      </c>
      <c r="Y199" s="9" t="inlineStr">
        <is>
          <t>Internal product certification; GRI / SASB / ESG certificates</t>
        </is>
      </c>
      <c r="Z199" s="9" t="inlineStr">
        <is>
          <r>
            <rPr>
              <rFont val="Calibri"/>
              <b val="1"/>
              <sz val="10"/>
            </rPr>
            <t>IC:</t>
          </r>
          <r>
            <rPr>
              <rFont val="Calibri"/>
              <sz val="10"/>
            </rPr>
            <t xml:space="preserve"> none · People: 6–8 knowledge work, 8–12 standardised delivery</t>
          </r>
        </is>
      </c>
      <c r="AA199" s="9" t="inlineStr">
        <is>
          <t>Core 3 · Future-ready 3 · Functional 4 · Leadership 2</t>
        </is>
      </c>
      <c r="AB199" s="9" t="inlineStr">
        <is>
          <t>Product, Platform &amp; Domain Knowledge · ESG &amp; Sustainability</t>
        </is>
      </c>
      <c r="AC199" s="9" t="inlineStr">
        <is>
          <t>Stakeholder &amp; Client Management · Communication &amp; Presentation · Business Analysis &amp; Requirements Engineering · Project, Program &amp; Agile Management</t>
        </is>
      </c>
      <c r="AD199" s="8" t="inlineStr">
        <is>
          <t>P4 / M3</t>
        </is>
      </c>
      <c r="AE199" s="8" t="inlineStr">
        <is>
          <t>4–5</t>
        </is>
      </c>
      <c r="AF199" s="9" t="inlineStr">
        <is>
          <r>
            <rPr>
              <rFont val="Calibri"/>
              <b val="1"/>
              <sz val="10"/>
            </rPr>
            <t>Big Four:</t>
          </r>
          <r>
            <rPr>
              <rFont val="Calibri"/>
              <sz val="10"/>
            </rPr>
            <t xml:space="preserve"> Manager · Regnology: Senior BA</t>
          </r>
        </is>
      </c>
      <c r="AG199" s="9" t="inlineStr">
        <is>
          <t>TSIA professional services; PMI; BABOK</t>
        </is>
      </c>
      <c r="AH199" s="9" t="inlineStr">
        <is>
          <t>B3 · Lead Specialist</t>
        </is>
      </c>
      <c r="AI199" s="9" t="inlineStr">
        <is>
          <t>Client, sales &amp; stakeholders</t>
        </is>
      </c>
      <c r="AJ199" s="9" t="inlineStr">
        <is>
          <t>-Leadership, Agile</t>
        </is>
      </c>
      <c r="AK199" s="9" t="inlineStr">
        <is>
          <t>Mentoring / guidance from seniors · On-the-job / hands-on</t>
        </is>
      </c>
      <c r="AL199" s="9" t="inlineStr">
        <is>
          <t>assigned</t>
        </is>
      </c>
      <c r="AM199" s="9" t="inlineStr">
        <is>
          <t>better · structure · responsibilities</t>
        </is>
      </c>
      <c r="AN199" s="9" t="inlineStr">
        <is>
          <t>1 of 6 say the role is changing because of AI / automation</t>
        </is>
      </c>
      <c r="AO199" s="9" t="inlineStr">
        <is>
          <t>Put client solutions into working use. Includes: Configuration, integration, migration and client acceptance. Excludes: Ongoing support cases; product-engineering platform ownership.</t>
        </is>
      </c>
      <c r="AP199" s="9" t="inlineStr">
        <is>
          <t>SOL01-3 · Senior Implementation Consultant</t>
        </is>
      </c>
      <c r="AQ199" s="9" t="inlineStr">
        <is>
          <t>Lead complex discovery, configuration trade-offs and go-live readiness.</t>
        </is>
      </c>
      <c r="AR199" s="9" t="inlineStr">
        <is>
          <t>Evidence of complex work, decisions and outcomes beyond routine delivery.</t>
        </is>
      </c>
      <c r="AS199" s="9" t="inlineStr">
        <is>
          <t>A scoped implementation with requirements traceability, UAT and go-live acceptance</t>
        </is>
      </c>
      <c r="AT199" s="9" t="inlineStr">
        <is>
          <r>
            <rPr>
              <rFont val="Calibri"/>
              <b val="1"/>
              <sz val="10"/>
            </rPr>
            <t>Regnology:</t>
          </r>
          <r>
            <rPr>
              <rFont val="Calibri"/>
              <sz val="10"/>
            </rPr>
            <t xml:space="preserve"> Senior risk consultant · Selected role. Gap: Functional implementation is observed; risk-product specialisation limits transfer</t>
          </r>
        </is>
      </c>
      <c r="AU199" s="19" t="inlineStr">
        <is>
          <t>Framework + sub-family themes · 3+ answered</t>
        </is>
      </c>
      <c r="AV199" s="9" t="inlineStr">
        <is>
          <t>1 holder, 1 answered the survey; sub-family 7 answered</t>
        </is>
      </c>
    </row>
    <row r="200">
      <c r="A200" s="94" t="inlineStr">
        <is>
          <t>Unassigned — 1 roles · 2 people</t>
        </is>
      </c>
    </row>
    <row r="201" ht="41" customHeight="1">
      <c r="A201" s="17" t="inlineStr">
        <is>
          <t>RC-175</t>
        </is>
      </c>
      <c r="B201" s="9" t="inlineStr">
        <is>
          <t>Unassigned</t>
        </is>
      </c>
      <c r="C201" s="9" t="inlineStr">
        <is>
          <t>Role not recorded · external consultant</t>
        </is>
      </c>
      <c r="D201" s="39" t="inlineStr">
        <is>
          <t>X1</t>
        </is>
      </c>
      <c r="E201" s="40" t="inlineStr">
        <is>
          <t>Associate Consultant</t>
        </is>
      </c>
      <c r="F201" s="9" t="inlineStr">
        <is>
          <t>IC</t>
        </is>
      </c>
      <c r="G201" s="9" t="inlineStr">
        <is>
          <t>Associate Consultant – Software Development</t>
        </is>
      </c>
      <c r="H201" s="8" t="n">
        <v>2</v>
      </c>
      <c r="I201" s="9" t="inlineStr">
        <is>
          <t>Datatech 2</t>
        </is>
      </c>
      <c r="J201" s="9" t="inlineStr">
        <is>
          <t>No department or role data. At X1: defined deliverables under a statement of work · ≈ A2–A3.</t>
        </is>
      </c>
      <c r="K201" s="9" t="inlineStr">
        <is>
          <t>No department or role data</t>
        </is>
      </c>
      <c r="L201" s="9" t="inlineStr">
        <is>
          <t>No department or role data.</t>
        </is>
      </c>
      <c r="M201" s="9" t="inlineStr">
        <is>
          <t>Deliverables under the statement of work</t>
        </is>
      </c>
      <c r="N201" s="9" t="inlineStr">
        <is>
          <t>Within the statement of work</t>
        </is>
      </c>
      <c r="O201" s="9" t="inlineStr">
        <is>
          <t>—</t>
        </is>
      </c>
      <c r="P201" s="9" t="inlineStr">
        <is>
          <t>—</t>
        </is>
      </c>
      <c r="Q201" s="9" t="inlineStr">
        <is>
          <t>—</t>
        </is>
      </c>
      <c r="R201" s="9" t="inlineStr">
        <is>
          <t>Defined deliverables under a statement of work · ≈ A2–A3</t>
        </is>
      </c>
      <c r="S201" s="9" t="inlineStr">
        <is>
          <t>—</t>
        </is>
      </c>
      <c r="T201" s="9" t="inlineStr">
        <is>
          <t>—</t>
        </is>
      </c>
      <c r="U201" s="9" t="inlineStr">
        <is>
          <t>—</t>
        </is>
      </c>
      <c r="V201" s="9" t="inlineStr">
        <is>
          <t>—</t>
        </is>
      </c>
      <c r="W201" s="9" t="inlineStr">
        <is>
          <t>0–5 yrs</t>
        </is>
      </c>
      <c r="X201" s="9" t="inlineStr">
        <is>
          <t>As for equivalent role</t>
        </is>
      </c>
      <c r="Y201" s="9" t="inlineStr">
        <is>
          <t>—</t>
        </is>
      </c>
      <c r="Z201" s="9" t="inlineStr">
        <is>
          <t>Not counted in spans</t>
        </is>
      </c>
      <c r="AA201" s="9" t="inlineStr">
        <is>
          <t>Per statement of work</t>
        </is>
      </c>
      <c r="AB201" s="9" t="inlineStr">
        <is>
          <t>—</t>
        </is>
      </c>
      <c r="AC201" s="9" t="inlineStr">
        <is>
          <t>—</t>
        </is>
      </c>
      <c r="AD201" s="8" t="inlineStr">
        <is>
          <t>Contractor</t>
        </is>
      </c>
      <c r="AE201" s="8" t="inlineStr">
        <is>
          <t>—</t>
        </is>
      </c>
      <c r="AF201" s="9" t="inlineStr">
        <is>
          <t>—</t>
        </is>
      </c>
      <c r="AG201" s="9" t="inlineStr">
        <is>
          <t>—</t>
        </is>
      </c>
      <c r="AH201" s="9" t="inlineStr">
        <is>
          <t>—</t>
        </is>
      </c>
      <c r="AI201" s="9" t="inlineStr">
        <is>
          <t>—</t>
        </is>
      </c>
      <c r="AJ201" s="9" t="inlineStr">
        <is>
          <t>—</t>
        </is>
      </c>
      <c r="AK201" s="9" t="inlineStr">
        <is>
          <t>—</t>
        </is>
      </c>
      <c r="AL201" s="9" t="inlineStr">
        <is>
          <t>—</t>
        </is>
      </c>
      <c r="AM201" s="9" t="inlineStr">
        <is>
          <t>—</t>
        </is>
      </c>
      <c r="AN201" s="9" t="inlineStr">
        <is>
          <t>—</t>
        </is>
      </c>
      <c r="AO201" s="9" t="inlineStr">
        <is>
          <t>—</t>
        </is>
      </c>
      <c r="AP201" s="9" t="inlineStr">
        <is>
          <t>—</t>
        </is>
      </c>
      <c r="AQ201" s="9" t="inlineStr">
        <is>
          <t>—</t>
        </is>
      </c>
      <c r="AR201" s="9" t="inlineStr">
        <is>
          <t>—</t>
        </is>
      </c>
      <c r="AS201" s="9" t="inlineStr">
        <is>
          <t>—</t>
        </is>
      </c>
      <c r="AT201" s="9" t="inlineStr">
        <is>
          <t>—</t>
        </is>
      </c>
      <c r="AU201" s="57" t="inlineStr">
        <is>
          <t>Framework only · fewer than 3 answered</t>
        </is>
      </c>
      <c r="AV201" s="9" t="inlineStr">
        <is>
          <t>2 holders, 0 answered the survey; sub-family 0 answered</t>
        </is>
      </c>
    </row>
  </sheetData>
  <autoFilter ref="A6:AV201"/>
  <mergeCells count="31">
    <mergeCell ref="AA5:AC5"/>
    <mergeCell ref="A1:AV1"/>
    <mergeCell ref="J5:Q5"/>
    <mergeCell ref="A124:AV124"/>
    <mergeCell ref="AU5:AV5"/>
    <mergeCell ref="AD5:AH5"/>
    <mergeCell ref="A7:AV7"/>
    <mergeCell ref="A196:AV196"/>
    <mergeCell ref="A172:AV172"/>
    <mergeCell ref="AO5:AT5"/>
    <mergeCell ref="A5:I5"/>
    <mergeCell ref="A56:AV56"/>
    <mergeCell ref="A3:AV3"/>
    <mergeCell ref="A21:AV21"/>
    <mergeCell ref="A105:AV105"/>
    <mergeCell ref="A50:AV50"/>
    <mergeCell ref="A2:AV2"/>
    <mergeCell ref="A14:AV14"/>
    <mergeCell ref="AI5:AN5"/>
    <mergeCell ref="A144:AV144"/>
    <mergeCell ref="R5:Z5"/>
    <mergeCell ref="A200:AV200"/>
    <mergeCell ref="A38:AV38"/>
    <mergeCell ref="A72:AV72"/>
    <mergeCell ref="A161:AV161"/>
    <mergeCell ref="A68:AV68"/>
    <mergeCell ref="A63:AV63"/>
    <mergeCell ref="A152:AV152"/>
    <mergeCell ref="A117:AV117"/>
    <mergeCell ref="A111:AV111"/>
    <mergeCell ref="A130:AV130"/>
  </mergeCells>
  <hyperlinks>
    <hyperlink xmlns:r="http://schemas.openxmlformats.org/officeDocument/2006/relationships" ref="AW1" r:id="rId1"/>
  </hyperlinks>
  <pageMargins left="0.4" right="0.4" top="0.5" bottom="0.5" header="0.5" footer="0.5"/>
  <pageSetup orientation="landscape" fitToHeight="0" fitToWidth="1"/>
  <headerFooter>
    <oddHeader/>
    <oddFooter>&amp;LIRIS · Job Architecture &amp; Job Design · Final v1.12 · October 2026 · Internal — Confidential&amp;RPage &amp;P of &amp;N</oddFooter>
    <evenHeader/>
    <evenFooter/>
    <firstHeader/>
    <firstFooter/>
  </headerFooter>
</worksheet>
</file>

<file path=xl/worksheets/sheet28.xml><?xml version="1.0" encoding="utf-8"?>
<worksheet xmlns="http://schemas.openxmlformats.org/spreadsheetml/2006/main">
  <sheetPr>
    <tabColor rgb="00548235"/>
    <outlinePr summaryBelow="1" summaryRight="1"/>
    <pageSetUpPr fitToPage="1"/>
  </sheetPr>
  <dimension ref="A1:S67"/>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26"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13" customWidth="1" min="19" max="19"/>
  </cols>
  <sheetData>
    <row r="1" ht="34" customHeight="1">
      <c r="A1" s="1" t="inlineStr">
        <is>
          <t>Index — catalogue IDs by sub-family and level</t>
        </is>
      </c>
      <c r="S1" s="99" t="inlineStr">
        <is>
          <t>◂ Contents</t>
        </is>
      </c>
    </row>
    <row r="2" ht="30" customHeight="1">
      <c r="A2" s="3" t="inlineStr">
        <is>
          <r>
            <rPr>
              <rFont val="Calibri"/>
              <b val="1"/>
              <i val="1"/>
              <color rgb="00404040"/>
              <sz val="10"/>
            </rPr>
            <t>Find a role:</t>
          </r>
          <r>
            <rPr>
              <rFont val="Calibri"/>
              <i val="1"/>
              <color rgb="00404040"/>
              <sz val="10"/>
            </rPr>
            <t xml:space="preserve"> its sub-family · row and level. Manager-track entries are marked · M.</t>
          </r>
        </is>
      </c>
    </row>
    <row r="3">
      <c r="A3" s="4" t="inlineStr">
        <is>
          <t>IRIS · Job Architecture &amp; Job Design · Final v1.12 · October 2026 · Internal — Confidential</t>
        </is>
      </c>
    </row>
    <row r="4"/>
    <row r="5" ht="15" customHeight="1">
      <c r="A5" s="7" t="inlineStr">
        <is>
          <t>Job family</t>
        </is>
      </c>
      <c r="B5" s="7" t="inlineStr">
        <is>
          <t>Sub-family</t>
        </is>
      </c>
      <c r="C5" s="7" t="inlineStr">
        <is>
          <t>A1</t>
        </is>
      </c>
      <c r="D5" s="7" t="inlineStr">
        <is>
          <t>A2</t>
        </is>
      </c>
      <c r="E5" s="7" t="inlineStr">
        <is>
          <t>A3</t>
        </is>
      </c>
      <c r="F5" s="7" t="inlineStr">
        <is>
          <t>B1</t>
        </is>
      </c>
      <c r="G5" s="7" t="inlineStr">
        <is>
          <t>B2</t>
        </is>
      </c>
      <c r="H5" s="7" t="inlineStr">
        <is>
          <t>B3</t>
        </is>
      </c>
      <c r="I5" s="7" t="inlineStr">
        <is>
          <t>B+</t>
        </is>
      </c>
      <c r="J5" s="7" t="inlineStr">
        <is>
          <t>C1</t>
        </is>
      </c>
      <c r="K5" s="7" t="inlineStr">
        <is>
          <t>C2</t>
        </is>
      </c>
      <c r="L5" s="7" t="inlineStr">
        <is>
          <t>D1</t>
        </is>
      </c>
      <c r="M5" s="7" t="inlineStr">
        <is>
          <t>D2</t>
        </is>
      </c>
      <c r="N5" s="7" t="inlineStr">
        <is>
          <t>E1</t>
        </is>
      </c>
      <c r="O5" s="7" t="inlineStr">
        <is>
          <t>E2</t>
        </is>
      </c>
      <c r="P5" s="7" t="inlineStr">
        <is>
          <t>X1</t>
        </is>
      </c>
      <c r="Q5" s="7" t="inlineStr">
        <is>
          <t>X2</t>
        </is>
      </c>
      <c r="R5" s="7" t="inlineStr">
        <is>
          <t>X3</t>
        </is>
      </c>
    </row>
    <row r="6" ht="28" customHeight="1">
      <c r="A6" s="14" t="inlineStr">
        <is>
          <t>Administration, Legal &amp; Secretarial</t>
        </is>
      </c>
      <c r="B6" s="9" t="inlineStr">
        <is>
          <t>Administration &amp; Facilities</t>
        </is>
      </c>
      <c r="C6" s="8" t="n"/>
      <c r="D6" s="8" t="n"/>
      <c r="E6" s="8" t="inlineStr">
        <is>
          <t>RC-001</t>
        </is>
      </c>
      <c r="F6" s="8" t="n"/>
      <c r="G6" s="8" t="inlineStr">
        <is>
          <t>RC-002 · M</t>
        </is>
      </c>
      <c r="H6" s="8" t="n"/>
      <c r="I6" s="8" t="n"/>
      <c r="J6" s="8" t="n"/>
      <c r="K6" s="8" t="n"/>
      <c r="L6" s="8" t="n"/>
      <c r="M6" s="8" t="n"/>
      <c r="N6" s="8" t="n"/>
      <c r="O6" s="8" t="n"/>
      <c r="P6" s="8" t="inlineStr">
        <is>
          <t>RC-003</t>
        </is>
      </c>
      <c r="Q6" s="8" t="n"/>
      <c r="R6" s="8" t="n"/>
    </row>
    <row r="7" ht="28" customHeight="1">
      <c r="A7" s="14" t="inlineStr">
        <is>
          <t>Administration, Legal &amp; Secretarial</t>
        </is>
      </c>
      <c r="B7" s="9" t="inlineStr">
        <is>
          <t>Company Secretarial &amp; Legal</t>
        </is>
      </c>
      <c r="C7" s="8" t="inlineStr">
        <is>
          <t>RC-004</t>
        </is>
      </c>
      <c r="D7" s="8" t="n"/>
      <c r="E7" s="8" t="inlineStr">
        <is>
          <t>RC-005</t>
        </is>
      </c>
      <c r="F7" s="8" t="n"/>
      <c r="G7" s="8" t="n"/>
      <c r="H7" s="8" t="n"/>
      <c r="I7" s="8" t="n"/>
      <c r="J7" s="8" t="inlineStr">
        <is>
          <t>RC-006</t>
        </is>
      </c>
      <c r="K7" s="8" t="n"/>
      <c r="L7" s="8" t="n"/>
      <c r="M7" s="8" t="n"/>
      <c r="N7" s="8" t="n"/>
      <c r="O7" s="8" t="n"/>
      <c r="P7" s="8" t="n"/>
      <c r="Q7" s="8" t="n"/>
      <c r="R7" s="8" t="n"/>
    </row>
    <row r="8" ht="41" customHeight="1">
      <c r="A8" s="14" t="inlineStr">
        <is>
          <t>Business Analysis</t>
        </is>
      </c>
      <c r="B8" s="9" t="inlineStr">
        <is>
          <t>Business Analysis</t>
        </is>
      </c>
      <c r="C8" s="8" t="inlineStr">
        <is>
          <t>RC-007</t>
        </is>
      </c>
      <c r="D8" s="8" t="inlineStr">
        <is>
          <t>RC-008</t>
        </is>
      </c>
      <c r="E8" s="8" t="inlineStr">
        <is>
          <t>RC-009</t>
        </is>
      </c>
      <c r="F8" s="8" t="inlineStr">
        <is>
          <t>RC-010 · RC-011 · M</t>
        </is>
      </c>
      <c r="G8" s="8" t="inlineStr">
        <is>
          <t>RC-012</t>
        </is>
      </c>
      <c r="H8" s="8" t="n"/>
      <c r="I8" s="8" t="n"/>
      <c r="J8" s="8" t="n"/>
      <c r="K8" s="8" t="n"/>
      <c r="L8" s="8" t="n"/>
      <c r="M8" s="8" t="n"/>
      <c r="N8" s="8" t="n"/>
      <c r="O8" s="8" t="n"/>
      <c r="P8" s="8" t="n"/>
      <c r="Q8" s="8" t="n"/>
      <c r="R8" s="8" t="n"/>
    </row>
    <row r="9" ht="28" customHeight="1">
      <c r="A9" s="14" t="inlineStr">
        <is>
          <t>Consulting &amp; Professional Services</t>
        </is>
      </c>
      <c r="B9" s="9" t="inlineStr">
        <is>
          <t>Professional Services Leadership</t>
        </is>
      </c>
      <c r="C9" s="8" t="n"/>
      <c r="D9" s="8" t="n"/>
      <c r="E9" s="8" t="n"/>
      <c r="F9" s="8" t="n"/>
      <c r="G9" s="8" t="n"/>
      <c r="H9" s="8" t="n"/>
      <c r="I9" s="8" t="n"/>
      <c r="J9" s="8" t="inlineStr">
        <is>
          <t>RC-013 · M</t>
        </is>
      </c>
      <c r="K9" s="8" t="inlineStr">
        <is>
          <t>RC-014 · M</t>
        </is>
      </c>
      <c r="L9" s="8" t="n"/>
      <c r="M9" s="8" t="n"/>
      <c r="N9" s="8" t="n"/>
      <c r="O9" s="8" t="n"/>
      <c r="P9" s="8" t="n"/>
      <c r="Q9" s="8" t="n"/>
      <c r="R9" s="8" t="n"/>
    </row>
    <row r="10" ht="28" customHeight="1">
      <c r="A10" s="14" t="inlineStr">
        <is>
          <t>Consulting &amp; Professional Services</t>
        </is>
      </c>
      <c r="B10" s="9" t="inlineStr">
        <is>
          <t>Service Delivery Operations</t>
        </is>
      </c>
      <c r="C10" s="8" t="n"/>
      <c r="D10" s="8" t="n"/>
      <c r="E10" s="8" t="inlineStr">
        <is>
          <t>RC-015</t>
        </is>
      </c>
      <c r="F10" s="8" t="inlineStr">
        <is>
          <t>RC-016</t>
        </is>
      </c>
      <c r="G10" s="8" t="inlineStr">
        <is>
          <t>RC-017 · M</t>
        </is>
      </c>
      <c r="H10" s="8" t="n"/>
      <c r="I10" s="8" t="n"/>
      <c r="J10" s="8" t="n"/>
      <c r="K10" s="8" t="n"/>
      <c r="L10" s="8" t="n"/>
      <c r="M10" s="8" t="n"/>
      <c r="N10" s="8" t="n"/>
      <c r="O10" s="8" t="n"/>
      <c r="P10" s="8" t="n"/>
      <c r="Q10" s="8" t="n"/>
      <c r="R10" s="8" t="n"/>
    </row>
    <row r="11" ht="41" customHeight="1">
      <c r="A11" s="14" t="inlineStr">
        <is>
          <t>Consulting &amp; Professional Services</t>
        </is>
      </c>
      <c r="B11" s="9" t="inlineStr">
        <is>
          <t>Taxonomy Design &amp; Regulatory Consulting</t>
        </is>
      </c>
      <c r="C11" s="8" t="n"/>
      <c r="D11" s="8" t="inlineStr">
        <is>
          <t>RC-018</t>
        </is>
      </c>
      <c r="E11" s="8" t="inlineStr">
        <is>
          <t>RC-019</t>
        </is>
      </c>
      <c r="F11" s="8" t="inlineStr">
        <is>
          <t>RC-020</t>
        </is>
      </c>
      <c r="G11" s="8" t="inlineStr">
        <is>
          <t>RC-021 · RC-022 · M</t>
        </is>
      </c>
      <c r="H11" s="8" t="n"/>
      <c r="I11" s="8" t="n"/>
      <c r="J11" s="8" t="n"/>
      <c r="K11" s="8" t="n"/>
      <c r="L11" s="8" t="n"/>
      <c r="M11" s="8" t="n"/>
      <c r="N11" s="8" t="n"/>
      <c r="O11" s="8" t="n"/>
      <c r="P11" s="8" t="inlineStr">
        <is>
          <t>RC-023</t>
        </is>
      </c>
      <c r="Q11" s="8" t="n"/>
      <c r="R11" s="8" t="n"/>
    </row>
    <row r="12" ht="41" customHeight="1">
      <c r="A12" s="14" t="inlineStr">
        <is>
          <t>Consulting &amp; Professional Services</t>
        </is>
      </c>
      <c r="B12" s="9" t="inlineStr">
        <is>
          <t>XBRL Tagging, Conversion &amp; Filing</t>
        </is>
      </c>
      <c r="C12" s="8" t="n"/>
      <c r="D12" s="8" t="inlineStr">
        <is>
          <t>RC-024</t>
        </is>
      </c>
      <c r="E12" s="8" t="inlineStr">
        <is>
          <t>RC-025</t>
        </is>
      </c>
      <c r="F12" s="8" t="inlineStr">
        <is>
          <t>RC-026 · RC-027 · M</t>
        </is>
      </c>
      <c r="G12" s="8" t="inlineStr">
        <is>
          <t>RC-028 · M</t>
        </is>
      </c>
      <c r="H12" s="8" t="n"/>
      <c r="I12" s="8" t="n"/>
      <c r="J12" s="8" t="n"/>
      <c r="K12" s="8" t="n"/>
      <c r="L12" s="8" t="n"/>
      <c r="M12" s="8" t="n"/>
      <c r="N12" s="8" t="n"/>
      <c r="O12" s="8" t="n"/>
      <c r="P12" s="8" t="n"/>
      <c r="Q12" s="8" t="n"/>
      <c r="R12" s="8" t="n"/>
    </row>
    <row r="13" ht="28" customHeight="1">
      <c r="A13" s="14" t="inlineStr">
        <is>
          <t>Customer Success &amp; Support</t>
        </is>
      </c>
      <c r="B13" s="9" t="inlineStr">
        <is>
          <t>Application &amp; Product Support</t>
        </is>
      </c>
      <c r="C13" s="8" t="inlineStr">
        <is>
          <t>RC-029</t>
        </is>
      </c>
      <c r="D13" s="8" t="inlineStr">
        <is>
          <t>RC-030</t>
        </is>
      </c>
      <c r="E13" s="8" t="inlineStr">
        <is>
          <t>RC-031</t>
        </is>
      </c>
      <c r="F13" s="8" t="inlineStr">
        <is>
          <t>RC-032</t>
        </is>
      </c>
      <c r="G13" s="8" t="inlineStr">
        <is>
          <t>RC-033 · M</t>
        </is>
      </c>
      <c r="H13" s="8" t="n"/>
      <c r="I13" s="8" t="n"/>
      <c r="J13" s="8" t="n"/>
      <c r="K13" s="8" t="n"/>
      <c r="L13" s="8" t="n"/>
      <c r="M13" s="8" t="n"/>
      <c r="N13" s="8" t="n"/>
      <c r="O13" s="8" t="n"/>
      <c r="P13" s="8" t="n"/>
      <c r="Q13" s="8" t="n"/>
      <c r="R13" s="8" t="n"/>
    </row>
    <row r="14" ht="28" customHeight="1">
      <c r="A14" s="14" t="inlineStr">
        <is>
          <t>Customer Success &amp; Support</t>
        </is>
      </c>
      <c r="B14" s="9" t="inlineStr">
        <is>
          <t>Customer Success &amp; Account Management</t>
        </is>
      </c>
      <c r="C14" s="8" t="n"/>
      <c r="D14" s="8" t="n"/>
      <c r="E14" s="8" t="inlineStr">
        <is>
          <t>RC-034</t>
        </is>
      </c>
      <c r="F14" s="8" t="inlineStr">
        <is>
          <t>RC-035</t>
        </is>
      </c>
      <c r="G14" s="8" t="inlineStr">
        <is>
          <t>RC-036</t>
        </is>
      </c>
      <c r="H14" s="8" t="n"/>
      <c r="I14" s="8" t="n"/>
      <c r="J14" s="8" t="n"/>
      <c r="K14" s="8" t="n"/>
      <c r="L14" s="8" t="n"/>
      <c r="M14" s="8" t="n"/>
      <c r="N14" s="8" t="n"/>
      <c r="O14" s="8" t="n"/>
      <c r="P14" s="8" t="inlineStr">
        <is>
          <t>RC-037</t>
        </is>
      </c>
      <c r="Q14" s="8" t="n"/>
      <c r="R14" s="8" t="n"/>
    </row>
    <row r="15" ht="28" customHeight="1">
      <c r="A15" s="14" t="inlineStr">
        <is>
          <t>Customer Success &amp; Support</t>
        </is>
      </c>
      <c r="B15" s="9" t="inlineStr">
        <is>
          <t>Customer Success Leadership</t>
        </is>
      </c>
      <c r="C15" s="8" t="n"/>
      <c r="D15" s="8" t="n"/>
      <c r="E15" s="8" t="n"/>
      <c r="F15" s="8" t="n"/>
      <c r="G15" s="8" t="n"/>
      <c r="H15" s="8" t="n"/>
      <c r="I15" s="8" t="n"/>
      <c r="J15" s="8" t="inlineStr">
        <is>
          <t>RC-038 · M</t>
        </is>
      </c>
      <c r="K15" s="8" t="n"/>
      <c r="L15" s="8" t="n"/>
      <c r="M15" s="8" t="n"/>
      <c r="N15" s="8" t="n"/>
      <c r="O15" s="8" t="n"/>
      <c r="P15" s="8" t="n"/>
      <c r="Q15" s="8" t="n"/>
      <c r="R15" s="8" t="n"/>
    </row>
    <row r="16" ht="28" customHeight="1">
      <c r="A16" s="14" t="inlineStr">
        <is>
          <t>Customer Success &amp; Support</t>
        </is>
      </c>
      <c r="B16" s="9" t="inlineStr">
        <is>
          <t>Customer Training &amp; Enablement</t>
        </is>
      </c>
      <c r="C16" s="8" t="n"/>
      <c r="D16" s="8" t="n"/>
      <c r="E16" s="8" t="n"/>
      <c r="F16" s="8" t="inlineStr">
        <is>
          <t>RC-039</t>
        </is>
      </c>
      <c r="G16" s="8" t="n"/>
      <c r="H16" s="8" t="n"/>
      <c r="I16" s="8" t="n"/>
      <c r="J16" s="8" t="n"/>
      <c r="K16" s="8" t="n"/>
      <c r="L16" s="8" t="n"/>
      <c r="M16" s="8" t="n"/>
      <c r="N16" s="8" t="n"/>
      <c r="O16" s="8" t="n"/>
      <c r="P16" s="8" t="n"/>
      <c r="Q16" s="8" t="n"/>
      <c r="R16" s="8" t="n"/>
    </row>
    <row r="17" ht="28" customHeight="1">
      <c r="A17" s="14" t="inlineStr">
        <is>
          <t>Data &amp; Analytics</t>
        </is>
      </c>
      <c r="B17" s="9" t="inlineStr">
        <is>
          <t>Financial Data Processing</t>
        </is>
      </c>
      <c r="C17" s="8" t="n"/>
      <c r="D17" s="8" t="n"/>
      <c r="E17" s="8" t="inlineStr">
        <is>
          <t>RC-040</t>
        </is>
      </c>
      <c r="F17" s="8" t="inlineStr">
        <is>
          <t>RC-041</t>
        </is>
      </c>
      <c r="G17" s="8" t="inlineStr">
        <is>
          <t>RC-042 · M</t>
        </is>
      </c>
      <c r="H17" s="8" t="n"/>
      <c r="I17" s="8" t="n"/>
      <c r="J17" s="8" t="n"/>
      <c r="K17" s="8" t="n"/>
      <c r="L17" s="8" t="n"/>
      <c r="M17" s="8" t="n"/>
      <c r="N17" s="8" t="n"/>
      <c r="O17" s="8" t="n"/>
      <c r="P17" s="8" t="n"/>
      <c r="Q17" s="8" t="n"/>
      <c r="R17" s="8" t="n"/>
    </row>
    <row r="18" ht="15" customHeight="1">
      <c r="A18" s="14" t="inlineStr">
        <is>
          <t>Data &amp; Analytics</t>
        </is>
      </c>
      <c r="B18" s="9" t="inlineStr">
        <is>
          <t>MIS &amp; Business Reporting</t>
        </is>
      </c>
      <c r="C18" s="8" t="n"/>
      <c r="D18" s="8" t="inlineStr">
        <is>
          <t>RC-043</t>
        </is>
      </c>
      <c r="E18" s="8" t="inlineStr">
        <is>
          <t>RC-044</t>
        </is>
      </c>
      <c r="F18" s="8" t="n"/>
      <c r="G18" s="8" t="n"/>
      <c r="H18" s="8" t="n"/>
      <c r="I18" s="8" t="n"/>
      <c r="J18" s="8" t="n"/>
      <c r="K18" s="8" t="n"/>
      <c r="L18" s="8" t="n"/>
      <c r="M18" s="8" t="n"/>
      <c r="N18" s="8" t="n"/>
      <c r="O18" s="8" t="n"/>
      <c r="P18" s="8" t="n"/>
      <c r="Q18" s="8" t="n"/>
      <c r="R18" s="8" t="n"/>
    </row>
    <row r="19" ht="28" customHeight="1">
      <c r="A19" s="14" t="inlineStr">
        <is>
          <t>Data Operations &amp; Digitization</t>
        </is>
      </c>
      <c r="B19" s="9" t="inlineStr">
        <is>
          <t>Digitization Leadership</t>
        </is>
      </c>
      <c r="C19" s="8" t="n"/>
      <c r="D19" s="8" t="n"/>
      <c r="E19" s="8" t="n"/>
      <c r="F19" s="8" t="n"/>
      <c r="G19" s="8" t="n"/>
      <c r="H19" s="8" t="n"/>
      <c r="I19" s="8" t="n"/>
      <c r="J19" s="8" t="inlineStr">
        <is>
          <t>RC-045 · M</t>
        </is>
      </c>
      <c r="K19" s="8" t="n"/>
      <c r="L19" s="8" t="n"/>
      <c r="M19" s="8" t="n"/>
      <c r="N19" s="8" t="n"/>
      <c r="O19" s="8" t="n"/>
      <c r="P19" s="8" t="n"/>
      <c r="Q19" s="8" t="n"/>
      <c r="R19" s="8" t="n"/>
    </row>
    <row r="20" ht="41" customHeight="1">
      <c r="A20" s="14" t="inlineStr">
        <is>
          <t>Data Operations &amp; Digitization</t>
        </is>
      </c>
      <c r="B20" s="9" t="inlineStr">
        <is>
          <t>Document Conversion, Formatting &amp; Web Publishing</t>
        </is>
      </c>
      <c r="C20" s="8" t="n"/>
      <c r="D20" s="8" t="inlineStr">
        <is>
          <t>RC-046</t>
        </is>
      </c>
      <c r="E20" s="8" t="inlineStr">
        <is>
          <t>RC-047</t>
        </is>
      </c>
      <c r="F20" s="8" t="inlineStr">
        <is>
          <t>RC-048 · RC-049 · M</t>
        </is>
      </c>
      <c r="G20" s="8" t="inlineStr">
        <is>
          <t>RC-050 · M</t>
        </is>
      </c>
      <c r="H20" s="8" t="n"/>
      <c r="I20" s="8" t="n"/>
      <c r="J20" s="8" t="n"/>
      <c r="K20" s="8" t="n"/>
      <c r="L20" s="8" t="n"/>
      <c r="M20" s="8" t="n"/>
      <c r="N20" s="8" t="n"/>
      <c r="O20" s="8" t="n"/>
      <c r="P20" s="8" t="n"/>
      <c r="Q20" s="8" t="n"/>
      <c r="R20" s="8" t="n"/>
    </row>
    <row r="21" ht="28" customHeight="1">
      <c r="A21" s="14" t="inlineStr">
        <is>
          <t>Design &amp; Creative</t>
        </is>
      </c>
      <c r="B21" s="9" t="inlineStr">
        <is>
          <t>Brand, Graphic &amp; Video Design</t>
        </is>
      </c>
      <c r="C21" s="8" t="n"/>
      <c r="D21" s="8" t="inlineStr">
        <is>
          <t>RC-051</t>
        </is>
      </c>
      <c r="E21" s="8" t="inlineStr">
        <is>
          <t>RC-052</t>
        </is>
      </c>
      <c r="F21" s="8" t="inlineStr">
        <is>
          <t>RC-053</t>
        </is>
      </c>
      <c r="G21" s="8" t="n"/>
      <c r="H21" s="8" t="n"/>
      <c r="I21" s="8" t="n"/>
      <c r="J21" s="8" t="n"/>
      <c r="K21" s="8" t="n"/>
      <c r="L21" s="8" t="n"/>
      <c r="M21" s="8" t="n"/>
      <c r="N21" s="8" t="n"/>
      <c r="O21" s="8" t="n"/>
      <c r="P21" s="8" t="n"/>
      <c r="Q21" s="8" t="n"/>
      <c r="R21" s="8" t="n"/>
    </row>
    <row r="22" ht="15" customHeight="1">
      <c r="A22" s="14" t="inlineStr">
        <is>
          <t>Design &amp; Creative</t>
        </is>
      </c>
      <c r="B22" s="9" t="inlineStr">
        <is>
          <t>UX / UI Design</t>
        </is>
      </c>
      <c r="C22" s="8" t="n"/>
      <c r="D22" s="8" t="n"/>
      <c r="E22" s="8" t="inlineStr">
        <is>
          <t>RC-054</t>
        </is>
      </c>
      <c r="F22" s="8" t="n"/>
      <c r="G22" s="8" t="n"/>
      <c r="H22" s="8" t="n"/>
      <c r="I22" s="8" t="n"/>
      <c r="J22" s="8" t="n"/>
      <c r="K22" s="8" t="n"/>
      <c r="L22" s="8" t="n"/>
      <c r="M22" s="8" t="n"/>
      <c r="N22" s="8" t="n"/>
      <c r="O22" s="8" t="n"/>
      <c r="P22" s="8" t="n"/>
      <c r="Q22" s="8" t="n"/>
      <c r="R22" s="8" t="n"/>
    </row>
    <row r="23" ht="28" customHeight="1">
      <c r="A23" s="14" t="inlineStr">
        <is>
          <t>Engineering &amp; Architecture</t>
        </is>
      </c>
      <c r="B23" s="9" t="inlineStr">
        <is>
          <t>Solution &amp; Technical Architecture</t>
        </is>
      </c>
      <c r="C23" s="8" t="n"/>
      <c r="D23" s="8" t="n"/>
      <c r="E23" s="8" t="n"/>
      <c r="F23" s="8" t="n"/>
      <c r="G23" s="8" t="n"/>
      <c r="H23" s="8" t="inlineStr">
        <is>
          <t>RC-055</t>
        </is>
      </c>
      <c r="I23" s="8" t="inlineStr">
        <is>
          <t>RC-056</t>
        </is>
      </c>
      <c r="J23" s="8" t="inlineStr">
        <is>
          <t>RC-057</t>
        </is>
      </c>
      <c r="K23" s="8" t="n"/>
      <c r="L23" s="8" t="n"/>
      <c r="M23" s="8" t="n"/>
      <c r="N23" s="8" t="n"/>
      <c r="O23" s="8" t="n"/>
      <c r="P23" s="8" t="n"/>
      <c r="Q23" s="8" t="n"/>
      <c r="R23" s="8" t="n"/>
    </row>
    <row r="24" ht="28" customHeight="1">
      <c r="A24" s="14" t="inlineStr">
        <is>
          <t>Engineering &amp; Development</t>
        </is>
      </c>
      <c r="B24" s="9" t="inlineStr">
        <is>
          <t>AI / ML &amp; GenAI Engineering</t>
        </is>
      </c>
      <c r="C24" s="8" t="inlineStr">
        <is>
          <t>RC-058</t>
        </is>
      </c>
      <c r="D24" s="8" t="inlineStr">
        <is>
          <t>RC-059</t>
        </is>
      </c>
      <c r="E24" s="8" t="inlineStr">
        <is>
          <t>RC-060</t>
        </is>
      </c>
      <c r="F24" s="8" t="inlineStr">
        <is>
          <t>RC-061</t>
        </is>
      </c>
      <c r="G24" s="8" t="n"/>
      <c r="H24" s="8" t="n"/>
      <c r="I24" s="8" t="n"/>
      <c r="J24" s="8" t="n"/>
      <c r="K24" s="8" t="n"/>
      <c r="L24" s="8" t="n"/>
      <c r="M24" s="8" t="n"/>
      <c r="N24" s="8" t="n"/>
      <c r="O24" s="8" t="n"/>
      <c r="P24" s="8" t="n"/>
      <c r="Q24" s="8" t="n"/>
      <c r="R24" s="8" t="n"/>
    </row>
    <row r="25" ht="28" customHeight="1">
      <c r="A25" s="14" t="inlineStr">
        <is>
          <t>Engineering &amp; Development</t>
        </is>
      </c>
      <c r="B25" s="9" t="inlineStr">
        <is>
          <t>Application Maintenance &amp; Production Support</t>
        </is>
      </c>
      <c r="C25" s="8" t="n"/>
      <c r="D25" s="8" t="n"/>
      <c r="E25" s="8" t="inlineStr">
        <is>
          <t>RC-062</t>
        </is>
      </c>
      <c r="F25" s="8" t="inlineStr">
        <is>
          <t>RC-063</t>
        </is>
      </c>
      <c r="G25" s="8" t="n"/>
      <c r="H25" s="8" t="inlineStr">
        <is>
          <t>RC-064</t>
        </is>
      </c>
      <c r="I25" s="8" t="n"/>
      <c r="J25" s="8" t="n"/>
      <c r="K25" s="8" t="n"/>
      <c r="L25" s="8" t="n"/>
      <c r="M25" s="8" t="n"/>
      <c r="N25" s="8" t="n"/>
      <c r="O25" s="8" t="n"/>
      <c r="P25" s="8" t="n"/>
      <c r="Q25" s="8" t="n"/>
      <c r="R25" s="8" t="n"/>
    </row>
    <row r="26" ht="41" customHeight="1">
      <c r="A26" s="14" t="inlineStr">
        <is>
          <t>Engineering &amp; Development</t>
        </is>
      </c>
      <c r="B26" s="9" t="inlineStr">
        <is>
          <t>Backend Development</t>
        </is>
      </c>
      <c r="C26" s="8" t="inlineStr">
        <is>
          <t>RC-065</t>
        </is>
      </c>
      <c r="D26" s="8" t="inlineStr">
        <is>
          <t>RC-066</t>
        </is>
      </c>
      <c r="E26" s="8" t="inlineStr">
        <is>
          <t>RC-067</t>
        </is>
      </c>
      <c r="F26" s="8" t="inlineStr">
        <is>
          <t>RC-068</t>
        </is>
      </c>
      <c r="G26" s="8" t="inlineStr">
        <is>
          <t>RC-069 · RC-070 · M</t>
        </is>
      </c>
      <c r="H26" s="8" t="inlineStr">
        <is>
          <t>RC-071 · RC-072 · M</t>
        </is>
      </c>
      <c r="I26" s="8" t="n"/>
      <c r="J26" s="8" t="n"/>
      <c r="K26" s="8" t="n"/>
      <c r="L26" s="8" t="n"/>
      <c r="M26" s="8" t="n"/>
      <c r="N26" s="8" t="n"/>
      <c r="O26" s="8" t="n"/>
      <c r="P26" s="8" t="inlineStr">
        <is>
          <t>RC-073</t>
        </is>
      </c>
      <c r="Q26" s="8" t="n"/>
      <c r="R26" s="8" t="n"/>
    </row>
    <row r="27" ht="28" customHeight="1">
      <c r="A27" s="14" t="inlineStr">
        <is>
          <t>Engineering &amp; Development</t>
        </is>
      </c>
      <c r="B27" s="9" t="inlineStr">
        <is>
          <t>Data Engineering &amp; Database Development</t>
        </is>
      </c>
      <c r="C27" s="8" t="n"/>
      <c r="D27" s="8" t="n"/>
      <c r="E27" s="8" t="inlineStr">
        <is>
          <t>RC-074</t>
        </is>
      </c>
      <c r="F27" s="8" t="inlineStr">
        <is>
          <t>RC-075</t>
        </is>
      </c>
      <c r="G27" s="8" t="n"/>
      <c r="H27" s="8" t="n"/>
      <c r="I27" s="8" t="n"/>
      <c r="J27" s="8" t="n"/>
      <c r="K27" s="8" t="n"/>
      <c r="L27" s="8" t="n"/>
      <c r="M27" s="8" t="n"/>
      <c r="N27" s="8" t="n"/>
      <c r="O27" s="8" t="n"/>
      <c r="P27" s="8" t="n"/>
      <c r="Q27" s="8" t="n"/>
      <c r="R27" s="8" t="n"/>
    </row>
    <row r="28" ht="28" customHeight="1">
      <c r="A28" s="14" t="inlineStr">
        <is>
          <t>Engineering &amp; Development</t>
        </is>
      </c>
      <c r="B28" s="9" t="inlineStr">
        <is>
          <t>DevOps &amp; Release Engineering</t>
        </is>
      </c>
      <c r="C28" s="8" t="n"/>
      <c r="D28" s="8" t="n"/>
      <c r="E28" s="8" t="inlineStr">
        <is>
          <t>RC-076</t>
        </is>
      </c>
      <c r="F28" s="8" t="inlineStr">
        <is>
          <t>RC-077</t>
        </is>
      </c>
      <c r="G28" s="8" t="n"/>
      <c r="H28" s="8" t="n"/>
      <c r="I28" s="8" t="n"/>
      <c r="J28" s="8" t="n"/>
      <c r="K28" s="8" t="n"/>
      <c r="L28" s="8" t="n"/>
      <c r="M28" s="8" t="n"/>
      <c r="N28" s="8" t="n"/>
      <c r="O28" s="8" t="n"/>
      <c r="P28" s="8" t="n"/>
      <c r="Q28" s="8" t="n"/>
      <c r="R28" s="8" t="n"/>
    </row>
    <row r="29" ht="28" customHeight="1">
      <c r="A29" s="14" t="inlineStr">
        <is>
          <t>Engineering &amp; Development</t>
        </is>
      </c>
      <c r="B29" s="9" t="inlineStr">
        <is>
          <t>Engineering Leadership</t>
        </is>
      </c>
      <c r="C29" s="8" t="n"/>
      <c r="D29" s="8" t="n"/>
      <c r="E29" s="8" t="n"/>
      <c r="F29" s="8" t="n"/>
      <c r="G29" s="8" t="n"/>
      <c r="H29" s="8" t="n"/>
      <c r="I29" s="8" t="n"/>
      <c r="J29" s="8" t="n"/>
      <c r="K29" s="8" t="inlineStr">
        <is>
          <t>RC-078 · M</t>
        </is>
      </c>
      <c r="L29" s="8" t="n"/>
      <c r="M29" s="8" t="n"/>
      <c r="N29" s="8" t="n"/>
      <c r="O29" s="8" t="n"/>
      <c r="P29" s="8" t="n"/>
      <c r="Q29" s="8" t="n"/>
      <c r="R29" s="8" t="n"/>
    </row>
    <row r="30" ht="28" customHeight="1">
      <c r="A30" s="14" t="inlineStr">
        <is>
          <t>Engineering &amp; Development</t>
        </is>
      </c>
      <c r="B30" s="9" t="inlineStr">
        <is>
          <t>Front-End / UI Development</t>
        </is>
      </c>
      <c r="C30" s="8" t="inlineStr">
        <is>
          <t>RC-079</t>
        </is>
      </c>
      <c r="D30" s="8" t="inlineStr">
        <is>
          <t>RC-080</t>
        </is>
      </c>
      <c r="E30" s="8" t="inlineStr">
        <is>
          <t>RC-081</t>
        </is>
      </c>
      <c r="F30" s="8" t="inlineStr">
        <is>
          <t>RC-082</t>
        </is>
      </c>
      <c r="G30" s="8" t="n"/>
      <c r="H30" s="8" t="n"/>
      <c r="I30" s="8" t="n"/>
      <c r="J30" s="8" t="n"/>
      <c r="K30" s="8" t="n"/>
      <c r="L30" s="8" t="n"/>
      <c r="M30" s="8" t="n"/>
      <c r="N30" s="8" t="n"/>
      <c r="O30" s="8" t="n"/>
      <c r="P30" s="8" t="n"/>
      <c r="Q30" s="8" t="n"/>
      <c r="R30" s="8" t="n"/>
    </row>
    <row r="31" ht="41" customHeight="1">
      <c r="A31" s="14" t="inlineStr">
        <is>
          <t>Engineering &amp; Development</t>
        </is>
      </c>
      <c r="B31" s="9" t="inlineStr">
        <is>
          <t>Full-Stack Development</t>
        </is>
      </c>
      <c r="C31" s="8" t="inlineStr">
        <is>
          <t>RC-083</t>
        </is>
      </c>
      <c r="D31" s="8" t="inlineStr">
        <is>
          <t>RC-084</t>
        </is>
      </c>
      <c r="E31" s="8" t="inlineStr">
        <is>
          <t>RC-085</t>
        </is>
      </c>
      <c r="F31" s="8" t="inlineStr">
        <is>
          <t>RC-086</t>
        </is>
      </c>
      <c r="G31" s="8" t="inlineStr">
        <is>
          <t>RC-087 · RC-088 · M</t>
        </is>
      </c>
      <c r="H31" s="8" t="inlineStr">
        <is>
          <t>RC-089</t>
        </is>
      </c>
      <c r="I31" s="8" t="n"/>
      <c r="J31" s="8" t="n"/>
      <c r="K31" s="8" t="n"/>
      <c r="L31" s="8" t="n"/>
      <c r="M31" s="8" t="n"/>
      <c r="N31" s="8" t="n"/>
      <c r="O31" s="8" t="n"/>
      <c r="P31" s="8" t="n"/>
      <c r="Q31" s="8" t="n"/>
      <c r="R31" s="8" t="n"/>
    </row>
    <row r="32" ht="28" customHeight="1">
      <c r="A32" s="14" t="inlineStr">
        <is>
          <t>Executive Leadership</t>
        </is>
      </c>
      <c r="B32" s="9" t="inlineStr">
        <is>
          <t>Business &amp; Functional Leadership</t>
        </is>
      </c>
      <c r="C32" s="8" t="n"/>
      <c r="D32" s="8" t="n"/>
      <c r="E32" s="8" t="n"/>
      <c r="F32" s="8" t="n"/>
      <c r="G32" s="8" t="n"/>
      <c r="H32" s="8" t="n"/>
      <c r="I32" s="8" t="n"/>
      <c r="J32" s="8" t="n"/>
      <c r="K32" s="8" t="n"/>
      <c r="L32" s="8" t="inlineStr">
        <is>
          <t>RC-090 · M</t>
        </is>
      </c>
      <c r="M32" s="8" t="inlineStr">
        <is>
          <t>RC-091 · M</t>
        </is>
      </c>
      <c r="N32" s="8" t="n"/>
      <c r="O32" s="8" t="n"/>
      <c r="P32" s="8" t="n"/>
      <c r="Q32" s="8" t="n"/>
      <c r="R32" s="8" t="n"/>
    </row>
    <row r="33" ht="28" customHeight="1">
      <c r="A33" s="14" t="inlineStr">
        <is>
          <t>Executive Leadership</t>
        </is>
      </c>
      <c r="B33" s="9" t="inlineStr">
        <is>
          <t>Enterprise Leadership</t>
        </is>
      </c>
      <c r="C33" s="8" t="n"/>
      <c r="D33" s="8" t="n"/>
      <c r="E33" s="8" t="n"/>
      <c r="F33" s="8" t="n"/>
      <c r="G33" s="8" t="n"/>
      <c r="H33" s="8" t="n"/>
      <c r="I33" s="8" t="n"/>
      <c r="J33" s="8" t="n"/>
      <c r="K33" s="8" t="n"/>
      <c r="L33" s="8" t="n"/>
      <c r="M33" s="8" t="n"/>
      <c r="N33" s="8" t="inlineStr">
        <is>
          <t>RC-092 · M</t>
        </is>
      </c>
      <c r="O33" s="8" t="inlineStr">
        <is>
          <t>RC-093 · M</t>
        </is>
      </c>
      <c r="P33" s="8" t="n"/>
      <c r="Q33" s="8" t="n"/>
      <c r="R33" s="8" t="inlineStr">
        <is>
          <t>RC-094</t>
        </is>
      </c>
    </row>
    <row r="34" ht="28" customHeight="1">
      <c r="A34" s="14" t="inlineStr">
        <is>
          <t>Finance &amp; Accounts</t>
        </is>
      </c>
      <c r="B34" s="9" t="inlineStr">
        <is>
          <t>Accounting &amp; Transaction Processing</t>
        </is>
      </c>
      <c r="C34" s="8" t="n"/>
      <c r="D34" s="8" t="n"/>
      <c r="E34" s="8" t="inlineStr">
        <is>
          <t>RC-095</t>
        </is>
      </c>
      <c r="F34" s="8" t="inlineStr">
        <is>
          <t>RC-096</t>
        </is>
      </c>
      <c r="G34" s="8" t="n"/>
      <c r="H34" s="8" t="n"/>
      <c r="I34" s="8" t="n"/>
      <c r="J34" s="8" t="n"/>
      <c r="K34" s="8" t="n"/>
      <c r="L34" s="8" t="n"/>
      <c r="M34" s="8" t="n"/>
      <c r="N34" s="8" t="n"/>
      <c r="O34" s="8" t="n"/>
      <c r="P34" s="8" t="n"/>
      <c r="Q34" s="8" t="n"/>
      <c r="R34" s="8" t="n"/>
    </row>
    <row r="35" ht="28" customHeight="1">
      <c r="A35" s="14" t="inlineStr">
        <is>
          <t>Finance &amp; Accounts</t>
        </is>
      </c>
      <c r="B35" s="9" t="inlineStr">
        <is>
          <t>Finance Leadership</t>
        </is>
      </c>
      <c r="C35" s="8" t="n"/>
      <c r="D35" s="8" t="n"/>
      <c r="E35" s="8" t="n"/>
      <c r="F35" s="8" t="n"/>
      <c r="G35" s="8" t="n"/>
      <c r="H35" s="8" t="n"/>
      <c r="I35" s="8" t="n"/>
      <c r="J35" s="8" t="inlineStr">
        <is>
          <t>RC-097 · M</t>
        </is>
      </c>
      <c r="K35" s="8" t="n"/>
      <c r="L35" s="8" t="n"/>
      <c r="M35" s="8" t="n"/>
      <c r="N35" s="8" t="n"/>
      <c r="O35" s="8" t="n"/>
      <c r="P35" s="8" t="n"/>
      <c r="Q35" s="8" t="n"/>
      <c r="R35" s="8" t="n"/>
    </row>
    <row r="36" ht="28" customHeight="1">
      <c r="A36" s="14" t="inlineStr">
        <is>
          <t>Finance &amp; Accounts</t>
        </is>
      </c>
      <c r="B36" s="9" t="inlineStr">
        <is>
          <t>Financial Reporting, Compliance &amp; Audit</t>
        </is>
      </c>
      <c r="C36" s="8" t="n"/>
      <c r="D36" s="8" t="n"/>
      <c r="E36" s="8" t="n"/>
      <c r="F36" s="8" t="inlineStr">
        <is>
          <t>RC-098</t>
        </is>
      </c>
      <c r="G36" s="8" t="inlineStr">
        <is>
          <t>RC-099</t>
        </is>
      </c>
      <c r="H36" s="8" t="n"/>
      <c r="I36" s="8" t="n"/>
      <c r="J36" s="8" t="n"/>
      <c r="K36" s="8" t="n"/>
      <c r="L36" s="8" t="n"/>
      <c r="M36" s="8" t="n"/>
      <c r="N36" s="8" t="n"/>
      <c r="O36" s="8" t="n"/>
      <c r="P36" s="8" t="n"/>
      <c r="Q36" s="8" t="n"/>
      <c r="R36" s="8" t="n"/>
    </row>
    <row r="37" ht="28" customHeight="1">
      <c r="A37" s="14" t="inlineStr">
        <is>
          <t>Human Resources</t>
        </is>
      </c>
      <c r="B37" s="9" t="inlineStr">
        <is>
          <t>HR Leadership</t>
        </is>
      </c>
      <c r="C37" s="8" t="n"/>
      <c r="D37" s="8" t="n"/>
      <c r="E37" s="8" t="n"/>
      <c r="F37" s="8" t="n"/>
      <c r="G37" s="8" t="n"/>
      <c r="H37" s="8" t="n"/>
      <c r="I37" s="8" t="n"/>
      <c r="J37" s="8" t="n"/>
      <c r="K37" s="8" t="n"/>
      <c r="L37" s="8" t="n"/>
      <c r="M37" s="8" t="inlineStr">
        <is>
          <t>RC-100 · M</t>
        </is>
      </c>
      <c r="N37" s="8" t="n"/>
      <c r="O37" s="8" t="n"/>
      <c r="P37" s="8" t="n"/>
      <c r="Q37" s="8" t="n"/>
      <c r="R37" s="8" t="n"/>
    </row>
    <row r="38" ht="15" customHeight="1">
      <c r="A38" s="14" t="inlineStr">
        <is>
          <t>Human Resources</t>
        </is>
      </c>
      <c r="B38" s="9" t="inlineStr">
        <is>
          <t>HR Operations &amp; Payroll</t>
        </is>
      </c>
      <c r="C38" s="8" t="n"/>
      <c r="D38" s="8" t="inlineStr">
        <is>
          <t>RC-101</t>
        </is>
      </c>
      <c r="E38" s="8" t="n"/>
      <c r="F38" s="8" t="inlineStr">
        <is>
          <t>RC-102</t>
        </is>
      </c>
      <c r="G38" s="8" t="n"/>
      <c r="H38" s="8" t="n"/>
      <c r="I38" s="8" t="n"/>
      <c r="J38" s="8" t="n"/>
      <c r="K38" s="8" t="n"/>
      <c r="L38" s="8" t="n"/>
      <c r="M38" s="8" t="n"/>
      <c r="N38" s="8" t="n"/>
      <c r="O38" s="8" t="n"/>
      <c r="P38" s="8" t="n"/>
      <c r="Q38" s="8" t="n"/>
      <c r="R38" s="8" t="n"/>
    </row>
    <row r="39" ht="15" customHeight="1">
      <c r="A39" s="14" t="inlineStr">
        <is>
          <t>Human Resources</t>
        </is>
      </c>
      <c r="B39" s="9" t="inlineStr">
        <is>
          <t>HR Transformation &amp; OD</t>
        </is>
      </c>
      <c r="C39" s="8" t="n"/>
      <c r="D39" s="8" t="n"/>
      <c r="E39" s="8" t="n"/>
      <c r="F39" s="8" t="n"/>
      <c r="G39" s="8" t="n"/>
      <c r="H39" s="8" t="inlineStr">
        <is>
          <t>RC-103</t>
        </is>
      </c>
      <c r="I39" s="8" t="n"/>
      <c r="J39" s="8" t="n"/>
      <c r="K39" s="8" t="n"/>
      <c r="L39" s="8" t="n"/>
      <c r="M39" s="8" t="n"/>
      <c r="N39" s="8" t="n"/>
      <c r="O39" s="8" t="n"/>
      <c r="P39" s="8" t="n"/>
      <c r="Q39" s="8" t="n"/>
      <c r="R39" s="8" t="n"/>
    </row>
    <row r="40" ht="15" customHeight="1">
      <c r="A40" s="14" t="inlineStr">
        <is>
          <t>Human Resources</t>
        </is>
      </c>
      <c r="B40" s="9" t="inlineStr">
        <is>
          <t>Talent Acquisition</t>
        </is>
      </c>
      <c r="C40" s="8" t="n"/>
      <c r="D40" s="8" t="n"/>
      <c r="E40" s="8" t="inlineStr">
        <is>
          <t>RC-104</t>
        </is>
      </c>
      <c r="F40" s="8" t="n"/>
      <c r="G40" s="8" t="inlineStr">
        <is>
          <t>RC-105</t>
        </is>
      </c>
      <c r="H40" s="8" t="n"/>
      <c r="I40" s="8" t="n"/>
      <c r="J40" s="8" t="n"/>
      <c r="K40" s="8" t="n"/>
      <c r="L40" s="8" t="n"/>
      <c r="M40" s="8" t="n"/>
      <c r="N40" s="8" t="n"/>
      <c r="O40" s="8" t="n"/>
      <c r="P40" s="8" t="n"/>
      <c r="Q40" s="8" t="n"/>
      <c r="R40" s="8" t="n"/>
    </row>
    <row r="41" ht="15" customHeight="1">
      <c r="A41" s="14" t="inlineStr">
        <is>
          <t>IT &amp; Infrastructure</t>
        </is>
      </c>
      <c r="B41" s="9" t="inlineStr">
        <is>
          <t>End-User Support</t>
        </is>
      </c>
      <c r="C41" s="8" t="n"/>
      <c r="D41" s="8" t="n"/>
      <c r="E41" s="8" t="inlineStr">
        <is>
          <t>RC-106</t>
        </is>
      </c>
      <c r="F41" s="8" t="n"/>
      <c r="G41" s="8" t="n"/>
      <c r="H41" s="8" t="n"/>
      <c r="I41" s="8" t="n"/>
      <c r="J41" s="8" t="n"/>
      <c r="K41" s="8" t="n"/>
      <c r="L41" s="8" t="n"/>
      <c r="M41" s="8" t="n"/>
      <c r="N41" s="8" t="n"/>
      <c r="O41" s="8" t="n"/>
      <c r="P41" s="8" t="n"/>
      <c r="Q41" s="8" t="n"/>
      <c r="R41" s="8" t="n"/>
    </row>
    <row r="42" ht="28" customHeight="1">
      <c r="A42" s="14" t="inlineStr">
        <is>
          <t>IT &amp; Infrastructure</t>
        </is>
      </c>
      <c r="B42" s="9" t="inlineStr">
        <is>
          <t>IT Infrastructure Leadership</t>
        </is>
      </c>
      <c r="C42" s="8" t="n"/>
      <c r="D42" s="8" t="n"/>
      <c r="E42" s="8" t="n"/>
      <c r="F42" s="8" t="n"/>
      <c r="G42" s="8" t="inlineStr">
        <is>
          <t>RC-107 · M</t>
        </is>
      </c>
      <c r="H42" s="8" t="n"/>
      <c r="I42" s="8" t="n"/>
      <c r="J42" s="8" t="n"/>
      <c r="K42" s="8" t="n"/>
      <c r="L42" s="8" t="n"/>
      <c r="M42" s="8" t="n"/>
      <c r="N42" s="8" t="n"/>
      <c r="O42" s="8" t="n"/>
      <c r="P42" s="8" t="n"/>
      <c r="Q42" s="8" t="n"/>
      <c r="R42" s="8" t="n"/>
    </row>
    <row r="43" ht="41" customHeight="1">
      <c r="A43" s="14" t="inlineStr">
        <is>
          <t>IT &amp; Infrastructure</t>
        </is>
      </c>
      <c r="B43" s="9" t="inlineStr">
        <is>
          <t>Infrastructure &amp; Cloud Operations</t>
        </is>
      </c>
      <c r="C43" s="8" t="n"/>
      <c r="D43" s="8" t="n"/>
      <c r="E43" s="8" t="inlineStr">
        <is>
          <t>RC-108</t>
        </is>
      </c>
      <c r="F43" s="8" t="inlineStr">
        <is>
          <t>RC-109 · RC-110 · M</t>
        </is>
      </c>
      <c r="G43" s="8" t="n"/>
      <c r="H43" s="8" t="n"/>
      <c r="I43" s="8" t="n"/>
      <c r="J43" s="8" t="n"/>
      <c r="K43" s="8" t="n"/>
      <c r="L43" s="8" t="n"/>
      <c r="M43" s="8" t="n"/>
      <c r="N43" s="8" t="n"/>
      <c r="O43" s="8" t="n"/>
      <c r="P43" s="8" t="n"/>
      <c r="Q43" s="8" t="n"/>
      <c r="R43" s="8" t="n"/>
    </row>
    <row r="44" ht="28" customHeight="1">
      <c r="A44" s="14" t="inlineStr">
        <is>
          <t>Marketing &amp; Communications</t>
        </is>
      </c>
      <c r="B44" s="9" t="inlineStr">
        <is>
          <t>Content Marketing</t>
        </is>
      </c>
      <c r="C44" s="8" t="n"/>
      <c r="D44" s="8" t="inlineStr">
        <is>
          <t>RC-111</t>
        </is>
      </c>
      <c r="E44" s="8" t="inlineStr">
        <is>
          <t>RC-112</t>
        </is>
      </c>
      <c r="F44" s="8" t="n"/>
      <c r="G44" s="8" t="inlineStr">
        <is>
          <t>RC-113</t>
        </is>
      </c>
      <c r="H44" s="8" t="n"/>
      <c r="I44" s="8" t="n"/>
      <c r="J44" s="8" t="n"/>
      <c r="K44" s="8" t="n"/>
      <c r="L44" s="8" t="n"/>
      <c r="M44" s="8" t="n"/>
      <c r="N44" s="8" t="n"/>
      <c r="O44" s="8" t="n"/>
      <c r="P44" s="8" t="n"/>
      <c r="Q44" s="8" t="n"/>
      <c r="R44" s="8" t="n"/>
    </row>
    <row r="45" ht="41" customHeight="1">
      <c r="A45" s="14" t="inlineStr">
        <is>
          <t>Marketing &amp; Communications</t>
        </is>
      </c>
      <c r="B45" s="9" t="inlineStr">
        <is>
          <t>Demand Generation, Brand &amp; Events</t>
        </is>
      </c>
      <c r="C45" s="8" t="n"/>
      <c r="D45" s="8" t="inlineStr">
        <is>
          <t>RC-114</t>
        </is>
      </c>
      <c r="E45" s="8" t="n"/>
      <c r="F45" s="8" t="n"/>
      <c r="G45" s="8" t="inlineStr">
        <is>
          <t>RC-115 · RC-116 · M</t>
        </is>
      </c>
      <c r="H45" s="8" t="n"/>
      <c r="I45" s="8" t="n"/>
      <c r="J45" s="8" t="n"/>
      <c r="K45" s="8" t="n"/>
      <c r="L45" s="8" t="n"/>
      <c r="M45" s="8" t="n"/>
      <c r="N45" s="8" t="n"/>
      <c r="O45" s="8" t="n"/>
      <c r="P45" s="8" t="n"/>
      <c r="Q45" s="8" t="n"/>
      <c r="R45" s="8" t="n"/>
    </row>
    <row r="46" ht="28" customHeight="1">
      <c r="A46" s="14" t="inlineStr">
        <is>
          <t>Marketing &amp; Communications</t>
        </is>
      </c>
      <c r="B46" s="9" t="inlineStr">
        <is>
          <t>Digital Marketing, Web &amp; Social</t>
        </is>
      </c>
      <c r="C46" s="8" t="n"/>
      <c r="D46" s="8" t="n"/>
      <c r="E46" s="8" t="inlineStr">
        <is>
          <t>RC-117</t>
        </is>
      </c>
      <c r="F46" s="8" t="n"/>
      <c r="G46" s="8" t="n"/>
      <c r="H46" s="8" t="n"/>
      <c r="I46" s="8" t="n"/>
      <c r="J46" s="8" t="n"/>
      <c r="K46" s="8" t="n"/>
      <c r="L46" s="8" t="n"/>
      <c r="M46" s="8" t="n"/>
      <c r="N46" s="8" t="n"/>
      <c r="O46" s="8" t="n"/>
      <c r="P46" s="8" t="n"/>
      <c r="Q46" s="8" t="n"/>
      <c r="R46" s="8" t="n"/>
    </row>
    <row r="47" ht="28" customHeight="1">
      <c r="A47" s="14" t="inlineStr">
        <is>
          <t>Marketing &amp; Communications</t>
        </is>
      </c>
      <c r="B47" s="9" t="inlineStr">
        <is>
          <t>Marketing · role not recorded</t>
        </is>
      </c>
      <c r="C47" s="8" t="n"/>
      <c r="D47" s="8" t="n"/>
      <c r="E47" s="8" t="n"/>
      <c r="F47" s="8" t="n"/>
      <c r="G47" s="8" t="n"/>
      <c r="H47" s="8" t="n"/>
      <c r="I47" s="8" t="n"/>
      <c r="J47" s="8" t="n"/>
      <c r="K47" s="8" t="n"/>
      <c r="L47" s="8" t="n"/>
      <c r="M47" s="8" t="n"/>
      <c r="N47" s="8" t="n"/>
      <c r="O47" s="8" t="n"/>
      <c r="P47" s="8" t="inlineStr">
        <is>
          <t>RC-118</t>
        </is>
      </c>
      <c r="Q47" s="8" t="n"/>
      <c r="R47" s="8" t="n"/>
    </row>
    <row r="48" ht="28" customHeight="1">
      <c r="A48" s="14" t="inlineStr">
        <is>
          <t>Marketing &amp; Communications</t>
        </is>
      </c>
      <c r="B48" s="9" t="inlineStr">
        <is>
          <t>Marketing Leadership</t>
        </is>
      </c>
      <c r="C48" s="8" t="n"/>
      <c r="D48" s="8" t="n"/>
      <c r="E48" s="8" t="n"/>
      <c r="F48" s="8" t="n"/>
      <c r="G48" s="8" t="inlineStr">
        <is>
          <t>RC-119</t>
        </is>
      </c>
      <c r="H48" s="8" t="inlineStr">
        <is>
          <t>RC-120 · M</t>
        </is>
      </c>
      <c r="I48" s="8" t="n"/>
      <c r="J48" s="8" t="n"/>
      <c r="K48" s="8" t="n"/>
      <c r="L48" s="8" t="n"/>
      <c r="M48" s="8" t="n"/>
      <c r="N48" s="8" t="n"/>
      <c r="O48" s="8" t="n"/>
      <c r="P48" s="8" t="n"/>
      <c r="Q48" s="8" t="n"/>
      <c r="R48" s="8" t="n"/>
    </row>
    <row r="49" ht="28" customHeight="1">
      <c r="A49" s="14" t="inlineStr">
        <is>
          <t>Marketing &amp; Communications</t>
        </is>
      </c>
      <c r="B49" s="9" t="inlineStr">
        <is>
          <t>Marketing Operations &amp; Automation</t>
        </is>
      </c>
      <c r="C49" s="8" t="n"/>
      <c r="D49" s="8" t="inlineStr">
        <is>
          <t>RC-121</t>
        </is>
      </c>
      <c r="E49" s="8" t="inlineStr">
        <is>
          <t>RC-122</t>
        </is>
      </c>
      <c r="F49" s="8" t="n"/>
      <c r="G49" s="8" t="n"/>
      <c r="H49" s="8" t="n"/>
      <c r="I49" s="8" t="n"/>
      <c r="J49" s="8" t="n"/>
      <c r="K49" s="8" t="n"/>
      <c r="L49" s="8" t="n"/>
      <c r="M49" s="8" t="n"/>
      <c r="N49" s="8" t="n"/>
      <c r="O49" s="8" t="n"/>
      <c r="P49" s="8" t="n"/>
      <c r="Q49" s="8" t="n"/>
      <c r="R49" s="8" t="n"/>
    </row>
    <row r="50" ht="28" customHeight="1">
      <c r="A50" s="14" t="inlineStr">
        <is>
          <t>Marketing &amp; Communications</t>
        </is>
      </c>
      <c r="B50" s="9" t="inlineStr">
        <is>
          <t>Product Marketing</t>
        </is>
      </c>
      <c r="C50" s="8" t="n"/>
      <c r="D50" s="8" t="n"/>
      <c r="E50" s="8" t="n"/>
      <c r="F50" s="8" t="inlineStr">
        <is>
          <t>RC-123 · M</t>
        </is>
      </c>
      <c r="G50" s="8" t="n"/>
      <c r="H50" s="8" t="n"/>
      <c r="I50" s="8" t="n"/>
      <c r="J50" s="8" t="n"/>
      <c r="K50" s="8" t="n"/>
      <c r="L50" s="8" t="n"/>
      <c r="M50" s="8" t="n"/>
      <c r="N50" s="8" t="n"/>
      <c r="O50" s="8" t="n"/>
      <c r="P50" s="8" t="n"/>
      <c r="Q50" s="8" t="n"/>
      <c r="R50" s="8" t="n"/>
    </row>
    <row r="51" ht="41" customHeight="1">
      <c r="A51" s="14" t="inlineStr">
        <is>
          <t>Product Management</t>
        </is>
      </c>
      <c r="B51" s="9" t="inlineStr">
        <is>
          <t>Product Management</t>
        </is>
      </c>
      <c r="C51" s="8" t="n"/>
      <c r="D51" s="8" t="n"/>
      <c r="E51" s="8" t="inlineStr">
        <is>
          <t>RC-124</t>
        </is>
      </c>
      <c r="F51" s="8" t="inlineStr">
        <is>
          <t>RC-125</t>
        </is>
      </c>
      <c r="G51" s="8" t="inlineStr">
        <is>
          <t>RC-126 · RC-127 · M</t>
        </is>
      </c>
      <c r="H51" s="8" t="inlineStr">
        <is>
          <t>RC-128</t>
        </is>
      </c>
      <c r="I51" s="8" t="n"/>
      <c r="J51" s="8" t="n"/>
      <c r="K51" s="8" t="n"/>
      <c r="L51" s="8" t="n"/>
      <c r="M51" s="8" t="n"/>
      <c r="N51" s="8" t="n"/>
      <c r="O51" s="8" t="n"/>
      <c r="P51" s="8" t="n"/>
      <c r="Q51" s="8" t="n"/>
      <c r="R51" s="8" t="n"/>
    </row>
    <row r="52" ht="28" customHeight="1">
      <c r="A52" s="14" t="inlineStr">
        <is>
          <t>Product Management</t>
        </is>
      </c>
      <c r="B52" s="9" t="inlineStr">
        <is>
          <t>Product Operations &amp; Research</t>
        </is>
      </c>
      <c r="C52" s="8" t="inlineStr">
        <is>
          <t>RC-129</t>
        </is>
      </c>
      <c r="D52" s="8" t="n"/>
      <c r="E52" s="8" t="inlineStr">
        <is>
          <t>RC-130</t>
        </is>
      </c>
      <c r="F52" s="8" t="n"/>
      <c r="G52" s="8" t="n"/>
      <c r="H52" s="8" t="n"/>
      <c r="I52" s="8" t="n"/>
      <c r="J52" s="8" t="n"/>
      <c r="K52" s="8" t="n"/>
      <c r="L52" s="8" t="n"/>
      <c r="M52" s="8" t="n"/>
      <c r="N52" s="8" t="n"/>
      <c r="O52" s="8" t="n"/>
      <c r="P52" s="8" t="n"/>
      <c r="Q52" s="8" t="n"/>
      <c r="R52" s="8" t="n"/>
    </row>
    <row r="53" ht="28" customHeight="1">
      <c r="A53" s="14" t="inlineStr">
        <is>
          <t>Project &amp; Program Management</t>
        </is>
      </c>
      <c r="B53" s="9" t="inlineStr">
        <is>
          <t>Delivery Leadership</t>
        </is>
      </c>
      <c r="C53" s="8" t="n"/>
      <c r="D53" s="8" t="n"/>
      <c r="E53" s="8" t="n"/>
      <c r="F53" s="8" t="n"/>
      <c r="G53" s="8" t="n"/>
      <c r="H53" s="8" t="n"/>
      <c r="I53" s="8" t="n"/>
      <c r="J53" s="8" t="n"/>
      <c r="K53" s="8" t="inlineStr">
        <is>
          <t>RC-131 · M</t>
        </is>
      </c>
      <c r="L53" s="8" t="n"/>
      <c r="M53" s="8" t="n"/>
      <c r="N53" s="8" t="n"/>
      <c r="O53" s="8" t="n"/>
      <c r="P53" s="8" t="n"/>
      <c r="Q53" s="8" t="n"/>
      <c r="R53" s="8" t="n"/>
    </row>
    <row r="54" ht="28" customHeight="1">
      <c r="A54" s="14" t="inlineStr">
        <is>
          <t>Project &amp; Program Management</t>
        </is>
      </c>
      <c r="B54" s="9" t="inlineStr">
        <is>
          <t>PMO &amp; Delivery Excellence</t>
        </is>
      </c>
      <c r="C54" s="8" t="n"/>
      <c r="D54" s="8" t="n"/>
      <c r="E54" s="8" t="n"/>
      <c r="F54" s="8" t="n"/>
      <c r="G54" s="8" t="inlineStr">
        <is>
          <t>RC-132 · M</t>
        </is>
      </c>
      <c r="H54" s="8" t="inlineStr">
        <is>
          <t>RC-133</t>
        </is>
      </c>
      <c r="I54" s="8" t="n"/>
      <c r="J54" s="8" t="n"/>
      <c r="K54" s="8" t="n"/>
      <c r="L54" s="8" t="n"/>
      <c r="M54" s="8" t="n"/>
      <c r="N54" s="8" t="n"/>
      <c r="O54" s="8" t="n"/>
      <c r="P54" s="8" t="n"/>
      <c r="Q54" s="8" t="n"/>
      <c r="R54" s="8" t="n"/>
    </row>
    <row r="55" ht="41" customHeight="1">
      <c r="A55" s="14" t="inlineStr">
        <is>
          <t>Project &amp; Program Management</t>
        </is>
      </c>
      <c r="B55" s="9" t="inlineStr">
        <is>
          <t>Project &amp; Program Delivery</t>
        </is>
      </c>
      <c r="C55" s="8" t="n"/>
      <c r="D55" s="8" t="n"/>
      <c r="E55" s="8" t="n"/>
      <c r="F55" s="8" t="inlineStr">
        <is>
          <t>RC-134</t>
        </is>
      </c>
      <c r="G55" s="8" t="inlineStr">
        <is>
          <t>RC-135 · RC-136 · M</t>
        </is>
      </c>
      <c r="H55" s="8" t="inlineStr">
        <is>
          <t>RC-137</t>
        </is>
      </c>
      <c r="I55" s="8" t="inlineStr">
        <is>
          <t>RC-138</t>
        </is>
      </c>
      <c r="J55" s="8" t="n"/>
      <c r="K55" s="8" t="n"/>
      <c r="L55" s="8" t="n"/>
      <c r="M55" s="8" t="n"/>
      <c r="N55" s="8" t="n"/>
      <c r="O55" s="8" t="n"/>
      <c r="P55" s="8" t="n"/>
      <c r="Q55" s="8" t="n"/>
      <c r="R55" s="8" t="n"/>
    </row>
    <row r="56" ht="41" customHeight="1">
      <c r="A56" s="14" t="inlineStr">
        <is>
          <t>Quality Assurance</t>
        </is>
      </c>
      <c r="B56" s="9" t="inlineStr">
        <is>
          <t>Functional &amp; Domain Testing</t>
        </is>
      </c>
      <c r="C56" s="8" t="inlineStr">
        <is>
          <t>RC-139</t>
        </is>
      </c>
      <c r="D56" s="8" t="inlineStr">
        <is>
          <t>RC-140</t>
        </is>
      </c>
      <c r="E56" s="8" t="inlineStr">
        <is>
          <t>RC-141</t>
        </is>
      </c>
      <c r="F56" s="8" t="inlineStr">
        <is>
          <t>RC-142 · RC-143 · M</t>
        </is>
      </c>
      <c r="G56" s="8" t="inlineStr">
        <is>
          <t>RC-144</t>
        </is>
      </c>
      <c r="H56" s="8" t="n"/>
      <c r="I56" s="8" t="n"/>
      <c r="J56" s="8" t="n"/>
      <c r="K56" s="8" t="n"/>
      <c r="L56" s="8" t="n"/>
      <c r="M56" s="8" t="n"/>
      <c r="N56" s="8" t="n"/>
      <c r="O56" s="8" t="n"/>
      <c r="P56" s="8" t="n"/>
      <c r="Q56" s="8" t="n"/>
      <c r="R56" s="8" t="n"/>
    </row>
    <row r="57" ht="15" customHeight="1">
      <c r="A57" s="14" t="inlineStr">
        <is>
          <t>Quality Assurance</t>
        </is>
      </c>
      <c r="B57" s="9" t="inlineStr">
        <is>
          <t>Test Automation</t>
        </is>
      </c>
      <c r="C57" s="8" t="inlineStr">
        <is>
          <t>RC-145</t>
        </is>
      </c>
      <c r="D57" s="8" t="n"/>
      <c r="E57" s="8" t="inlineStr">
        <is>
          <t>RC-146</t>
        </is>
      </c>
      <c r="F57" s="8" t="n"/>
      <c r="G57" s="8" t="n"/>
      <c r="H57" s="8" t="n"/>
      <c r="I57" s="8" t="n"/>
      <c r="J57" s="8" t="n"/>
      <c r="K57" s="8" t="n"/>
      <c r="L57" s="8" t="n"/>
      <c r="M57" s="8" t="n"/>
      <c r="N57" s="8" t="n"/>
      <c r="O57" s="8" t="n"/>
      <c r="P57" s="8" t="n"/>
      <c r="Q57" s="8" t="n"/>
      <c r="R57" s="8" t="n"/>
    </row>
    <row r="58" ht="41" customHeight="1">
      <c r="A58" s="14" t="inlineStr">
        <is>
          <t>Quality Assurance</t>
        </is>
      </c>
      <c r="B58" s="9" t="inlineStr">
        <is>
          <t>Test Management &amp; QA Leadership</t>
        </is>
      </c>
      <c r="C58" s="8" t="n"/>
      <c r="D58" s="8" t="n"/>
      <c r="E58" s="8" t="n"/>
      <c r="F58" s="8" t="n"/>
      <c r="G58" s="8" t="inlineStr">
        <is>
          <t>RC-147 · RC-148 · M</t>
        </is>
      </c>
      <c r="H58" s="8" t="n"/>
      <c r="I58" s="8" t="n"/>
      <c r="J58" s="8" t="n"/>
      <c r="K58" s="8" t="n"/>
      <c r="L58" s="8" t="n"/>
      <c r="M58" s="8" t="n"/>
      <c r="N58" s="8" t="n"/>
      <c r="O58" s="8" t="n"/>
      <c r="P58" s="8" t="n"/>
      <c r="Q58" s="8" t="n"/>
      <c r="R58" s="8" t="n"/>
    </row>
    <row r="59" ht="28" customHeight="1">
      <c r="A59" s="14" t="inlineStr">
        <is>
          <t>Sales &amp; Business Development</t>
        </is>
      </c>
      <c r="B59" s="9" t="inlineStr">
        <is>
          <t>Bids, RFP &amp; Sales Operations</t>
        </is>
      </c>
      <c r="C59" s="8" t="n"/>
      <c r="D59" s="8" t="n"/>
      <c r="E59" s="8" t="inlineStr">
        <is>
          <t>RC-149</t>
        </is>
      </c>
      <c r="F59" s="8" t="inlineStr">
        <is>
          <t>RC-150</t>
        </is>
      </c>
      <c r="G59" s="8" t="n"/>
      <c r="H59" s="8" t="n"/>
      <c r="I59" s="8" t="n"/>
      <c r="J59" s="8" t="n"/>
      <c r="K59" s="8" t="n"/>
      <c r="L59" s="8" t="n"/>
      <c r="M59" s="8" t="n"/>
      <c r="N59" s="8" t="n"/>
      <c r="O59" s="8" t="n"/>
      <c r="P59" s="8" t="n"/>
      <c r="Q59" s="8" t="n"/>
      <c r="R59" s="8" t="n"/>
    </row>
    <row r="60" ht="28" customHeight="1">
      <c r="A60" s="14" t="inlineStr">
        <is>
          <t>Sales &amp; Business Development</t>
        </is>
      </c>
      <c r="B60" s="9" t="inlineStr">
        <is>
          <t>Enterprise Sales &amp; Account Management</t>
        </is>
      </c>
      <c r="C60" s="8" t="n"/>
      <c r="D60" s="8" t="n"/>
      <c r="E60" s="8" t="n"/>
      <c r="F60" s="8" t="inlineStr">
        <is>
          <t>RC-151</t>
        </is>
      </c>
      <c r="G60" s="8" t="inlineStr">
        <is>
          <t>RC-152</t>
        </is>
      </c>
      <c r="H60" s="8" t="n"/>
      <c r="I60" s="8" t="n"/>
      <c r="J60" s="8" t="n"/>
      <c r="K60" s="8" t="n"/>
      <c r="L60" s="8" t="n"/>
      <c r="M60" s="8" t="n"/>
      <c r="N60" s="8" t="n"/>
      <c r="O60" s="8" t="n"/>
      <c r="P60" s="8" t="n"/>
      <c r="Q60" s="8" t="inlineStr">
        <is>
          <t>RC-153</t>
        </is>
      </c>
      <c r="R60" s="8" t="inlineStr">
        <is>
          <t>RC-154</t>
        </is>
      </c>
    </row>
    <row r="61" ht="41" customHeight="1">
      <c r="A61" s="14" t="inlineStr">
        <is>
          <t>Sales &amp; Business Development</t>
        </is>
      </c>
      <c r="B61" s="9" t="inlineStr">
        <is>
          <t>Field Outreach &amp; Programme Sales</t>
        </is>
      </c>
      <c r="C61" s="8" t="n"/>
      <c r="D61" s="8" t="inlineStr">
        <is>
          <t>RC-155</t>
        </is>
      </c>
      <c r="E61" s="8" t="inlineStr">
        <is>
          <t>RC-156</t>
        </is>
      </c>
      <c r="F61" s="8" t="n"/>
      <c r="G61" s="8" t="inlineStr">
        <is>
          <t>RC-157 · RC-158 · M</t>
        </is>
      </c>
      <c r="H61" s="8" t="n"/>
      <c r="I61" s="8" t="n"/>
      <c r="J61" s="8" t="n"/>
      <c r="K61" s="8" t="n"/>
      <c r="L61" s="8" t="n"/>
      <c r="M61" s="8" t="n"/>
      <c r="N61" s="8" t="n"/>
      <c r="O61" s="8" t="n"/>
      <c r="P61" s="8" t="n"/>
      <c r="Q61" s="8" t="n"/>
      <c r="R61" s="8" t="n"/>
    </row>
    <row r="62" ht="28" customHeight="1">
      <c r="A62" s="14" t="inlineStr">
        <is>
          <t>Sales &amp; Business Development</t>
        </is>
      </c>
      <c r="B62" s="9" t="inlineStr">
        <is>
          <t>Partnerships &amp; Alliances</t>
        </is>
      </c>
      <c r="C62" s="8" t="n"/>
      <c r="D62" s="8" t="n"/>
      <c r="E62" s="8" t="inlineStr">
        <is>
          <t>RC-159</t>
        </is>
      </c>
      <c r="F62" s="8" t="n"/>
      <c r="G62" s="8" t="n"/>
      <c r="H62" s="8" t="inlineStr">
        <is>
          <t>RC-160</t>
        </is>
      </c>
      <c r="I62" s="8" t="n"/>
      <c r="J62" s="8" t="n"/>
      <c r="K62" s="8" t="n"/>
      <c r="L62" s="8" t="n"/>
      <c r="M62" s="8" t="n"/>
      <c r="N62" s="8" t="n"/>
      <c r="O62" s="8" t="n"/>
      <c r="P62" s="8" t="n"/>
      <c r="Q62" s="8" t="n"/>
      <c r="R62" s="8" t="n"/>
    </row>
    <row r="63" ht="28" customHeight="1">
      <c r="A63" s="14" t="inlineStr">
        <is>
          <t>Sales &amp; Business Development</t>
        </is>
      </c>
      <c r="B63" s="9" t="inlineStr">
        <is>
          <t>Pre-Sales &amp; Solution Demos</t>
        </is>
      </c>
      <c r="C63" s="8" t="n"/>
      <c r="D63" s="8" t="n"/>
      <c r="E63" s="8" t="n"/>
      <c r="F63" s="8" t="inlineStr">
        <is>
          <t>RC-161</t>
        </is>
      </c>
      <c r="G63" s="8" t="n"/>
      <c r="H63" s="8" t="n"/>
      <c r="I63" s="8" t="n"/>
      <c r="J63" s="8" t="n"/>
      <c r="K63" s="8" t="n"/>
      <c r="L63" s="8" t="n"/>
      <c r="M63" s="8" t="n"/>
      <c r="N63" s="8" t="n"/>
      <c r="O63" s="8" t="n"/>
      <c r="P63" s="8" t="n"/>
      <c r="Q63" s="8" t="n"/>
      <c r="R63" s="8" t="n"/>
    </row>
    <row r="64" ht="41" customHeight="1">
      <c r="A64" s="14" t="inlineStr">
        <is>
          <t>Sales &amp; Business Development</t>
        </is>
      </c>
      <c r="B64" s="9" t="inlineStr">
        <is>
          <t>Sales Development &amp; Prospecting</t>
        </is>
      </c>
      <c r="C64" s="8" t="inlineStr">
        <is>
          <t>RC-162</t>
        </is>
      </c>
      <c r="D64" s="8" t="inlineStr">
        <is>
          <t>RC-163</t>
        </is>
      </c>
      <c r="E64" s="8" t="inlineStr">
        <is>
          <t>RC-164</t>
        </is>
      </c>
      <c r="F64" s="8" t="inlineStr">
        <is>
          <t>RC-165 · RC-166 · M</t>
        </is>
      </c>
      <c r="G64" s="8" t="inlineStr">
        <is>
          <t>RC-167</t>
        </is>
      </c>
      <c r="H64" s="8" t="n"/>
      <c r="I64" s="8" t="n"/>
      <c r="J64" s="8" t="n"/>
      <c r="K64" s="8" t="n"/>
      <c r="L64" s="8" t="n"/>
      <c r="M64" s="8" t="n"/>
      <c r="N64" s="8" t="n"/>
      <c r="O64" s="8" t="n"/>
      <c r="P64" s="8" t="n"/>
      <c r="Q64" s="8" t="n"/>
      <c r="R64" s="8" t="n"/>
    </row>
    <row r="65" ht="28" customHeight="1">
      <c r="A65" s="14" t="inlineStr">
        <is>
          <t>Sales &amp; Business Development</t>
        </is>
      </c>
      <c r="B65" s="9" t="inlineStr">
        <is>
          <t>Sales Leadership</t>
        </is>
      </c>
      <c r="C65" s="8" t="n"/>
      <c r="D65" s="8" t="n"/>
      <c r="E65" s="8" t="n"/>
      <c r="F65" s="8" t="n"/>
      <c r="G65" s="8" t="inlineStr">
        <is>
          <t>RC-168</t>
        </is>
      </c>
      <c r="H65" s="8" t="inlineStr">
        <is>
          <t>RC-169</t>
        </is>
      </c>
      <c r="I65" s="8" t="n"/>
      <c r="J65" s="8" t="inlineStr">
        <is>
          <t>RC-170</t>
        </is>
      </c>
      <c r="K65" s="8" t="inlineStr">
        <is>
          <t>RC-171 · M</t>
        </is>
      </c>
      <c r="L65" s="8" t="n"/>
      <c r="M65" s="8" t="n"/>
      <c r="N65" s="8" t="n"/>
      <c r="O65" s="8" t="n"/>
      <c r="P65" s="8" t="n"/>
      <c r="Q65" s="8" t="n"/>
      <c r="R65" s="8" t="n"/>
    </row>
    <row r="66" ht="28" customHeight="1">
      <c r="A66" s="14" t="inlineStr">
        <is>
          <t>Solution Consulting &amp; Implementation</t>
        </is>
      </c>
      <c r="B66" s="9" t="inlineStr">
        <is>
          <t>Solution Consulting &amp; Implementation</t>
        </is>
      </c>
      <c r="C66" s="8" t="n"/>
      <c r="D66" s="8" t="n"/>
      <c r="E66" s="8" t="inlineStr">
        <is>
          <t>RC-172</t>
        </is>
      </c>
      <c r="F66" s="8" t="inlineStr">
        <is>
          <t>RC-173</t>
        </is>
      </c>
      <c r="G66" s="8" t="inlineStr">
        <is>
          <t>RC-174</t>
        </is>
      </c>
      <c r="H66" s="8" t="n"/>
      <c r="I66" s="8" t="n"/>
      <c r="J66" s="8" t="n"/>
      <c r="K66" s="8" t="n"/>
      <c r="L66" s="8" t="n"/>
      <c r="M66" s="8" t="n"/>
      <c r="N66" s="8" t="n"/>
      <c r="O66" s="8" t="n"/>
      <c r="P66" s="8" t="n"/>
      <c r="Q66" s="8" t="n"/>
      <c r="R66" s="8" t="n"/>
    </row>
    <row r="67" ht="28" customHeight="1">
      <c r="A67" s="14" t="inlineStr">
        <is>
          <t>Unassigned</t>
        </is>
      </c>
      <c r="B67" s="9" t="inlineStr">
        <is>
          <t>Role not recorded · external consultant</t>
        </is>
      </c>
      <c r="C67" s="8" t="n"/>
      <c r="D67" s="8" t="n"/>
      <c r="E67" s="8" t="n"/>
      <c r="F67" s="8" t="n"/>
      <c r="G67" s="8" t="n"/>
      <c r="H67" s="8" t="n"/>
      <c r="I67" s="8" t="n"/>
      <c r="J67" s="8" t="n"/>
      <c r="K67" s="8" t="n"/>
      <c r="L67" s="8" t="n"/>
      <c r="M67" s="8" t="n"/>
      <c r="N67" s="8" t="n"/>
      <c r="O67" s="8" t="n"/>
      <c r="P67" s="8" t="inlineStr">
        <is>
          <t>RC-175</t>
        </is>
      </c>
      <c r="Q67" s="8" t="n"/>
      <c r="R67" s="8" t="n"/>
    </row>
  </sheetData>
  <mergeCells count="3">
    <mergeCell ref="A3:R3"/>
    <mergeCell ref="A2:R2"/>
    <mergeCell ref="A1:R1"/>
  </mergeCells>
  <hyperlinks>
    <hyperlink xmlns:r="http://schemas.openxmlformats.org/officeDocument/2006/relationships" ref="S1" r:id="rId1"/>
  </hyperlinks>
  <pageMargins left="0.4" right="0.4" top="0.5" bottom="0.5" header="0.5" footer="0.5"/>
  <pageSetup orientation="landscape" fitToHeight="0" fitToWidth="1"/>
  <headerFooter>
    <oddHeader/>
    <oddFooter>&amp;LIRIS · Job Architecture &amp; Job Design · Final v1.12 · October 2026 · Internal — Confidential&amp;RPage &amp;P of &amp;N</oddFooter>
    <evenHeader/>
    <evenFooter/>
    <firstHeader/>
    <firstFooter/>
  </headerFooter>
  <tableParts count="1">
    <tablePart xmlns:r="http://schemas.openxmlformats.org/officeDocument/2006/relationships" r:id="rId2"/>
  </tableParts>
</worksheet>
</file>

<file path=xl/worksheets/sheet29.xml><?xml version="1.0" encoding="utf-8"?>
<worksheet xmlns="http://schemas.openxmlformats.org/spreadsheetml/2006/main">
  <sheetPr>
    <tabColor rgb="00548235"/>
    <outlinePr summaryBelow="1" summaryRight="1"/>
    <pageSetUpPr fitToPage="1"/>
  </sheetPr>
  <dimension ref="A1:P40"/>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13"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3" customWidth="1" min="16" max="16"/>
  </cols>
  <sheetData>
    <row r="1" ht="34" customHeight="1">
      <c r="A1" s="1" t="inlineStr">
        <is>
          <t>Career lanes — the titles on each track, level by level</t>
        </is>
      </c>
      <c r="P1" s="99" t="inlineStr">
        <is>
          <t>◂ Contents</t>
        </is>
      </c>
    </row>
    <row r="2" ht="32" customHeight="1">
      <c r="A2" s="3" t="inlineStr">
        <is>
          <r>
            <rPr>
              <rFont val="Calibri"/>
              <b val="1"/>
              <i val="1"/>
              <color rgb="00404040"/>
              <sz val="10"/>
            </rPr>
            <t>Sheet 19 · For every job family:</t>
          </r>
          <r>
            <rPr>
              <rFont val="Calibri"/>
              <i val="1"/>
              <color rgb="00404040"/>
              <sz val="10"/>
            </rPr>
            <t xml:space="preserve"> the individual-contributor lane · including POD Leads and the manager lane · including Player-Coaches, with the designations people hold at each level and how many hold them. Read left to right to see a career path.</t>
          </r>
        </is>
      </c>
    </row>
    <row r="3">
      <c r="A3" s="4" t="inlineStr">
        <is>
          <t>IRIS · Job Architecture &amp; Job Design · Final v1.12 · October 2026 · Internal — Confidential</t>
        </is>
      </c>
    </row>
    <row r="4"/>
    <row r="5" ht="15" customHeight="1">
      <c r="A5" s="7" t="inlineStr">
        <is>
          <t>Job family</t>
        </is>
      </c>
      <c r="B5" s="7" t="inlineStr">
        <is>
          <t>Lane</t>
        </is>
      </c>
      <c r="C5" s="7" t="inlineStr">
        <is>
          <t>A1</t>
        </is>
      </c>
      <c r="D5" s="7" t="inlineStr">
        <is>
          <t>A2</t>
        </is>
      </c>
      <c r="E5" s="7" t="inlineStr">
        <is>
          <t>A3</t>
        </is>
      </c>
      <c r="F5" s="7" t="inlineStr">
        <is>
          <t>B1</t>
        </is>
      </c>
      <c r="G5" s="7" t="inlineStr">
        <is>
          <t>B2</t>
        </is>
      </c>
      <c r="H5" s="7" t="inlineStr">
        <is>
          <t>B3</t>
        </is>
      </c>
      <c r="I5" s="7" t="inlineStr">
        <is>
          <t>B+</t>
        </is>
      </c>
      <c r="J5" s="7" t="inlineStr">
        <is>
          <t>C1</t>
        </is>
      </c>
      <c r="K5" s="7" t="inlineStr">
        <is>
          <t>C2</t>
        </is>
      </c>
      <c r="L5" s="7" t="inlineStr">
        <is>
          <t>D1</t>
        </is>
      </c>
      <c r="M5" s="7" t="inlineStr">
        <is>
          <t>D2</t>
        </is>
      </c>
      <c r="N5" s="7" t="inlineStr">
        <is>
          <t>E1</t>
        </is>
      </c>
      <c r="O5" s="7" t="inlineStr">
        <is>
          <t>E2</t>
        </is>
      </c>
    </row>
    <row r="6" ht="93" customHeight="1">
      <c r="A6" s="14" t="inlineStr">
        <is>
          <t>Engineering &amp; Development</t>
        </is>
      </c>
      <c r="B6" s="9" t="inlineStr">
        <is>
          <t>Individual contributor</t>
        </is>
      </c>
      <c r="C6" s="19" t="inlineStr">
        <is>
          <t>Trainee Software Engineer
Intern – Front-End / UI Development
+2 more</t>
        </is>
      </c>
      <c r="D6" s="19" t="inlineStr">
        <is>
          <t>Software Engineer
UI Developer
+1 more</t>
        </is>
      </c>
      <c r="E6" s="19" t="inlineStr">
        <is>
          <t>Senior Software Engineer
Senior UI Developer
+5 more</t>
        </is>
      </c>
      <c r="F6" s="22" t="inlineStr">
        <is>
          <t>Technical Specialist – POD Lead
Technical Specialist
+5 more</t>
        </is>
      </c>
      <c r="G6" s="22" t="inlineStr">
        <is>
          <t>Senior Technical Specialist – POD Lead
Lead Software Engineer
+2 more</t>
        </is>
      </c>
      <c r="H6" s="22" t="inlineStr">
        <is>
          <t>Lead Software Engineer
Lead Software Engineer – POD Lead</t>
        </is>
      </c>
      <c r="I6" s="9" t="n"/>
      <c r="J6" s="9" t="n"/>
      <c r="K6" s="9" t="n"/>
      <c r="L6" s="9" t="n"/>
      <c r="M6" s="9" t="n"/>
      <c r="N6" s="9" t="n"/>
      <c r="O6" s="9" t="n"/>
    </row>
    <row r="7" ht="41" customHeight="1">
      <c r="A7" s="14" t="inlineStr">
        <is>
          <t>Engineering &amp; Development</t>
        </is>
      </c>
      <c r="B7" s="9" t="inlineStr">
        <is>
          <t>Manager</t>
        </is>
      </c>
      <c r="C7" s="9" t="n"/>
      <c r="D7" s="9" t="n"/>
      <c r="E7" s="9" t="n"/>
      <c r="F7" s="9" t="n"/>
      <c r="G7" s="22" t="inlineStr">
        <is>
          <t>Engineering Manager</t>
        </is>
      </c>
      <c r="H7" s="22" t="inlineStr">
        <is>
          <t>Senior Engineering Manager</t>
        </is>
      </c>
      <c r="I7" s="9" t="n"/>
      <c r="J7" s="9" t="n"/>
      <c r="K7" s="28" t="inlineStr">
        <is>
          <t>Head – Product Engineering</t>
        </is>
      </c>
      <c r="L7" s="9" t="n"/>
      <c r="M7" s="9" t="n"/>
      <c r="N7" s="9" t="n"/>
      <c r="O7" s="9" t="n"/>
    </row>
    <row r="8" ht="93" customHeight="1">
      <c r="A8" s="14" t="inlineStr">
        <is>
          <t>Consulting &amp; Professional Services</t>
        </is>
      </c>
      <c r="B8" s="9" t="inlineStr">
        <is>
          <t>Individual contributor</t>
        </is>
      </c>
      <c r="C8" s="9" t="n"/>
      <c r="D8" s="19" t="inlineStr">
        <is>
          <t>Financial Analyst
Taxonomy Analyst</t>
        </is>
      </c>
      <c r="E8" s="19" t="inlineStr">
        <is>
          <t>Senior Financial Analyst
Senior Taxonomy Analyst
+3 more</t>
        </is>
      </c>
      <c r="F8" s="22" t="inlineStr">
        <is>
          <t>XBRL Specialist
XBRL Specialist – POD Lead
+3 more</t>
        </is>
      </c>
      <c r="G8" s="22" t="inlineStr">
        <is>
          <t>Senior Taxonomy Specialist</t>
        </is>
      </c>
      <c r="H8" s="9" t="n"/>
      <c r="I8" s="9" t="n"/>
      <c r="J8" s="9" t="n"/>
      <c r="K8" s="9" t="n"/>
      <c r="L8" s="9" t="n"/>
      <c r="M8" s="9" t="n"/>
      <c r="N8" s="9" t="n"/>
      <c r="O8" s="9" t="n"/>
    </row>
    <row r="9" ht="93" customHeight="1">
      <c r="A9" s="14" t="inlineStr">
        <is>
          <t>Consulting &amp; Professional Services</t>
        </is>
      </c>
      <c r="B9" s="9" t="inlineStr">
        <is>
          <t>Manager</t>
        </is>
      </c>
      <c r="C9" s="9" t="n"/>
      <c r="D9" s="9" t="n"/>
      <c r="E9" s="9" t="n"/>
      <c r="F9" s="22" t="inlineStr">
        <is>
          <t>Team Lead – Assisted Services</t>
        </is>
      </c>
      <c r="G9" s="22" t="inlineStr">
        <is>
          <t>Manager – Assisted Services
Senior Manager – Assisted Services
+3 more</t>
        </is>
      </c>
      <c r="H9" s="9" t="n"/>
      <c r="I9" s="9" t="n"/>
      <c r="J9" s="28" t="inlineStr">
        <is>
          <t>Associate Head – XBRL Assisted Services
Associate Head – Assisted Services</t>
        </is>
      </c>
      <c r="K9" s="28" t="inlineStr">
        <is>
          <t>Head – Consulting</t>
        </is>
      </c>
      <c r="L9" s="9" t="n"/>
      <c r="M9" s="9" t="n"/>
      <c r="N9" s="9" t="n"/>
      <c r="O9" s="9" t="n"/>
    </row>
    <row r="10" ht="80" customHeight="1">
      <c r="A10" s="14" t="inlineStr">
        <is>
          <t>Quality Assurance</t>
        </is>
      </c>
      <c r="B10" s="9" t="inlineStr">
        <is>
          <t>Individual contributor</t>
        </is>
      </c>
      <c r="C10" s="19" t="inlineStr">
        <is>
          <t>Trainee QA Automation Engineer
Intern – Functional &amp; Domain Testing</t>
        </is>
      </c>
      <c r="D10" s="19" t="inlineStr">
        <is>
          <t>QA Engineer</t>
        </is>
      </c>
      <c r="E10" s="19" t="inlineStr">
        <is>
          <t>Senior QA Engineer
Senior QA Automation Engineer
+1 more</t>
        </is>
      </c>
      <c r="F10" s="22" t="inlineStr">
        <is>
          <t>QA Specialist – POD Lead</t>
        </is>
      </c>
      <c r="G10" s="22" t="inlineStr">
        <is>
          <t>Senior QA Specialist – POD Lead</t>
        </is>
      </c>
      <c r="H10" s="9" t="n"/>
      <c r="I10" s="9" t="n"/>
      <c r="J10" s="9" t="n"/>
      <c r="K10" s="9" t="n"/>
      <c r="L10" s="9" t="n"/>
      <c r="M10" s="9" t="n"/>
      <c r="N10" s="9" t="n"/>
      <c r="O10" s="9" t="n"/>
    </row>
    <row r="11" ht="54" customHeight="1">
      <c r="A11" s="14" t="inlineStr">
        <is>
          <t>Quality Assurance</t>
        </is>
      </c>
      <c r="B11" s="9" t="inlineStr">
        <is>
          <t>Manager</t>
        </is>
      </c>
      <c r="C11" s="9" t="n"/>
      <c r="D11" s="9" t="n"/>
      <c r="E11" s="9" t="n"/>
      <c r="F11" s="22" t="inlineStr">
        <is>
          <t>QA Manager</t>
        </is>
      </c>
      <c r="G11" s="22" t="inlineStr">
        <is>
          <t>QA Manager
Senior QA Manager</t>
        </is>
      </c>
      <c r="H11" s="9" t="n"/>
      <c r="I11" s="9" t="n"/>
      <c r="J11" s="9" t="n"/>
      <c r="K11" s="9" t="n"/>
      <c r="L11" s="9" t="n"/>
      <c r="M11" s="9" t="n"/>
      <c r="N11" s="9" t="n"/>
      <c r="O11" s="9" t="n"/>
    </row>
    <row r="12" ht="106" customHeight="1">
      <c r="A12" s="14" t="inlineStr">
        <is>
          <t>Sales &amp; Business Development</t>
        </is>
      </c>
      <c r="B12" s="9" t="inlineStr">
        <is>
          <t>Individual contributor</t>
        </is>
      </c>
      <c r="C12" s="19" t="inlineStr">
        <is>
          <t>Intern – Sales Development &amp; Prospecting</t>
        </is>
      </c>
      <c r="D12" s="19" t="inlineStr">
        <is>
          <t>Sales Development Representative
Program Executive</t>
        </is>
      </c>
      <c r="E12" s="19" t="inlineStr">
        <is>
          <t>Senior Sales Development Representative
Senior Program Executive
+2 more</t>
        </is>
      </c>
      <c r="F12" s="22" t="inlineStr">
        <is>
          <t>Account Executive
Sales Operations Specialist – POD Lead
+2 more</t>
        </is>
      </c>
      <c r="G12" s="22" t="inlineStr">
        <is>
          <t>Senior Account Executive – POD Lead
Lead Account Executive
+2 more</t>
        </is>
      </c>
      <c r="H12" s="22" t="inlineStr">
        <is>
          <t>Lead Account Executive
Lead Alliances Specialist – POD Lead</t>
        </is>
      </c>
      <c r="I12" s="9" t="n"/>
      <c r="J12" s="28" t="inlineStr">
        <is>
          <t>Principal – Enterprise Sales
Principal – Sales</t>
        </is>
      </c>
      <c r="K12" s="9" t="n"/>
      <c r="L12" s="9" t="n"/>
      <c r="M12" s="9" t="n"/>
      <c r="N12" s="9" t="n"/>
      <c r="O12" s="9" t="n"/>
    </row>
    <row r="13" ht="41" customHeight="1">
      <c r="A13" s="14" t="inlineStr">
        <is>
          <t>Sales &amp; Business Development</t>
        </is>
      </c>
      <c r="B13" s="9" t="inlineStr">
        <is>
          <t>Manager</t>
        </is>
      </c>
      <c r="C13" s="9" t="n"/>
      <c r="D13" s="9" t="n"/>
      <c r="E13" s="9" t="n"/>
      <c r="F13" s="22" t="inlineStr">
        <is>
          <t>Team Lead – Sales Development</t>
        </is>
      </c>
      <c r="G13" s="22" t="inlineStr">
        <is>
          <t>Program Manager – Outreach</t>
        </is>
      </c>
      <c r="H13" s="9" t="n"/>
      <c r="I13" s="9" t="n"/>
      <c r="J13" s="9" t="n"/>
      <c r="K13" s="28" t="inlineStr">
        <is>
          <t>Head – Sales</t>
        </is>
      </c>
      <c r="L13" s="9" t="n"/>
      <c r="M13" s="9" t="n"/>
      <c r="N13" s="9" t="n"/>
      <c r="O13" s="9" t="n"/>
    </row>
    <row r="14" ht="106" customHeight="1">
      <c r="A14" s="14" t="inlineStr">
        <is>
          <t>Customer Success &amp; Support</t>
        </is>
      </c>
      <c r="B14" s="9" t="inlineStr">
        <is>
          <t>Individual contributor</t>
        </is>
      </c>
      <c r="C14" s="19" t="inlineStr">
        <is>
          <t>Intern – Application &amp; Product Support</t>
        </is>
      </c>
      <c r="D14" s="19" t="inlineStr">
        <is>
          <t>Support Executive</t>
        </is>
      </c>
      <c r="E14" s="19" t="inlineStr">
        <is>
          <t>Senior Support Executive
Senior Customer Success Executive
+1 more</t>
        </is>
      </c>
      <c r="F14" s="22" t="inlineStr">
        <is>
          <t>Support Specialist
Customer Enablement Specialist – POD Lead
+3 more</t>
        </is>
      </c>
      <c r="G14" s="22" t="inlineStr">
        <is>
          <t>Senior Customer Success Specialist
Senior Customer Success Specialist – POD Lead
+1 more</t>
        </is>
      </c>
      <c r="H14" s="9" t="n"/>
      <c r="I14" s="9" t="n"/>
      <c r="J14" s="9" t="n"/>
      <c r="K14" s="9" t="n"/>
      <c r="L14" s="9" t="n"/>
      <c r="M14" s="9" t="n"/>
      <c r="N14" s="9" t="n"/>
      <c r="O14" s="9" t="n"/>
    </row>
    <row r="15" ht="41" customHeight="1">
      <c r="A15" s="14" t="inlineStr">
        <is>
          <t>Customer Success &amp; Support</t>
        </is>
      </c>
      <c r="B15" s="9" t="inlineStr">
        <is>
          <t>Manager</t>
        </is>
      </c>
      <c r="C15" s="9" t="n"/>
      <c r="D15" s="9" t="n"/>
      <c r="E15" s="9" t="n"/>
      <c r="F15" s="9" t="n"/>
      <c r="G15" s="22" t="inlineStr">
        <is>
          <t>Support Manager</t>
        </is>
      </c>
      <c r="H15" s="9" t="n"/>
      <c r="I15" s="9" t="n"/>
      <c r="J15" s="28" t="inlineStr">
        <is>
          <t>Associate Head – Customer Success</t>
        </is>
      </c>
      <c r="K15" s="9" t="n"/>
      <c r="L15" s="9" t="n"/>
      <c r="M15" s="9" t="n"/>
      <c r="N15" s="9" t="n"/>
      <c r="O15" s="9" t="n"/>
    </row>
    <row r="16" ht="67" customHeight="1">
      <c r="A16" s="14" t="inlineStr">
        <is>
          <t>Data Operations &amp; Digitization</t>
        </is>
      </c>
      <c r="B16" s="9" t="inlineStr">
        <is>
          <t>Individual contributor</t>
        </is>
      </c>
      <c r="C16" s="9" t="n"/>
      <c r="D16" s="19" t="inlineStr">
        <is>
          <t>Digitization Associate</t>
        </is>
      </c>
      <c r="E16" s="19" t="inlineStr">
        <is>
          <t>Senior Digitization Associate</t>
        </is>
      </c>
      <c r="F16" s="22" t="inlineStr">
        <is>
          <t>Digitization Specialist – POD Lead
Digitization Specialist</t>
        </is>
      </c>
      <c r="G16" s="9" t="n"/>
      <c r="H16" s="9" t="n"/>
      <c r="I16" s="9" t="n"/>
      <c r="J16" s="9" t="n"/>
      <c r="K16" s="9" t="n"/>
      <c r="L16" s="9" t="n"/>
      <c r="M16" s="9" t="n"/>
      <c r="N16" s="9" t="n"/>
      <c r="O16" s="9" t="n"/>
    </row>
    <row r="17" ht="41" customHeight="1">
      <c r="A17" s="14" t="inlineStr">
        <is>
          <t>Data Operations &amp; Digitization</t>
        </is>
      </c>
      <c r="B17" s="9" t="inlineStr">
        <is>
          <t>Manager</t>
        </is>
      </c>
      <c r="C17" s="9" t="n"/>
      <c r="D17" s="9" t="n"/>
      <c r="E17" s="9" t="n"/>
      <c r="F17" s="22" t="inlineStr">
        <is>
          <t>Team Lead – Digitization</t>
        </is>
      </c>
      <c r="G17" s="22" t="inlineStr">
        <is>
          <t>Digitization Manager</t>
        </is>
      </c>
      <c r="H17" s="9" t="n"/>
      <c r="I17" s="9" t="n"/>
      <c r="J17" s="28" t="inlineStr">
        <is>
          <t>Associate Head – Digitization</t>
        </is>
      </c>
      <c r="K17" s="9" t="n"/>
      <c r="L17" s="9" t="n"/>
      <c r="M17" s="9" t="n"/>
      <c r="N17" s="9" t="n"/>
      <c r="O17" s="9" t="n"/>
    </row>
    <row r="18" ht="106" customHeight="1">
      <c r="A18" s="14" t="inlineStr">
        <is>
          <t>Business Analysis</t>
        </is>
      </c>
      <c r="B18" s="9" t="inlineStr">
        <is>
          <t>Individual contributor</t>
        </is>
      </c>
      <c r="C18" s="19" t="inlineStr">
        <is>
          <t>Trainee Business Analyst</t>
        </is>
      </c>
      <c r="D18" s="19" t="inlineStr">
        <is>
          <t>Business Analyst</t>
        </is>
      </c>
      <c r="E18" s="19" t="inlineStr">
        <is>
          <t>Senior Business Analyst
Business Analysis Specialist</t>
        </is>
      </c>
      <c r="F18" s="22" t="inlineStr">
        <is>
          <t>Business Analysis Specialist
Business Analysis Specialist – POD Lead
+1 more</t>
        </is>
      </c>
      <c r="G18" s="22" t="inlineStr">
        <is>
          <t>Senior Business Analysis Specialist – POD Lead</t>
        </is>
      </c>
      <c r="H18" s="9" t="n"/>
      <c r="I18" s="9" t="n"/>
      <c r="J18" s="9" t="n"/>
      <c r="K18" s="9" t="n"/>
      <c r="L18" s="9" t="n"/>
      <c r="M18" s="9" t="n"/>
      <c r="N18" s="9" t="n"/>
      <c r="O18" s="9" t="n"/>
    </row>
    <row r="19" ht="41" customHeight="1">
      <c r="A19" s="14" t="inlineStr">
        <is>
          <t>Business Analysis</t>
        </is>
      </c>
      <c r="B19" s="9" t="inlineStr">
        <is>
          <t>Manager</t>
        </is>
      </c>
      <c r="C19" s="9" t="n"/>
      <c r="D19" s="9" t="n"/>
      <c r="E19" s="9" t="n"/>
      <c r="F19" s="22" t="inlineStr">
        <is>
          <t>Team Lead – Business Analysis</t>
        </is>
      </c>
      <c r="G19" s="9" t="n"/>
      <c r="H19" s="9" t="n"/>
      <c r="I19" s="9" t="n"/>
      <c r="J19" s="9" t="n"/>
      <c r="K19" s="9" t="n"/>
      <c r="L19" s="9" t="n"/>
      <c r="M19" s="9" t="n"/>
      <c r="N19" s="9" t="n"/>
      <c r="O19" s="9" t="n"/>
    </row>
    <row r="20" ht="106" customHeight="1">
      <c r="A20" s="14" t="inlineStr">
        <is>
          <t>Marketing &amp; Communications</t>
        </is>
      </c>
      <c r="B20" s="9" t="inlineStr">
        <is>
          <t>Individual contributor</t>
        </is>
      </c>
      <c r="C20" s="9" t="n"/>
      <c r="D20" s="19" t="inlineStr">
        <is>
          <t>Content Marketing Associate
Marketing Operations Associate
+1 more</t>
        </is>
      </c>
      <c r="E20" s="19" t="inlineStr">
        <is>
          <t>Senior Marketing Operations Associate
Senior Digital Marketing Associate
+1 more</t>
        </is>
      </c>
      <c r="F20" s="9" t="n"/>
      <c r="G20" s="22" t="inlineStr">
        <is>
          <t>Senior Marketing Specialist – POD Lead
Marketing Specialist – POD Lead
+1 more</t>
        </is>
      </c>
      <c r="H20" s="9" t="n"/>
      <c r="I20" s="9" t="n"/>
      <c r="J20" s="9" t="n"/>
      <c r="K20" s="9" t="n"/>
      <c r="L20" s="9" t="n"/>
      <c r="M20" s="9" t="n"/>
      <c r="N20" s="9" t="n"/>
      <c r="O20" s="9" t="n"/>
    </row>
    <row r="21" ht="41" customHeight="1">
      <c r="A21" s="14" t="inlineStr">
        <is>
          <t>Marketing &amp; Communications</t>
        </is>
      </c>
      <c r="B21" s="9" t="inlineStr">
        <is>
          <t>Manager</t>
        </is>
      </c>
      <c r="C21" s="9" t="n"/>
      <c r="D21" s="9" t="n"/>
      <c r="E21" s="9" t="n"/>
      <c r="F21" s="22" t="inlineStr">
        <is>
          <t>Team Lead – Product Marketing</t>
        </is>
      </c>
      <c r="G21" s="22" t="inlineStr">
        <is>
          <t>Marketing Manager</t>
        </is>
      </c>
      <c r="H21" s="22" t="inlineStr">
        <is>
          <t>Senior Marketing Manager</t>
        </is>
      </c>
      <c r="I21" s="9" t="n"/>
      <c r="J21" s="9" t="n"/>
      <c r="K21" s="9" t="n"/>
      <c r="L21" s="9" t="n"/>
      <c r="M21" s="9" t="n"/>
      <c r="N21" s="9" t="n"/>
      <c r="O21" s="9" t="n"/>
    </row>
    <row r="22" ht="93" customHeight="1">
      <c r="A22" s="14" t="inlineStr">
        <is>
          <t>Project &amp; Program Management</t>
        </is>
      </c>
      <c r="B22" s="9" t="inlineStr">
        <is>
          <t>Individual contributor</t>
        </is>
      </c>
      <c r="C22" s="9" t="n"/>
      <c r="D22" s="9" t="n"/>
      <c r="E22" s="9" t="n"/>
      <c r="F22" s="22" t="inlineStr">
        <is>
          <t>Associate Project Manager
Associate Project Manager – POD Lead
+1 more</t>
        </is>
      </c>
      <c r="G22" s="22" t="inlineStr">
        <is>
          <t>Project Manager</t>
        </is>
      </c>
      <c r="H22" s="22" t="inlineStr">
        <is>
          <t>Program Manager
Agile Coach</t>
        </is>
      </c>
      <c r="I22" s="9" t="n"/>
      <c r="J22" s="9" t="n"/>
      <c r="K22" s="9" t="n"/>
      <c r="L22" s="9" t="n"/>
      <c r="M22" s="9" t="n"/>
      <c r="N22" s="9" t="n"/>
      <c r="O22" s="9" t="n"/>
    </row>
    <row r="23" ht="67" customHeight="1">
      <c r="A23" s="14" t="inlineStr">
        <is>
          <t>Project &amp; Program Management</t>
        </is>
      </c>
      <c r="B23" s="9" t="inlineStr">
        <is>
          <t>Manager</t>
        </is>
      </c>
      <c r="C23" s="9" t="n"/>
      <c r="D23" s="9" t="n"/>
      <c r="E23" s="9" t="n"/>
      <c r="F23" s="9" t="n"/>
      <c r="G23" s="22" t="inlineStr">
        <is>
          <t>Delivery Manager
Project Manager
+1 more</t>
        </is>
      </c>
      <c r="H23" s="9" t="n"/>
      <c r="I23" s="25" t="inlineStr">
        <is>
          <t>Practice Lead – Project &amp; Program Delivery · Player-Coach</t>
        </is>
      </c>
      <c r="J23" s="9" t="n"/>
      <c r="K23" s="28" t="inlineStr">
        <is>
          <t>Head – Delivery</t>
        </is>
      </c>
      <c r="L23" s="9" t="n"/>
      <c r="M23" s="9" t="n"/>
      <c r="N23" s="9" t="n"/>
      <c r="O23" s="9" t="n"/>
    </row>
    <row r="24" ht="80" customHeight="1">
      <c r="A24" s="14" t="inlineStr">
        <is>
          <t>Product Management</t>
        </is>
      </c>
      <c r="B24" s="9" t="inlineStr">
        <is>
          <t>Individual contributor</t>
        </is>
      </c>
      <c r="C24" s="19" t="inlineStr">
        <is>
          <t>Intern – Product Operations &amp; Research</t>
        </is>
      </c>
      <c r="D24" s="9" t="n"/>
      <c r="E24" s="19" t="inlineStr">
        <is>
          <t>Senior Product Associate
Senior Product Analyst</t>
        </is>
      </c>
      <c r="F24" s="22" t="inlineStr">
        <is>
          <t>Associate Product Manager – POD Lead
Associate Product Manager</t>
        </is>
      </c>
      <c r="G24" s="22" t="inlineStr">
        <is>
          <t>Product Manager</t>
        </is>
      </c>
      <c r="H24" s="22" t="inlineStr">
        <is>
          <t>Senior Product Manager</t>
        </is>
      </c>
      <c r="I24" s="9" t="n"/>
      <c r="J24" s="9" t="n"/>
      <c r="K24" s="9" t="n"/>
      <c r="L24" s="9" t="n"/>
      <c r="M24" s="9" t="n"/>
      <c r="N24" s="9" t="n"/>
      <c r="O24" s="9" t="n"/>
    </row>
    <row r="25" ht="28" customHeight="1">
      <c r="A25" s="14" t="inlineStr">
        <is>
          <t>Product Management</t>
        </is>
      </c>
      <c r="B25" s="9" t="inlineStr">
        <is>
          <t>Manager</t>
        </is>
      </c>
      <c r="C25" s="9" t="n"/>
      <c r="D25" s="9" t="n"/>
      <c r="E25" s="9" t="n"/>
      <c r="F25" s="9" t="n"/>
      <c r="G25" s="22" t="inlineStr">
        <is>
          <t>Product Manager</t>
        </is>
      </c>
      <c r="H25" s="9" t="n"/>
      <c r="I25" s="9" t="n"/>
      <c r="J25" s="9" t="n"/>
      <c r="K25" s="9" t="n"/>
      <c r="L25" s="9" t="n"/>
      <c r="M25" s="9" t="n"/>
      <c r="N25" s="9" t="n"/>
      <c r="O25" s="9" t="n"/>
    </row>
    <row r="26" ht="93" customHeight="1">
      <c r="A26" s="14" t="inlineStr">
        <is>
          <t>IT &amp; Infrastructure</t>
        </is>
      </c>
      <c r="B26" s="9" t="inlineStr">
        <is>
          <t>Individual contributor</t>
        </is>
      </c>
      <c r="C26" s="9" t="n"/>
      <c r="D26" s="9" t="n"/>
      <c r="E26" s="19" t="inlineStr">
        <is>
          <t>Senior System Administrator
Infrastructure Specialist
+1 more</t>
        </is>
      </c>
      <c r="F26" s="22" t="inlineStr">
        <is>
          <t>Infrastructure Specialist
Infrastructure Specialist – POD Lead</t>
        </is>
      </c>
      <c r="G26" s="9" t="n"/>
      <c r="H26" s="9" t="n"/>
      <c r="I26" s="9" t="n"/>
      <c r="J26" s="9" t="n"/>
      <c r="K26" s="9" t="n"/>
      <c r="L26" s="9" t="n"/>
      <c r="M26" s="9" t="n"/>
      <c r="N26" s="9" t="n"/>
      <c r="O26" s="9" t="n"/>
    </row>
    <row r="27" ht="41" customHeight="1">
      <c r="A27" s="14" t="inlineStr">
        <is>
          <t>IT &amp; Infrastructure</t>
        </is>
      </c>
      <c r="B27" s="9" t="inlineStr">
        <is>
          <t>Manager</t>
        </is>
      </c>
      <c r="C27" s="9" t="n"/>
      <c r="D27" s="9" t="n"/>
      <c r="E27" s="9" t="n"/>
      <c r="F27" s="22" t="inlineStr">
        <is>
          <t>IT Infrastructure Manager</t>
        </is>
      </c>
      <c r="G27" s="22" t="inlineStr">
        <is>
          <t>Senior IT Manager</t>
        </is>
      </c>
      <c r="H27" s="9" t="n"/>
      <c r="I27" s="9" t="n"/>
      <c r="J27" s="9" t="n"/>
      <c r="K27" s="9" t="n"/>
      <c r="L27" s="9" t="n"/>
      <c r="M27" s="9" t="n"/>
      <c r="N27" s="9" t="n"/>
      <c r="O27" s="9" t="n"/>
    </row>
    <row r="28" ht="54" customHeight="1">
      <c r="A28" s="14" t="inlineStr">
        <is>
          <t>Data &amp; Analytics</t>
        </is>
      </c>
      <c r="B28" s="9" t="inlineStr">
        <is>
          <t>Individual contributor</t>
        </is>
      </c>
      <c r="C28" s="9" t="n"/>
      <c r="D28" s="19" t="inlineStr">
        <is>
          <t>MIS Associate</t>
        </is>
      </c>
      <c r="E28" s="19" t="inlineStr">
        <is>
          <t>Senior Data Analyst
MIS Specialist</t>
        </is>
      </c>
      <c r="F28" s="22" t="inlineStr">
        <is>
          <t>Data Specialist</t>
        </is>
      </c>
      <c r="G28" s="9" t="n"/>
      <c r="H28" s="9" t="n"/>
      <c r="I28" s="9" t="n"/>
      <c r="J28" s="9" t="n"/>
      <c r="K28" s="9" t="n"/>
      <c r="L28" s="9" t="n"/>
      <c r="M28" s="9" t="n"/>
      <c r="N28" s="9" t="n"/>
      <c r="O28" s="9" t="n"/>
    </row>
    <row r="29" ht="28" customHeight="1">
      <c r="A29" s="14" t="inlineStr">
        <is>
          <t>Data &amp; Analytics</t>
        </is>
      </c>
      <c r="B29" s="9" t="inlineStr">
        <is>
          <t>Manager</t>
        </is>
      </c>
      <c r="C29" s="9" t="n"/>
      <c r="D29" s="9" t="n"/>
      <c r="E29" s="9" t="n"/>
      <c r="F29" s="9" t="n"/>
      <c r="G29" s="22" t="inlineStr">
        <is>
          <t>Data Operations Manager</t>
        </is>
      </c>
      <c r="H29" s="9" t="n"/>
      <c r="I29" s="9" t="n"/>
      <c r="J29" s="9" t="n"/>
      <c r="K29" s="9" t="n"/>
      <c r="L29" s="9" t="n"/>
      <c r="M29" s="9" t="n"/>
      <c r="N29" s="9" t="n"/>
      <c r="O29" s="9" t="n"/>
    </row>
    <row r="30" ht="80" customHeight="1">
      <c r="A30" s="14" t="inlineStr">
        <is>
          <t>Finance &amp; Accounts</t>
        </is>
      </c>
      <c r="B30" s="9" t="inlineStr">
        <is>
          <t>Individual contributor</t>
        </is>
      </c>
      <c r="C30" s="9" t="n"/>
      <c r="D30" s="9" t="n"/>
      <c r="E30" s="19" t="inlineStr">
        <is>
          <t>Senior Accounts Executive</t>
        </is>
      </c>
      <c r="F30" s="22" t="inlineStr">
        <is>
          <t>Finance Specialist
Accounts Specialist – POD Lead
+1 more</t>
        </is>
      </c>
      <c r="G30" s="22" t="inlineStr">
        <is>
          <t>Senior Finance Specialist – POD Lead</t>
        </is>
      </c>
      <c r="H30" s="9" t="n"/>
      <c r="I30" s="9" t="n"/>
      <c r="J30" s="9" t="n"/>
      <c r="K30" s="9" t="n"/>
      <c r="L30" s="9" t="n"/>
      <c r="M30" s="9" t="n"/>
      <c r="N30" s="9" t="n"/>
      <c r="O30" s="9" t="n"/>
    </row>
    <row r="31" ht="93" customHeight="1">
      <c r="A31" s="14" t="inlineStr">
        <is>
          <t>Finance &amp; Accounts</t>
        </is>
      </c>
      <c r="B31" s="9" t="inlineStr">
        <is>
          <t>Manager</t>
        </is>
      </c>
      <c r="C31" s="9" t="n"/>
      <c r="D31" s="9" t="n"/>
      <c r="E31" s="9" t="n"/>
      <c r="F31" s="9" t="n"/>
      <c r="G31" s="9" t="n"/>
      <c r="H31" s="9" t="n"/>
      <c r="I31" s="9" t="n"/>
      <c r="J31" s="28" t="inlineStr">
        <is>
          <t>Associate Head – Admin &amp; Internal Audit
Associate Head – Finance &amp; Accounts</t>
        </is>
      </c>
      <c r="K31" s="9" t="n"/>
      <c r="L31" s="9" t="n"/>
      <c r="M31" s="9" t="n"/>
      <c r="N31" s="9" t="n"/>
      <c r="O31" s="9" t="n"/>
    </row>
    <row r="32" ht="93" customHeight="1">
      <c r="A32" s="14" t="inlineStr">
        <is>
          <t>Engineering &amp; Architecture</t>
        </is>
      </c>
      <c r="B32" s="9" t="inlineStr">
        <is>
          <t>Individual contributor</t>
        </is>
      </c>
      <c r="C32" s="9" t="n"/>
      <c r="D32" s="9" t="n"/>
      <c r="E32" s="9" t="n"/>
      <c r="F32" s="9" t="n"/>
      <c r="G32" s="9" t="n"/>
      <c r="H32" s="22" t="inlineStr">
        <is>
          <t>Technical Architect
Associate Technical Architect – POD Lead
+1 more</t>
        </is>
      </c>
      <c r="I32" s="9" t="n"/>
      <c r="J32" s="28" t="inlineStr">
        <is>
          <t>Technical Architect
Solution Architect</t>
        </is>
      </c>
      <c r="K32" s="9" t="n"/>
      <c r="L32" s="9" t="n"/>
      <c r="M32" s="9" t="n"/>
      <c r="N32" s="9" t="n"/>
      <c r="O32" s="9" t="n"/>
    </row>
    <row r="33" ht="67" customHeight="1">
      <c r="A33" s="14" t="inlineStr">
        <is>
          <t>Engineering &amp; Architecture</t>
        </is>
      </c>
      <c r="B33" s="9" t="inlineStr">
        <is>
          <t>Manager</t>
        </is>
      </c>
      <c r="C33" s="9" t="n"/>
      <c r="D33" s="9" t="n"/>
      <c r="E33" s="9" t="n"/>
      <c r="F33" s="9" t="n"/>
      <c r="G33" s="9" t="n"/>
      <c r="H33" s="9" t="n"/>
      <c r="I33" s="25" t="inlineStr">
        <is>
          <t>Practice Lead – Solution &amp; Technical Architecture · Player-Coach</t>
        </is>
      </c>
      <c r="J33" s="9" t="n"/>
      <c r="K33" s="9" t="n"/>
      <c r="L33" s="9" t="n"/>
      <c r="M33" s="9" t="n"/>
      <c r="N33" s="9" t="n"/>
      <c r="O33" s="9" t="n"/>
    </row>
    <row r="34" ht="93" customHeight="1">
      <c r="A34" s="14" t="inlineStr">
        <is>
          <t>Executive Leadership</t>
        </is>
      </c>
      <c r="B34" s="9" t="inlineStr">
        <is>
          <t>Manager</t>
        </is>
      </c>
      <c r="C34" s="9" t="n"/>
      <c r="D34" s="9" t="n"/>
      <c r="E34" s="9" t="n"/>
      <c r="F34" s="9" t="n"/>
      <c r="G34" s="9" t="n"/>
      <c r="H34" s="9" t="n"/>
      <c r="I34" s="9" t="n"/>
      <c r="J34" s="9" t="n"/>
      <c r="K34" s="9" t="n"/>
      <c r="L34" s="34" t="inlineStr">
        <is>
          <t>Senior Vice President – Customer Experience
Business Head – iDEAL</t>
        </is>
      </c>
      <c r="M34" s="34" t="inlineStr">
        <is>
          <t>Business Head
Business Head – SupTech &amp; Bank-RegTech
+1 more</t>
        </is>
      </c>
      <c r="N34" s="37" t="inlineStr">
        <is>
          <t>Chief Revenue Officer
Chief Financial Officer
+2 more</t>
        </is>
      </c>
      <c r="O34" s="37" t="inlineStr">
        <is>
          <t>Chief Executive Officer</t>
        </is>
      </c>
    </row>
    <row r="35" ht="67" customHeight="1">
      <c r="A35" s="14" t="inlineStr">
        <is>
          <t>Human Resources</t>
        </is>
      </c>
      <c r="B35" s="9" t="inlineStr">
        <is>
          <t>Individual contributor</t>
        </is>
      </c>
      <c r="C35" s="9" t="n"/>
      <c r="D35" s="19" t="inlineStr">
        <is>
          <t>HR Executive</t>
        </is>
      </c>
      <c r="E35" s="19" t="inlineStr">
        <is>
          <t>Senior Talent Acquisition Executive</t>
        </is>
      </c>
      <c r="F35" s="22" t="inlineStr">
        <is>
          <t>HR Specialist
HR Specialist – POD Lead</t>
        </is>
      </c>
      <c r="G35" s="22" t="inlineStr">
        <is>
          <t>Senior Talent Acquisition Specialist</t>
        </is>
      </c>
      <c r="H35" s="22" t="inlineStr">
        <is>
          <t>Lead HR Specialist – Transformation &amp; OD</t>
        </is>
      </c>
      <c r="I35" s="9" t="n"/>
      <c r="J35" s="9" t="n"/>
      <c r="K35" s="9" t="n"/>
      <c r="L35" s="9" t="n"/>
      <c r="M35" s="9" t="n"/>
      <c r="N35" s="9" t="n"/>
      <c r="O35" s="9" t="n"/>
    </row>
    <row r="36" ht="41" customHeight="1">
      <c r="A36" s="14" t="inlineStr">
        <is>
          <t>Human Resources</t>
        </is>
      </c>
      <c r="B36" s="9" t="inlineStr">
        <is>
          <t>Manager</t>
        </is>
      </c>
      <c r="C36" s="9" t="n"/>
      <c r="D36" s="9" t="n"/>
      <c r="E36" s="9" t="n"/>
      <c r="F36" s="9" t="n"/>
      <c r="G36" s="9" t="n"/>
      <c r="H36" s="9" t="n"/>
      <c r="I36" s="9" t="n"/>
      <c r="J36" s="9" t="n"/>
      <c r="K36" s="9" t="n"/>
      <c r="L36" s="9" t="n"/>
      <c r="M36" s="34" t="inlineStr">
        <is>
          <t>Vice President – Human Resources</t>
        </is>
      </c>
      <c r="N36" s="9" t="n"/>
      <c r="O36" s="9" t="n"/>
    </row>
    <row r="37" ht="80" customHeight="1">
      <c r="A37" s="14" t="inlineStr">
        <is>
          <t>Administration, Legal &amp; Secretarial</t>
        </is>
      </c>
      <c r="B37" s="9" t="inlineStr">
        <is>
          <t>Individual contributor</t>
        </is>
      </c>
      <c r="C37" s="19" t="inlineStr">
        <is>
          <t>Intern – Company Secretarial &amp; Legal</t>
        </is>
      </c>
      <c r="D37" s="9" t="n"/>
      <c r="E37" s="19" t="inlineStr">
        <is>
          <t>Senior Administration Executive
Senior Secretarial Executive</t>
        </is>
      </c>
      <c r="F37" s="9" t="n"/>
      <c r="G37" s="9" t="n"/>
      <c r="H37" s="9" t="n"/>
      <c r="I37" s="9" t="n"/>
      <c r="J37" s="28" t="inlineStr">
        <is>
          <t>Company Secretary – POD Lead</t>
        </is>
      </c>
      <c r="K37" s="9" t="n"/>
      <c r="L37" s="9" t="n"/>
      <c r="M37" s="9" t="n"/>
      <c r="N37" s="9" t="n"/>
      <c r="O37" s="9" t="n"/>
    </row>
    <row r="38" ht="41" customHeight="1">
      <c r="A38" s="14" t="inlineStr">
        <is>
          <t>Administration, Legal &amp; Secretarial</t>
        </is>
      </c>
      <c r="B38" s="9" t="inlineStr">
        <is>
          <t>Manager</t>
        </is>
      </c>
      <c r="C38" s="9" t="n"/>
      <c r="D38" s="9" t="n"/>
      <c r="E38" s="9" t="n"/>
      <c r="F38" s="9" t="n"/>
      <c r="G38" s="22" t="inlineStr">
        <is>
          <t>Manager – Administration</t>
        </is>
      </c>
      <c r="H38" s="9" t="n"/>
      <c r="I38" s="9" t="n"/>
      <c r="J38" s="9" t="n"/>
      <c r="K38" s="9" t="n"/>
      <c r="L38" s="9" t="n"/>
      <c r="M38" s="9" t="n"/>
      <c r="N38" s="9" t="n"/>
      <c r="O38" s="9" t="n"/>
    </row>
    <row r="39" ht="67" customHeight="1">
      <c r="A39" s="14" t="inlineStr">
        <is>
          <t>Solution Consulting &amp; Implementation</t>
        </is>
      </c>
      <c r="B39" s="9" t="inlineStr">
        <is>
          <t>Individual contributor</t>
        </is>
      </c>
      <c r="C39" s="9" t="n"/>
      <c r="D39" s="9" t="n"/>
      <c r="E39" s="19" t="inlineStr">
        <is>
          <t>Senior Functional Analyst</t>
        </is>
      </c>
      <c r="F39" s="22" t="inlineStr">
        <is>
          <t>Functional Specialist
Functional Specialist – POD Lead</t>
        </is>
      </c>
      <c r="G39" s="22" t="inlineStr">
        <is>
          <t>Senior Functional Specialist</t>
        </is>
      </c>
      <c r="H39" s="9" t="n"/>
      <c r="I39" s="9" t="n"/>
      <c r="J39" s="9" t="n"/>
      <c r="K39" s="9" t="n"/>
      <c r="L39" s="9" t="n"/>
      <c r="M39" s="9" t="n"/>
      <c r="N39" s="9" t="n"/>
      <c r="O39" s="9" t="n"/>
    </row>
    <row r="40" ht="54" customHeight="1">
      <c r="A40" s="14" t="inlineStr">
        <is>
          <t>Design &amp; Creative</t>
        </is>
      </c>
      <c r="B40" s="9" t="inlineStr">
        <is>
          <t>Individual contributor</t>
        </is>
      </c>
      <c r="C40" s="9" t="n"/>
      <c r="D40" s="19" t="inlineStr">
        <is>
          <t>Designer</t>
        </is>
      </c>
      <c r="E40" s="19" t="inlineStr">
        <is>
          <t>Senior Designer
Senior Product Designer</t>
        </is>
      </c>
      <c r="F40" s="22" t="inlineStr">
        <is>
          <t>Design Specialist – POD Lead</t>
        </is>
      </c>
      <c r="G40" s="9" t="n"/>
      <c r="H40" s="9" t="n"/>
      <c r="I40" s="9" t="n"/>
      <c r="J40" s="9" t="n"/>
      <c r="K40" s="9" t="n"/>
      <c r="L40" s="9" t="n"/>
      <c r="M40" s="9" t="n"/>
      <c r="N40" s="9" t="n"/>
      <c r="O40" s="9" t="n"/>
    </row>
  </sheetData>
  <mergeCells count="3">
    <mergeCell ref="A1:O1"/>
    <mergeCell ref="A3:O3"/>
    <mergeCell ref="A2:O2"/>
  </mergeCells>
  <hyperlinks>
    <hyperlink xmlns:r="http://schemas.openxmlformats.org/officeDocument/2006/relationships" ref="P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tableParts count="1">
    <tablePart xmlns:r="http://schemas.openxmlformats.org/officeDocument/2006/relationships" r:id="rId2"/>
  </tableParts>
</worksheet>
</file>

<file path=xl/worksheets/sheet30.xml><?xml version="1.0" encoding="utf-8"?>
<worksheet xmlns="http://schemas.openxmlformats.org/spreadsheetml/2006/main">
  <sheetPr>
    <tabColor rgb="002E75B6"/>
    <outlinePr summaryBelow="1" summaryRight="1"/>
    <pageSetUpPr fitToPage="1"/>
  </sheetPr>
  <dimension ref="A1:M243"/>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13" customWidth="1" min="1" max="1"/>
    <col width="26" customWidth="1" min="2" max="2"/>
    <col width="34" customWidth="1" min="3" max="3"/>
    <col width="22" customWidth="1" min="4" max="4"/>
    <col width="22" customWidth="1" min="5" max="5"/>
    <col width="22" customWidth="1" min="6" max="6"/>
    <col width="22" customWidth="1" min="7" max="7"/>
    <col width="22" customWidth="1" min="8" max="8"/>
    <col width="26" customWidth="1" min="9" max="9"/>
    <col width="22" customWidth="1" min="10" max="10"/>
    <col width="24" customWidth="1" min="11" max="11"/>
    <col width="9" customWidth="1" min="12" max="12"/>
    <col width="13" customWidth="1" min="13" max="13"/>
  </cols>
  <sheetData>
    <row r="1" ht="34" customHeight="1">
      <c r="A1" s="1" t="inlineStr">
        <is>
          <t>Competency library — every competency we use, with its skill levels, market standard and survey evidence</t>
        </is>
      </c>
      <c r="M1" s="99" t="inlineStr">
        <is>
          <t>◂ Contents</t>
        </is>
      </c>
    </row>
    <row r="2" ht="32" customHeight="1">
      <c r="A2" s="3" t="inlineStr">
        <is>
          <r>
            <rPr>
              <rFont val="Calibri"/>
              <b val="1"/>
              <i val="1"/>
              <color rgb="00404040"/>
              <sz val="10"/>
            </rPr>
            <t>Sheet 20 · The full framework in one place:</t>
          </r>
          <r>
            <rPr>
              <rFont val="Calibri"/>
              <i val="1"/>
              <color rgb="00404040"/>
              <sz val="10"/>
            </rPr>
            <t xml:space="preserve"> 14 behavioural competencies · core, future-ready, leadership and 114 functional competencies across 19 job families, each with what it looks like at levels 1–5, the market standard behind it, credentials and how to assess it — then the skills captured through the survey · counted.</t>
          </r>
        </is>
      </c>
    </row>
    <row r="3">
      <c r="A3" s="4" t="inlineStr">
        <is>
          <t>IRIS · Job Architecture &amp; Job Design · Final v1.12 · October 2026 · Internal — Confidential</t>
        </is>
      </c>
    </row>
    <row r="4"/>
    <row r="5" ht="20" customHeight="1">
      <c r="A5" s="6" t="inlineStr">
        <is>
          <t>The skill scale · 1–5, SFIA-aligned</t>
        </is>
      </c>
    </row>
    <row r="6" ht="15" customHeight="1">
      <c r="A6" s="7" t="inlineStr">
        <is>
          <t>Level</t>
        </is>
      </c>
      <c r="B6" s="7" t="inlineStr">
        <is>
          <t>Name</t>
        </is>
      </c>
      <c r="C6" s="63" t="n"/>
      <c r="D6" s="7" t="inlineStr">
        <is>
          <t>SFIA</t>
        </is>
      </c>
      <c r="E6" s="63" t="n"/>
      <c r="F6" s="7" t="inlineStr">
        <is>
          <t>What it means</t>
        </is>
      </c>
      <c r="G6" s="64" t="n"/>
      <c r="H6" s="64" t="n"/>
      <c r="I6" s="64" t="n"/>
      <c r="J6" s="64" t="n"/>
      <c r="K6" s="64" t="n"/>
      <c r="L6" s="63" t="n"/>
    </row>
    <row r="7" ht="15" customHeight="1">
      <c r="A7" s="17" t="n">
        <v>1</v>
      </c>
      <c r="B7" s="9" t="inlineStr">
        <is>
          <t>Awareness</t>
        </is>
      </c>
      <c r="C7" s="63" t="n"/>
      <c r="D7" s="9" t="inlineStr">
        <is>
          <t>SFIA 1–2 · Follow / Assist</t>
        </is>
      </c>
      <c r="E7" s="63" t="n"/>
      <c r="F7" s="9" t="inlineStr">
        <is>
          <t>Knows the concepts; does defined tasks with close guidance; all work reviewed.</t>
        </is>
      </c>
      <c r="G7" s="64" t="n"/>
      <c r="H7" s="64" t="n"/>
      <c r="I7" s="64" t="n"/>
      <c r="J7" s="64" t="n"/>
      <c r="K7" s="64" t="n"/>
      <c r="L7" s="63" t="n"/>
    </row>
    <row r="8" ht="15" customHeight="1">
      <c r="A8" s="17" t="n">
        <v>2</v>
      </c>
      <c r="B8" s="9" t="inlineStr">
        <is>
          <t>Working</t>
        </is>
      </c>
      <c r="C8" s="63" t="n"/>
      <c r="D8" s="9" t="inlineStr">
        <is>
          <t>SFIA 2–3 · Assist / Apply</t>
        </is>
      </c>
      <c r="E8" s="63" t="n"/>
      <c r="F8" s="9" t="inlineStr">
        <is>
          <t>Applies the skill to standard work with routine guidance; work spot-checked.</t>
        </is>
      </c>
      <c r="G8" s="64" t="n"/>
      <c r="H8" s="64" t="n"/>
      <c r="I8" s="64" t="n"/>
      <c r="J8" s="64" t="n"/>
      <c r="K8" s="64" t="n"/>
      <c r="L8" s="63" t="n"/>
    </row>
    <row r="9" ht="15" customHeight="1">
      <c r="A9" s="17" t="n">
        <v>3</v>
      </c>
      <c r="B9" s="9" t="inlineStr">
        <is>
          <t>Practitioner</t>
        </is>
      </c>
      <c r="C9" s="63" t="n"/>
      <c r="D9" s="9" t="inlineStr">
        <is>
          <t>SFIA 3–4 · Apply / Enable</t>
        </is>
      </c>
      <c r="E9" s="63" t="n"/>
      <c r="F9" s="9" t="inlineStr">
        <is>
          <t>Applies independently to varied, non-routine work; reviews and helps others.</t>
        </is>
      </c>
      <c r="G9" s="64" t="n"/>
      <c r="H9" s="64" t="n"/>
      <c r="I9" s="64" t="n"/>
      <c r="J9" s="64" t="n"/>
      <c r="K9" s="64" t="n"/>
      <c r="L9" s="63" t="n"/>
    </row>
    <row r="10" ht="15" customHeight="1">
      <c r="A10" s="17" t="n">
        <v>4</v>
      </c>
      <c r="B10" s="9" t="inlineStr">
        <is>
          <t>Advanced</t>
        </is>
      </c>
      <c r="C10" s="63" t="n"/>
      <c r="D10" s="9" t="inlineStr">
        <is>
          <t>SFIA 4–5 · Enable / Ensure</t>
        </is>
      </c>
      <c r="E10" s="63" t="n"/>
      <c r="F10" s="9" t="inlineStr">
        <is>
          <t>Solves the hardest problems; sets standards; coaches others; the recognised go-to.</t>
        </is>
      </c>
      <c r="G10" s="64" t="n"/>
      <c r="H10" s="64" t="n"/>
      <c r="I10" s="64" t="n"/>
      <c r="J10" s="64" t="n"/>
      <c r="K10" s="64" t="n"/>
      <c r="L10" s="63" t="n"/>
    </row>
    <row r="11" ht="15" customHeight="1">
      <c r="A11" s="17" t="n">
        <v>5</v>
      </c>
      <c r="B11" s="9" t="inlineStr">
        <is>
          <t>Expert / Strategic</t>
        </is>
      </c>
      <c r="C11" s="63" t="n"/>
      <c r="D11" s="9" t="inlineStr">
        <is>
          <t>SFIA 6–7 · Initiate / Set strategy</t>
        </is>
      </c>
      <c r="E11" s="63" t="n"/>
      <c r="F11" s="9" t="inlineStr">
        <is>
          <t>Shapes direction across IRIS or the industry; creates new methods; external authority.</t>
        </is>
      </c>
      <c r="G11" s="64" t="n"/>
      <c r="H11" s="64" t="n"/>
      <c r="I11" s="64" t="n"/>
      <c r="J11" s="64" t="n"/>
      <c r="K11" s="64" t="n"/>
      <c r="L11" s="63" t="n"/>
    </row>
    <row r="12" ht="15" customHeight="1"/>
    <row r="13" ht="20" customHeight="1">
      <c r="A13" s="6" t="inlineStr">
        <is>
          <t>Behavioural competencies — everyone · core, future-ready and leaders · leadership</t>
        </is>
      </c>
    </row>
    <row r="14" ht="15" customHeight="1">
      <c r="A14" s="12" t="inlineStr">
        <is>
          <t>Required level by career level is on sheet 4 / 7; the person card shows the level each role needs.</t>
        </is>
      </c>
    </row>
    <row r="15" ht="28" customHeight="1">
      <c r="A15" s="7" t="inlineStr">
        <is>
          <t>Cluster</t>
        </is>
      </c>
      <c r="B15" s="7" t="inlineStr">
        <is>
          <t>Competency</t>
        </is>
      </c>
      <c r="C15" s="7" t="inlineStr">
        <is>
          <t>Definition</t>
        </is>
      </c>
      <c r="D15" s="7" t="inlineStr">
        <is>
          <t>Level 1</t>
        </is>
      </c>
      <c r="E15" s="7" t="inlineStr">
        <is>
          <t>Level 2</t>
        </is>
      </c>
      <c r="F15" s="7" t="inlineStr">
        <is>
          <t>Level 3</t>
        </is>
      </c>
      <c r="G15" s="7" t="inlineStr">
        <is>
          <t>Level 4</t>
        </is>
      </c>
      <c r="H15" s="7" t="inlineStr">
        <is>
          <t>Level 5</t>
        </is>
      </c>
      <c r="I15" s="7" t="inlineStr">
        <is>
          <t>Market standard</t>
        </is>
      </c>
      <c r="J15" s="7" t="inlineStr">
        <is>
          <t>Interview question · levels 1–3</t>
        </is>
      </c>
      <c r="K15" s="7" t="inlineStr">
        <is>
          <t>Interview question · levels 4–5</t>
        </is>
      </c>
      <c r="L15" s="59" t="inlineStr"/>
    </row>
    <row r="16" ht="80" customHeight="1">
      <c r="A16" s="14" t="inlineStr">
        <is>
          <t>Core</t>
        </is>
      </c>
      <c r="B16" s="9" t="inlineStr">
        <is>
          <t>Ownership &amp; Accountability</t>
        </is>
      </c>
      <c r="C16" s="9" t="inlineStr">
        <is>
          <t>Owns outcomes end to end — quality, deadlines and follow-through.</t>
        </is>
      </c>
      <c r="D16" s="9" t="inlineStr">
        <is>
          <t>Completes assigned tasks on time with help</t>
        </is>
      </c>
      <c r="E16" s="9" t="inlineStr">
        <is>
          <t>Owns own deliverables; flags issues early</t>
        </is>
      </c>
      <c r="F16" s="9" t="inlineStr">
        <is>
          <t>Owns a module, client or process end to end; fixes root causes</t>
        </is>
      </c>
      <c r="G16" s="9" t="inlineStr">
        <is>
          <t>Owns team / practice outcomes; holds others to standards</t>
        </is>
      </c>
      <c r="H16" s="9" t="inlineStr">
        <is>
          <t>Owns business outcomes; builds a culture of accountability</t>
        </is>
      </c>
      <c r="I16" s="9" t="inlineStr">
        <is>
          <t>SFIA 9 autonomy; Korn Ferry</t>
        </is>
      </c>
      <c r="J16" s="9" t="inlineStr">
        <is>
          <t>Tell me about a piece of work you owned from start to finish. What went wrong, and what did you do about it?</t>
        </is>
      </c>
      <c r="K16" s="9" t="inlineStr">
        <is>
          <t>Describe a time you held a team to a standard on an outcome that mattered to the business. How did you make ownership stick?</t>
        </is>
      </c>
      <c r="L16" s="9" t="inlineStr"/>
    </row>
    <row r="17" ht="67" customHeight="1">
      <c r="A17" s="14" t="inlineStr">
        <is>
          <t>Core</t>
        </is>
      </c>
      <c r="B17" s="9" t="inlineStr">
        <is>
          <t>Problem Solving &amp; Critical Thinking</t>
        </is>
      </c>
      <c r="C17" s="9" t="inlineStr">
        <is>
          <t>Breaks problems down, finds root causes and makes sound judgements.</t>
        </is>
      </c>
      <c r="D17" s="9" t="inlineStr">
        <is>
          <t>Solves simple, familiar problems with guidance</t>
        </is>
      </c>
      <c r="E17" s="9" t="inlineStr">
        <is>
          <t>Solves routine problems with known methods</t>
        </is>
      </c>
      <c r="F17" s="9" t="inlineStr">
        <is>
          <t>Analyses non-routine problems; finds root causes</t>
        </is>
      </c>
      <c r="G17" s="9" t="inlineStr">
        <is>
          <t>Solves complex, ambiguous problems; designs new approaches</t>
        </is>
      </c>
      <c r="H17" s="9" t="inlineStr">
        <is>
          <t>Frames enterprise-level problems; sets the approach for others</t>
        </is>
      </c>
      <c r="I17" s="9" t="inlineStr">
        <is>
          <t>WEF 2025 analytical thinking; SFIA complexity</t>
        </is>
      </c>
      <c r="J17" s="9" t="inlineStr">
        <is>
          <r>
            <rPr>
              <rFont val="Calibri"/>
              <b val="1"/>
              <sz val="10"/>
            </rPr>
            <t>Walk me through a problem you solved recently:</t>
          </r>
          <r>
            <rPr>
              <rFont val="Calibri"/>
              <sz val="10"/>
            </rPr>
            <t xml:space="preserve"> how did you find the root cause and choose the fix?</t>
          </r>
        </is>
      </c>
      <c r="K17" s="9" t="inlineStr">
        <is>
          <t>Tell me about an ambiguous, high-stakes problem with no clear answer. How did you frame it and decide?</t>
        </is>
      </c>
      <c r="L17" s="9" t="inlineStr"/>
    </row>
    <row r="18" ht="80" customHeight="1">
      <c r="A18" s="14" t="inlineStr">
        <is>
          <t>Core</t>
        </is>
      </c>
      <c r="B18" s="9" t="inlineStr">
        <is>
          <t>Communication &amp; Collaboration</t>
        </is>
      </c>
      <c r="C18" s="9" t="inlineStr">
        <is>
          <t>Shares information clearly; works effectively within and across teams.</t>
        </is>
      </c>
      <c r="D18" s="9" t="inlineStr">
        <is>
          <t>Communicates clearly within the team</t>
        </is>
      </c>
      <c r="E18" s="9" t="inlineStr">
        <is>
          <t>Explains own work clearly; cooperates across the team</t>
        </is>
      </c>
      <c r="F18" s="9" t="inlineStr">
        <is>
          <t>Communicates with clients / stakeholders; collaborates across teams</t>
        </is>
      </c>
      <c r="G18" s="9" t="inlineStr">
        <is>
          <t>Influences through communication; resolves conflict</t>
        </is>
      </c>
      <c r="H18" s="9" t="inlineStr">
        <is>
          <t>Represents IRIS externally; builds cross-business partnerships</t>
        </is>
      </c>
      <c r="I18" s="9" t="inlineStr">
        <is>
          <t>SFIA 9 collaboration &amp; communication; PMI power skills</t>
        </is>
      </c>
      <c r="J18" s="9" t="inlineStr">
        <is>
          <t>Give an example of explaining something complex to someone outside your team. How did you check they understood?</t>
        </is>
      </c>
      <c r="K18" s="9" t="inlineStr">
        <is>
          <t>Tell me about aligning several teams or senior stakeholders with different goals. What did you do to get agreement?</t>
        </is>
      </c>
      <c r="L18" s="9" t="inlineStr"/>
    </row>
    <row r="19" ht="67" customHeight="1">
      <c r="A19" s="14" t="inlineStr">
        <is>
          <t>Core</t>
        </is>
      </c>
      <c r="B19" s="9" t="inlineStr">
        <is>
          <t>Client &amp; Quality Focus</t>
        </is>
      </c>
      <c r="C19" s="9" t="inlineStr">
        <is>
          <t>Understands client needs; gets it right first time; meets SLAs.</t>
        </is>
      </c>
      <c r="D19" s="9" t="inlineStr">
        <is>
          <t>Follows quality checklists</t>
        </is>
      </c>
      <c r="E19" s="9" t="inlineStr">
        <is>
          <t>Delivers accurate work to standard and SLA</t>
        </is>
      </c>
      <c r="F19" s="9" t="inlineStr">
        <is>
          <t>Anticipates client needs; prevents errors in own area</t>
        </is>
      </c>
      <c r="G19" s="9" t="inlineStr">
        <is>
          <t>Sets quality standards; improves client experience for a team</t>
        </is>
      </c>
      <c r="H19" s="9" t="inlineStr">
        <is>
          <t>Defines client and quality strategy for a business</t>
        </is>
      </c>
      <c r="I19" s="9" t="inlineStr">
        <is>
          <t>WEF service orientation; quality-management practice</t>
        </is>
      </c>
      <c r="J19" s="9" t="inlineStr">
        <is>
          <t>Tell me about a time a client or user was unhappy with your work. What did you do?</t>
        </is>
      </c>
      <c r="K19" s="9" t="inlineStr">
        <is>
          <t>Describe how you raised quality or client outcomes across a team or service. How did you measure it?</t>
        </is>
      </c>
      <c r="L19" s="9" t="inlineStr"/>
    </row>
    <row r="20" ht="67" customHeight="1">
      <c r="A20" s="14" t="inlineStr">
        <is>
          <t>Core</t>
        </is>
      </c>
      <c r="B20" s="9" t="inlineStr">
        <is>
          <t>Learning Agility &amp; Adaptability</t>
        </is>
      </c>
      <c r="C20" s="9" t="inlineStr">
        <is>
          <t>Learns fast, adapts to change and stays resilient under pressure.</t>
        </is>
      </c>
      <c r="D20" s="9" t="inlineStr">
        <is>
          <t>Learns new tasks with structured support</t>
        </is>
      </c>
      <c r="E20" s="9" t="inlineStr">
        <is>
          <t>Picks up new tools and processes quickly</t>
        </is>
      </c>
      <c r="F20" s="9" t="inlineStr">
        <is>
          <t>Adapts to changing priorities; learns independently</t>
        </is>
      </c>
      <c r="G20" s="9" t="inlineStr">
        <is>
          <t>Leads others through change; builds team capability</t>
        </is>
      </c>
      <c r="H20" s="9" t="inlineStr">
        <is>
          <t>Anticipates change; builds a learning organisation</t>
        </is>
      </c>
      <c r="I20" s="9" t="inlineStr">
        <is>
          <t>WEF 2025 resilience, flexibility &amp; agility; curiosity &amp; lifelong learning</t>
        </is>
      </c>
      <c r="J20" s="9" t="inlineStr">
        <is>
          <t>What have you learned in the last six months, and how did you use it at work?</t>
        </is>
      </c>
      <c r="K20" s="9" t="inlineStr">
        <is>
          <t>Tell me about leading through a major change in tools, process or strategy. How did you help others adapt?</t>
        </is>
      </c>
      <c r="L20" s="9" t="inlineStr"/>
    </row>
    <row r="21" ht="54" customHeight="1">
      <c r="A21" s="14" t="inlineStr">
        <is>
          <t>Core</t>
        </is>
      </c>
      <c r="B21" s="9" t="inlineStr">
        <is>
          <t>Integrity, Compliance &amp; Information Security</t>
        </is>
      </c>
      <c r="C21" s="9" t="inlineStr">
        <is>
          <t>Acts ethically; follows Code of Conduct, POSH, data-privacy and information-security rules.</t>
        </is>
      </c>
      <c r="D21" s="9" t="inlineStr">
        <is>
          <t>Knows and follows the policies</t>
        </is>
      </c>
      <c r="E21" s="9" t="inlineStr">
        <is>
          <t>Applies policies consistently in own work</t>
        </is>
      </c>
      <c r="F21" s="9" t="inlineStr">
        <is>
          <t>Spots and escalates compliance / security risks</t>
        </is>
      </c>
      <c r="G21" s="9" t="inlineStr">
        <is>
          <t>Embeds compliance and security in team processes</t>
        </is>
      </c>
      <c r="H21" s="9" t="inlineStr">
        <is>
          <t>Sets ethical and compliance standards for the business</t>
        </is>
      </c>
      <c r="I21" s="9" t="inlineStr">
        <is>
          <t>IRIS mandatory learning path · POSH, Code of Conduct, InfoSec; SFIA security</t>
        </is>
      </c>
      <c r="J21" s="9" t="inlineStr">
        <is>
          <t>Tell me about a time you noticed a compliance or data-security risk. What did you do?</t>
        </is>
      </c>
      <c r="K21" s="9" t="inlineStr">
        <is>
          <t>How have you built compliance and information security into how your team or function works?</t>
        </is>
      </c>
      <c r="L21" s="9" t="inlineStr"/>
    </row>
    <row r="22" ht="67" customHeight="1">
      <c r="A22" s="14" t="inlineStr">
        <is>
          <t>Future-ready</t>
        </is>
      </c>
      <c r="B22" s="9" t="inlineStr">
        <is>
          <t>AI Literacy &amp; Augmentation</t>
        </is>
      </c>
      <c r="C22" s="9" t="inlineStr">
        <is>
          <t>Uses AI tools productively, checks their output critically and uses them responsibly.</t>
        </is>
      </c>
      <c r="D22" s="9" t="inlineStr">
        <is>
          <t>Aware of AI tools, their uses and risks</t>
        </is>
      </c>
      <c r="E22" s="9" t="inlineStr">
        <is>
          <t>Uses approved AI tools for routine tasks and checks the output</t>
        </is>
      </c>
      <c r="F22" s="9" t="inlineStr">
        <is>
          <t>Builds AI into own workflow; evaluates accuracy and bias</t>
        </is>
      </c>
      <c r="G22" s="9" t="inlineStr">
        <is>
          <t>Designs AI-enabled processes for a team; sets safe-use practices</t>
        </is>
      </c>
      <c r="H22" s="9" t="inlineStr">
        <is>
          <t>Leads AI strategy and governance for a function or IRIS</t>
        </is>
      </c>
      <c r="I22" s="9" t="inlineStr">
        <is>
          <t>WEF 2025 fastest-growing skill · AI &amp; big data; Digital Education Council AI-literacy framework</t>
        </is>
      </c>
      <c r="J22" s="9" t="inlineStr">
        <is>
          <t>Show me how you have used an AI tool in your work. How did you check its output?</t>
        </is>
      </c>
      <c r="K22" s="9" t="inlineStr">
        <is>
          <t>Where have you introduced AI or automation into a team's work, and how did you manage the risks?</t>
        </is>
      </c>
      <c r="L22" s="9" t="inlineStr"/>
    </row>
    <row r="23" ht="67" customHeight="1">
      <c r="A23" s="14" t="inlineStr">
        <is>
          <t>Future-ready</t>
        </is>
      </c>
      <c r="B23" s="9" t="inlineStr">
        <is>
          <t>Data Literacy &amp; Analytics</t>
        </is>
      </c>
      <c r="C23" s="9" t="inlineStr">
        <is>
          <t>Reads, questions and uses data to make decisions.</t>
        </is>
      </c>
      <c r="D23" s="9" t="inlineStr">
        <is>
          <t>Reads basic reports and numbers</t>
        </is>
      </c>
      <c r="E23" s="9" t="inlineStr">
        <is>
          <t>Uses Excel / reports to check and present data</t>
        </is>
      </c>
      <c r="F23" s="9" t="inlineStr">
        <is>
          <t>Analyses data · SQL, BI, advanced Excel to find insight</t>
        </is>
      </c>
      <c r="G23" s="9" t="inlineStr">
        <is>
          <t>Defines metrics and dashboards for a team</t>
        </is>
      </c>
      <c r="H23" s="9" t="inlineStr">
        <is>
          <t>Sets data strategy and data-driven decisions for a business</t>
        </is>
      </c>
      <c r="I23" s="9" t="inlineStr">
        <is>
          <t>WEF 2025 AI &amp; big data, analytical thinking; SFIA data skills</t>
        </is>
      </c>
      <c r="J23" s="9" t="inlineStr">
        <is>
          <t>Tell me about a decision you made using data. Where did the data come from and how reliable was it?</t>
        </is>
      </c>
      <c r="K23" s="9" t="inlineStr">
        <is>
          <t>How have you used data and metrics to steer a team, product or business decision?</t>
        </is>
      </c>
      <c r="L23" s="9" t="inlineStr"/>
    </row>
    <row r="24" ht="54" customHeight="1">
      <c r="A24" s="14" t="inlineStr">
        <is>
          <t>Future-ready</t>
        </is>
      </c>
      <c r="B24" s="9" t="inlineStr">
        <is>
          <t>Digital Fluency &amp; Automation</t>
        </is>
      </c>
      <c r="C24" s="9" t="inlineStr">
        <is>
          <t>Masters the digital tools of the role and automates repetitive work.</t>
        </is>
      </c>
      <c r="D24" s="9" t="inlineStr">
        <is>
          <t>Uses standard office and role tools</t>
        </is>
      </c>
      <c r="E24" s="9" t="inlineStr">
        <is>
          <t>Uses role tools efficiently; follows digital workflows</t>
        </is>
      </c>
      <c r="F24" s="9" t="inlineStr">
        <is>
          <t>Automates own repetitive work · macros, scripts, workflows</t>
        </is>
      </c>
      <c r="G24" s="9" t="inlineStr">
        <is>
          <t>Automates team processes; selects tools</t>
        </is>
      </c>
      <c r="H24" s="9" t="inlineStr">
        <is>
          <t>Drives digital transformation across a business</t>
        </is>
      </c>
      <c r="I24" s="9" t="inlineStr">
        <is>
          <t>WEF 2025 technological literacy; SFIA digital mindset</t>
        </is>
      </c>
      <c r="J24" s="9" t="inlineStr">
        <is>
          <t>Which tools do you use to work faster? Give an example of a manual step you automated.</t>
        </is>
      </c>
      <c r="K24" s="9" t="inlineStr">
        <is>
          <t>Tell me about a process you digitised or automated across a team. What changed?</t>
        </is>
      </c>
      <c r="L24" s="9" t="inlineStr"/>
    </row>
    <row r="25" ht="67" customHeight="1">
      <c r="A25" s="14" t="inlineStr">
        <is>
          <t>Future-ready</t>
        </is>
      </c>
      <c r="B25" s="9" t="inlineStr">
        <is>
          <t>Innovation &amp; Continuous Improvement</t>
        </is>
      </c>
      <c r="C25" s="9" t="inlineStr">
        <is>
          <t>Finds better ways of working and turns ideas into measurable improvements.</t>
        </is>
      </c>
      <c r="D25" s="9" t="inlineStr">
        <is>
          <t>Suggests small improvements</t>
        </is>
      </c>
      <c r="E25" s="9" t="inlineStr">
        <is>
          <t>Improves own work methods</t>
        </is>
      </c>
      <c r="F25" s="9" t="inlineStr">
        <is>
          <t>Delivers measurable improvements in own area</t>
        </is>
      </c>
      <c r="G25" s="9" t="inlineStr">
        <is>
          <t>Leads improvement initiatives for a team</t>
        </is>
      </c>
      <c r="H25" s="9" t="inlineStr">
        <is>
          <t>Creates new products, methods or business models</t>
        </is>
      </c>
      <c r="I25" s="9" t="inlineStr">
        <is>
          <t>WEF 2025 creative thinking; SFIA improvement mindset &amp; creativity</t>
        </is>
      </c>
      <c r="J25" s="9" t="inlineStr">
        <is>
          <t>Tell me about an improvement you suggested and made happen.</t>
        </is>
      </c>
      <c r="K25" s="9" t="inlineStr">
        <is>
          <t>Describe an improvement programme you led. How did you choose what to change and prove it worked?</t>
        </is>
      </c>
      <c r="L25" s="9" t="inlineStr"/>
    </row>
    <row r="26" ht="67" customHeight="1">
      <c r="A26" s="14" t="inlineStr">
        <is>
          <t>Leadership</t>
        </is>
      </c>
      <c r="B26" s="9" t="inlineStr">
        <is>
          <t>Leading &amp; Developing People</t>
        </is>
      </c>
      <c r="C26" s="9" t="inlineStr">
        <is>
          <t>Sets direction, coaches and grows people; builds capability.</t>
        </is>
      </c>
      <c r="D26" s="9" t="inlineStr">
        <is>
          <t>Not required</t>
        </is>
      </c>
      <c r="E26" s="9" t="inlineStr">
        <is>
          <t>Guides and reviews 1–3 people · POD Lead</t>
        </is>
      </c>
      <c r="F26" s="9" t="inlineStr">
        <is>
          <t>Leads a team; coaches and gives feedback</t>
        </is>
      </c>
      <c r="G26" s="9" t="inlineStr">
        <is>
          <t>Leads leaders; builds bench strength</t>
        </is>
      </c>
      <c r="H26" s="9" t="inlineStr">
        <is>
          <t>Builds the leadership pipeline and culture</t>
        </is>
      </c>
      <c r="I26" s="9" t="inlineStr">
        <is>
          <t>PMI power skills · coaching &amp; mentoring; WEF talent management</t>
        </is>
      </c>
      <c r="J26" s="9" t="inlineStr">
        <is>
          <t>Tell me about helping a colleague or junior get better at something.</t>
        </is>
      </c>
      <c r="K26" s="9" t="inlineStr">
        <is>
          <r>
            <rPr>
              <rFont val="Calibri"/>
              <b val="1"/>
              <sz val="10"/>
            </rPr>
            <t>Tell me about building a team:</t>
          </r>
          <r>
            <rPr>
              <rFont val="Calibri"/>
              <sz val="10"/>
            </rPr>
            <t xml:space="preserve"> who you hired, how you developed them, and a difficult people decision you made.</t>
          </r>
        </is>
      </c>
      <c r="L26" s="9" t="inlineStr"/>
    </row>
    <row r="27" ht="67" customHeight="1">
      <c r="A27" s="14" t="inlineStr">
        <is>
          <t>Leadership</t>
        </is>
      </c>
      <c r="B27" s="9" t="inlineStr">
        <is>
          <t>Decision Making &amp; Delegation</t>
        </is>
      </c>
      <c r="C27" s="9" t="inlineStr">
        <is>
          <t>Makes timely decisions with the right information; delegates well.</t>
        </is>
      </c>
      <c r="D27" s="9" t="inlineStr">
        <is>
          <t>Not required</t>
        </is>
      </c>
      <c r="E27" s="9" t="inlineStr">
        <is>
          <t>Decides allocation within a pod</t>
        </is>
      </c>
      <c r="F27" s="9" t="inlineStr">
        <is>
          <t>Decides team priorities and resourcing</t>
        </is>
      </c>
      <c r="G27" s="9" t="inlineStr">
        <is>
          <t>Makes cross-team trade-offs; delegates authority</t>
        </is>
      </c>
      <c r="H27" s="9" t="inlineStr">
        <is>
          <t>Makes enterprise / business-line decisions</t>
        </is>
      </c>
      <c r="I27" s="9" t="inlineStr">
        <is>
          <t>SFIA 9 decision-making; Korn Ferry</t>
        </is>
      </c>
      <c r="J27" s="9" t="inlineStr">
        <is>
          <t>Give an example of a decision you made on your own. How did you know it was yours to make?</t>
        </is>
      </c>
      <c r="K27" s="9" t="inlineStr">
        <is>
          <t>Tell me about a decision you delegated and one you kept. Why, and what happened?</t>
        </is>
      </c>
      <c r="L27" s="9" t="inlineStr"/>
    </row>
    <row r="28" ht="67" customHeight="1">
      <c r="A28" s="14" t="inlineStr">
        <is>
          <t>Leadership</t>
        </is>
      </c>
      <c r="B28" s="9" t="inlineStr">
        <is>
          <t>Strategic &amp; Business Acumen</t>
        </is>
      </c>
      <c r="C28" s="9" t="inlineStr">
        <is>
          <t>Links work to business goals, finances, markets and regulation.</t>
        </is>
      </c>
      <c r="D28" s="9" t="inlineStr">
        <is>
          <t>Not required</t>
        </is>
      </c>
      <c r="E28" s="9" t="inlineStr">
        <is>
          <t>Understands how own work drives client and business results</t>
        </is>
      </c>
      <c r="F28" s="9" t="inlineStr">
        <is>
          <t>Plans team work against business goals and budgets</t>
        </is>
      </c>
      <c r="G28" s="9" t="inlineStr">
        <is>
          <t>Shapes functional strategy, budget and market approach</t>
        </is>
      </c>
      <c r="H28" s="9" t="inlineStr">
        <is>
          <t>Sets business strategy and P&amp;L direction</t>
        </is>
      </c>
      <c r="I28" s="9" t="inlineStr">
        <is>
          <t>PMI business acumen; WEF leadership &amp; social influence</t>
        </is>
      </c>
      <c r="J28" s="9" t="inlineStr">
        <is>
          <t>How does your work connect to how IRIS makes money or serves regulators and clients?</t>
        </is>
      </c>
      <c r="K28" s="9" t="inlineStr">
        <is>
          <t>Tell me about a strategy or plan you shaped. What trade-offs did you make, and what was the business result?</t>
        </is>
      </c>
      <c r="L28" s="9" t="inlineStr"/>
    </row>
    <row r="29" ht="67" customHeight="1">
      <c r="A29" s="14" t="inlineStr">
        <is>
          <t>Leadership</t>
        </is>
      </c>
      <c r="B29" s="9" t="inlineStr">
        <is>
          <t>Influence &amp; Change Leadership</t>
        </is>
      </c>
      <c r="C29" s="9" t="inlineStr">
        <is>
          <t>Builds support across stakeholders and leads change.</t>
        </is>
      </c>
      <c r="D29" s="9" t="inlineStr">
        <is>
          <t>Not required</t>
        </is>
      </c>
      <c r="E29" s="9" t="inlineStr">
        <is>
          <t>Influences peers in own area</t>
        </is>
      </c>
      <c r="F29" s="9" t="inlineStr">
        <is>
          <t>Influences across teams; leads local change</t>
        </is>
      </c>
      <c r="G29" s="9" t="inlineStr">
        <is>
          <t>Influences senior stakeholders; leads function-wide change</t>
        </is>
      </c>
      <c r="H29" s="9" t="inlineStr">
        <is>
          <t>Leads enterprise change; influences clients, regulators and partners</t>
        </is>
      </c>
      <c r="I29" s="9" t="inlineStr">
        <is>
          <t>WEF leadership &amp; social influence; PMI power skills</t>
        </is>
      </c>
      <c r="J29" s="9" t="inlineStr">
        <is>
          <t>Tell me about persuading someone to change how they worked, without authority over them.</t>
        </is>
      </c>
      <c r="K29" s="9" t="inlineStr">
        <is>
          <t>Describe a change you led across teams or the business. How did you deal with resistance?</t>
        </is>
      </c>
      <c r="L29" s="9" t="inlineStr"/>
    </row>
    <row r="30" ht="15" customHeight="1"/>
    <row r="31" ht="20" customHeight="1">
      <c r="A31" s="6" t="inlineStr">
        <is>
          <t>Functional competencies — by job family · ★ = must-have</t>
        </is>
      </c>
    </row>
    <row r="32" ht="15" customHeight="1">
      <c r="A32" s="12" t="inlineStr">
        <is>
          <t>Levels 3 and 4 show what good looks like for a practitioner and an advanced holder. 'Holders mentioning it' = people in the family whose survey skills or KRAs contain the competency's top terms · counted, never quoted.</t>
        </is>
      </c>
    </row>
    <row r="33" ht="41" customHeight="1">
      <c r="A33" s="7" t="inlineStr">
        <is>
          <t>Job family</t>
        </is>
      </c>
      <c r="B33" s="7" t="inlineStr">
        <is>
          <t>Competency</t>
        </is>
      </c>
      <c r="C33" s="7" t="inlineStr">
        <is>
          <t>Definition</t>
        </is>
      </c>
      <c r="D33" s="7" t="inlineStr">
        <is>
          <t>Level 1</t>
        </is>
      </c>
      <c r="E33" s="7" t="inlineStr">
        <is>
          <t>Level 2</t>
        </is>
      </c>
      <c r="F33" s="7" t="inlineStr">
        <is>
          <t>Level 3 · practitioner</t>
        </is>
      </c>
      <c r="G33" s="7" t="inlineStr">
        <is>
          <t>Level 4 · advanced</t>
        </is>
      </c>
      <c r="H33" s="7" t="inlineStr">
        <is>
          <t>Level 5</t>
        </is>
      </c>
      <c r="I33" s="7" t="inlineStr">
        <is>
          <t>Market standard</t>
        </is>
      </c>
      <c r="J33" s="7" t="inlineStr">
        <is>
          <t>How to assess</t>
        </is>
      </c>
      <c r="K33" s="7" t="inlineStr">
        <is>
          <t>Credential / gate</t>
        </is>
      </c>
      <c r="L33" s="7" t="inlineStr">
        <is>
          <t>Holders mentioning it</t>
        </is>
      </c>
    </row>
    <row r="34" ht="54" customHeight="1">
      <c r="A34" s="14" t="inlineStr">
        <is>
          <t>Engineering &amp; Development</t>
        </is>
      </c>
      <c r="B34" s="9" t="inlineStr">
        <is>
          <t>★ Programming &amp; Tech-Stack Depth</t>
        </is>
      </c>
      <c r="C34" s="9" t="inlineStr">
        <is>
          <t>Builds and maintains quality code in the team's stack ·.NET, Java, Python, Angular / React.</t>
        </is>
      </c>
      <c r="D34" s="9" t="inlineStr"/>
      <c r="E34" s="9" t="inlineStr"/>
      <c r="F34" s="9" t="inlineStr">
        <is>
          <t>Builds features with clean, tested code</t>
        </is>
      </c>
      <c r="G34" s="9" t="inlineStr">
        <is>
          <t>Sets coding standards; solves performance and design issues across modules</t>
        </is>
      </c>
      <c r="H34" s="9" t="inlineStr"/>
      <c r="I34" s="9" t="inlineStr">
        <is>
          <t>SFIA 9 · software development, programming; OWASP secure coding; cloud vendor certifications</t>
        </is>
      </c>
      <c r="J34" s="9" t="inlineStr">
        <is>
          <t>Coding test + code review</t>
        </is>
      </c>
      <c r="K34" s="9" t="inlineStr">
        <is>
          <t>Cloud / language certifications · optional</t>
        </is>
      </c>
      <c r="L34" s="8" t="n">
        <v>84</v>
      </c>
    </row>
    <row r="35" ht="54" customHeight="1">
      <c r="A35" s="14" t="inlineStr">
        <is>
          <t>Engineering &amp; Development</t>
        </is>
      </c>
      <c r="B35" s="9" t="inlineStr">
        <is>
          <t>★ System Design &amp; Architecture</t>
        </is>
      </c>
      <c r="C35" s="9" t="inlineStr">
        <is>
          <t>Designs components, integrations and scalable, secure solutions.</t>
        </is>
      </c>
      <c r="D35" s="9" t="inlineStr"/>
      <c r="E35" s="9" t="inlineStr"/>
      <c r="F35" s="9" t="inlineStr">
        <is>
          <t>Designs components and integrations for a module</t>
        </is>
      </c>
      <c r="G35" s="9" t="inlineStr">
        <is>
          <t>Designs scalable, secure solutions across products; reviews designs</t>
        </is>
      </c>
      <c r="H35" s="9" t="inlineStr"/>
      <c r="I35" s="9" t="inlineStr">
        <is>
          <t>SFIA 9 · software development, programming; OWASP secure coding; cloud vendor certifications</t>
        </is>
      </c>
      <c r="J35" s="9" t="inlineStr">
        <is>
          <t>System-design interview / design review</t>
        </is>
      </c>
      <c r="K35" s="9" t="inlineStr">
        <is>
          <t>AWS / Azure architect · optional</t>
        </is>
      </c>
      <c r="L35" s="8" t="n">
        <v>33</v>
      </c>
    </row>
    <row r="36" ht="54" customHeight="1">
      <c r="A36" s="14" t="inlineStr">
        <is>
          <t>Engineering &amp; Development</t>
        </is>
      </c>
      <c r="B36" s="9" t="inlineStr">
        <is>
          <t>Database, SQL &amp; Data Engineering</t>
        </is>
      </c>
      <c r="C36" s="9" t="inlineStr">
        <is>
          <t>Writes and tunes SQL, data models and ETL.</t>
        </is>
      </c>
      <c r="D36" s="9" t="inlineStr"/>
      <c r="E36" s="9" t="inlineStr"/>
      <c r="F36" s="9" t="inlineStr">
        <is>
          <t>Writes and tunes queries, procedures and ETL</t>
        </is>
      </c>
      <c r="G36" s="9" t="inlineStr">
        <is>
          <t>Designs data models and pipelines; optimises at scale</t>
        </is>
      </c>
      <c r="H36" s="9" t="inlineStr"/>
      <c r="I36" s="9" t="inlineStr">
        <is>
          <t>SFIA 9 · software development, programming; OWASP secure coding; cloud vendor certifications</t>
        </is>
      </c>
      <c r="J36" s="9" t="inlineStr">
        <is>
          <t>SQL test / case</t>
        </is>
      </c>
      <c r="K36" s="9" t="inlineStr">
        <is>
          <t>Database certifications · optional</t>
        </is>
      </c>
      <c r="L36" s="8" t="n">
        <v>28</v>
      </c>
    </row>
    <row r="37" ht="54" customHeight="1">
      <c r="A37" s="14" t="inlineStr">
        <is>
          <t>Engineering &amp; Development</t>
        </is>
      </c>
      <c r="B37" s="9" t="inlineStr">
        <is>
          <t>Cloud, DevOps &amp; CI/CD</t>
        </is>
      </c>
      <c r="C37" s="9" t="inlineStr">
        <is>
          <t>Builds, deploys and runs software through pipelines and cloud platforms.</t>
        </is>
      </c>
      <c r="D37" s="9" t="inlineStr"/>
      <c r="E37" s="9" t="inlineStr"/>
      <c r="F37" s="9" t="inlineStr">
        <is>
          <t>Builds and runs CI/CD pipelines and environments</t>
        </is>
      </c>
      <c r="G37" s="9" t="inlineStr">
        <is>
          <t>Designs platform, monitoring and release strategy</t>
        </is>
      </c>
      <c r="H37" s="9" t="inlineStr"/>
      <c r="I37" s="9" t="inlineStr">
        <is>
          <t>SFIA 9 · software development, programming; OWASP secure coding; cloud vendor certifications</t>
        </is>
      </c>
      <c r="J37" s="9" t="inlineStr">
        <is>
          <t>Practical task</t>
        </is>
      </c>
      <c r="K37" s="9" t="inlineStr">
        <is>
          <t>AWS / Azure / Kubernetes certifications</t>
        </is>
      </c>
      <c r="L37" s="8" t="n">
        <v>48</v>
      </c>
    </row>
    <row r="38" ht="54" customHeight="1">
      <c r="A38" s="14" t="inlineStr">
        <is>
          <t>Engineering &amp; Development</t>
        </is>
      </c>
      <c r="B38" s="9" t="inlineStr">
        <is>
          <t>AI, GenAI &amp; Prompt Engineering</t>
        </is>
      </c>
      <c r="C38" s="9" t="inlineStr">
        <is>
          <t>Uses or builds AI and LLM solutions to improve products and work.</t>
        </is>
      </c>
      <c r="D38" s="9" t="inlineStr"/>
      <c r="E38" s="9" t="inlineStr"/>
      <c r="F38" s="9" t="inlineStr">
        <is>
          <t>Uses AI / LLM tools in own work and validates output</t>
        </is>
      </c>
      <c r="G38" s="9" t="inlineStr">
        <is>
          <t>Builds AI features or AI-enabled processes; sets safe-use practice</t>
        </is>
      </c>
      <c r="H38" s="9" t="inlineStr"/>
      <c r="I38" s="9" t="inlineStr">
        <is>
          <t>SFIA 9 · software development, programming; OWASP secure coding; cloud vendor certifications</t>
        </is>
      </c>
      <c r="J38" s="9" t="inlineStr">
        <is>
          <t>Work sample / portfolio</t>
        </is>
      </c>
      <c r="K38" s="9" t="inlineStr">
        <is>
          <t>Vendor AI certifications · optional</t>
        </is>
      </c>
      <c r="L38" s="8" t="n">
        <v>10</v>
      </c>
    </row>
    <row r="39" ht="54" customHeight="1">
      <c r="A39" s="14" t="inlineStr">
        <is>
          <t>Engineering &amp; Development</t>
        </is>
      </c>
      <c r="B39" s="9" t="inlineStr">
        <is>
          <t>Product, Platform &amp; Domain Knowledge</t>
        </is>
      </c>
      <c r="C39" s="9" t="inlineStr">
        <is>
          <t>Knows IRIS products, platforms and the client's domain.</t>
        </is>
      </c>
      <c r="D39" s="9" t="inlineStr"/>
      <c r="E39" s="9" t="inlineStr"/>
      <c r="F39" s="9" t="inlineStr">
        <is>
          <t>Handles most product and domain scenarios</t>
        </is>
      </c>
      <c r="G39" s="9" t="inlineStr">
        <is>
          <t>Recognised product / domain expert; trains others</t>
        </is>
      </c>
      <c r="H39" s="9" t="inlineStr"/>
      <c r="I39" s="9" t="inlineStr">
        <is>
          <t>SFIA 9 · software development, programming; OWASP secure coding; cloud vendor certifications</t>
        </is>
      </c>
      <c r="J39" s="9" t="inlineStr">
        <is>
          <t>Scenario interview</t>
        </is>
      </c>
      <c r="K39" s="9" t="inlineStr">
        <is>
          <t>Internal product certification</t>
        </is>
      </c>
      <c r="L39" s="8" t="n">
        <v>55</v>
      </c>
    </row>
    <row r="40" ht="54" customHeight="1">
      <c r="A40" s="14" t="inlineStr">
        <is>
          <t>Engineering &amp; Architecture</t>
        </is>
      </c>
      <c r="B40" s="9" t="inlineStr">
        <is>
          <t>★ System Design &amp; Architecture</t>
        </is>
      </c>
      <c r="C40" s="9" t="inlineStr">
        <is>
          <t>Designs components, integrations and scalable, secure solutions.</t>
        </is>
      </c>
      <c r="D40" s="9" t="inlineStr"/>
      <c r="E40" s="9" t="inlineStr"/>
      <c r="F40" s="9" t="inlineStr">
        <is>
          <t>Designs components and integrations for a module</t>
        </is>
      </c>
      <c r="G40" s="9" t="inlineStr">
        <is>
          <t>Designs scalable, secure solutions across products; reviews designs</t>
        </is>
      </c>
      <c r="H40" s="9" t="inlineStr"/>
      <c r="I40" s="9" t="inlineStr">
        <is>
          <t>SFIA 9 · solution architecture; TOGAF; AWS / Azure architect certifications</t>
        </is>
      </c>
      <c r="J40" s="9" t="inlineStr">
        <is>
          <t>System-design interview / design review</t>
        </is>
      </c>
      <c r="K40" s="9" t="inlineStr">
        <is>
          <t>AWS / Azure architect · optional</t>
        </is>
      </c>
      <c r="L40" s="8" t="n">
        <v>2</v>
      </c>
    </row>
    <row r="41" ht="54" customHeight="1">
      <c r="A41" s="14" t="inlineStr">
        <is>
          <t>Engineering &amp; Architecture</t>
        </is>
      </c>
      <c r="B41" s="9" t="inlineStr">
        <is>
          <t>★ Programming &amp; Tech-Stack Depth</t>
        </is>
      </c>
      <c r="C41" s="9" t="inlineStr">
        <is>
          <t>Builds and maintains quality code in the team's stack ·.NET, Java, Python, Angular / React.</t>
        </is>
      </c>
      <c r="D41" s="9" t="inlineStr"/>
      <c r="E41" s="9" t="inlineStr"/>
      <c r="F41" s="9" t="inlineStr">
        <is>
          <t>Builds features with clean, tested code</t>
        </is>
      </c>
      <c r="G41" s="9" t="inlineStr">
        <is>
          <t>Sets coding standards; solves performance and design issues across modules</t>
        </is>
      </c>
      <c r="H41" s="9" t="inlineStr"/>
      <c r="I41" s="9" t="inlineStr">
        <is>
          <t>SFIA 9 · solution architecture; TOGAF; AWS / Azure architect certifications</t>
        </is>
      </c>
      <c r="J41" s="9" t="inlineStr">
        <is>
          <t>Coding test + code review</t>
        </is>
      </c>
      <c r="K41" s="9" t="inlineStr">
        <is>
          <t>Cloud / language certifications · optional</t>
        </is>
      </c>
      <c r="L41" s="8" t="n">
        <v>2</v>
      </c>
    </row>
    <row r="42" ht="41" customHeight="1">
      <c r="A42" s="14" t="inlineStr">
        <is>
          <t>Engineering &amp; Architecture</t>
        </is>
      </c>
      <c r="B42" s="9" t="inlineStr">
        <is>
          <t>Cloud, DevOps &amp; CI/CD</t>
        </is>
      </c>
      <c r="C42" s="9" t="inlineStr">
        <is>
          <t>Builds, deploys and runs software through pipelines and cloud platforms.</t>
        </is>
      </c>
      <c r="D42" s="9" t="inlineStr"/>
      <c r="E42" s="9" t="inlineStr"/>
      <c r="F42" s="9" t="inlineStr">
        <is>
          <t>Builds and runs CI/CD pipelines and environments</t>
        </is>
      </c>
      <c r="G42" s="9" t="inlineStr">
        <is>
          <t>Designs platform, monitoring and release strategy</t>
        </is>
      </c>
      <c r="H42" s="9" t="inlineStr"/>
      <c r="I42" s="9" t="inlineStr">
        <is>
          <t>SFIA 9 · solution architecture; TOGAF; AWS / Azure architect certifications</t>
        </is>
      </c>
      <c r="J42" s="9" t="inlineStr">
        <is>
          <t>Practical task</t>
        </is>
      </c>
      <c r="K42" s="9" t="inlineStr">
        <is>
          <t>AWS / Azure / Kubernetes certifications</t>
        </is>
      </c>
      <c r="L42" s="8" t="n">
        <v>0</v>
      </c>
    </row>
    <row r="43" ht="54" customHeight="1">
      <c r="A43" s="14" t="inlineStr">
        <is>
          <t>Engineering &amp; Architecture</t>
        </is>
      </c>
      <c r="B43" s="9" t="inlineStr">
        <is>
          <t>Cybersecurity &amp; Infrastructure</t>
        </is>
      </c>
      <c r="C43" s="9" t="inlineStr">
        <is>
          <t>Runs secure servers, networks, endpoints and access.</t>
        </is>
      </c>
      <c r="D43" s="9" t="inlineStr"/>
      <c r="E43" s="9" t="inlineStr"/>
      <c r="F43" s="9" t="inlineStr">
        <is>
          <t>Administers secure servers, networks and access</t>
        </is>
      </c>
      <c r="G43" s="9" t="inlineStr">
        <is>
          <t>Designs secure infrastructure; leads audits and incident response</t>
        </is>
      </c>
      <c r="H43" s="9" t="inlineStr"/>
      <c r="I43" s="9" t="inlineStr">
        <is>
          <t>SFIA 9 · solution architecture; TOGAF; AWS / Azure architect certifications</t>
        </is>
      </c>
      <c r="J43" s="9" t="inlineStr">
        <is>
          <t>Practical task</t>
        </is>
      </c>
      <c r="K43" s="9" t="inlineStr">
        <is>
          <t>Microsoft / CCNA / ISO 27001 / ITIL</t>
        </is>
      </c>
      <c r="L43" s="8" t="n">
        <v>0</v>
      </c>
    </row>
    <row r="44" ht="41" customHeight="1">
      <c r="A44" s="14" t="inlineStr">
        <is>
          <t>Engineering &amp; Architecture</t>
        </is>
      </c>
      <c r="B44" s="9" t="inlineStr">
        <is>
          <t>Stakeholder &amp; Client Management</t>
        </is>
      </c>
      <c r="C44" s="9" t="inlineStr">
        <is>
          <t>Manages clients and stakeholders; handles changing requests.</t>
        </is>
      </c>
      <c r="D44" s="9" t="inlineStr"/>
      <c r="E44" s="9" t="inlineStr"/>
      <c r="F44" s="9" t="inlineStr">
        <is>
          <t>Manages client communication and expectations for own work</t>
        </is>
      </c>
      <c r="G44" s="9" t="inlineStr">
        <is>
          <t>Owns key relationships; resolves escalations</t>
        </is>
      </c>
      <c r="H44" s="9" t="inlineStr"/>
      <c r="I44" s="9" t="inlineStr">
        <is>
          <t>SFIA 9 · solution architecture; TOGAF; AWS / Azure architect certifications</t>
        </is>
      </c>
      <c r="J44" s="9" t="inlineStr">
        <is>
          <t>Role play / behavioural interview</t>
        </is>
      </c>
      <c r="K44" s="9" t="inlineStr">
        <is>
          <t>—</t>
        </is>
      </c>
      <c r="L44" s="8" t="n">
        <v>3</v>
      </c>
    </row>
    <row r="45" ht="41" customHeight="1">
      <c r="A45" s="14" t="inlineStr">
        <is>
          <t>Engineering &amp; Architecture</t>
        </is>
      </c>
      <c r="B45" s="9" t="inlineStr">
        <is>
          <t>Strategic Thinking &amp; Business Acumen</t>
        </is>
      </c>
      <c r="C45" s="9" t="inlineStr">
        <is>
          <t>Links work to business outcomes, budgets and strategy.</t>
        </is>
      </c>
      <c r="D45" s="9" t="inlineStr"/>
      <c r="E45" s="9" t="inlineStr"/>
      <c r="F45" s="9" t="inlineStr">
        <is>
          <t>Connects work to business goals and budgets</t>
        </is>
      </c>
      <c r="G45" s="9" t="inlineStr">
        <is>
          <t>Shapes strategy, pricing or investment choices</t>
        </is>
      </c>
      <c r="H45" s="9" t="inlineStr"/>
      <c r="I45" s="9" t="inlineStr">
        <is>
          <t>SFIA 9 · solution architecture; TOGAF; AWS / Azure architect certifications</t>
        </is>
      </c>
      <c r="J45" s="9" t="inlineStr">
        <is>
          <t>Case interview</t>
        </is>
      </c>
      <c r="K45" s="9" t="inlineStr">
        <is>
          <t>MBA / PGDM · preferred at C+</t>
        </is>
      </c>
      <c r="L45" s="8" t="n">
        <v>1</v>
      </c>
    </row>
    <row r="46" ht="41" customHeight="1">
      <c r="A46" s="14" t="inlineStr">
        <is>
          <t>Quality Assurance</t>
        </is>
      </c>
      <c r="B46" s="9" t="inlineStr">
        <is>
          <t>★ Test Automation &amp; QA Engineering</t>
        </is>
      </c>
      <c r="C46" s="9" t="inlineStr">
        <is>
          <t>Designs tests; automates regression and API testing.</t>
        </is>
      </c>
      <c r="D46" s="9" t="inlineStr"/>
      <c r="E46" s="9" t="inlineStr"/>
      <c r="F46" s="9" t="inlineStr">
        <is>
          <t>Designs test cases; automates regression / API tests</t>
        </is>
      </c>
      <c r="G46" s="9" t="inlineStr">
        <is>
          <t>Sets test strategy and automation frameworks</t>
        </is>
      </c>
      <c r="H46" s="9" t="inlineStr"/>
      <c r="I46" s="9" t="inlineStr">
        <is>
          <t>ISTQB Foundation → Advanced → Expert; SFIA testing</t>
        </is>
      </c>
      <c r="J46" s="9" t="inlineStr">
        <is>
          <t>Testing practical</t>
        </is>
      </c>
      <c r="K46" s="9" t="inlineStr">
        <is>
          <t>ISTQB Foundation / Advanced</t>
        </is>
      </c>
      <c r="L46" s="8" t="n">
        <v>37</v>
      </c>
    </row>
    <row r="47" ht="41" customHeight="1">
      <c r="A47" s="14" t="inlineStr">
        <is>
          <t>Quality Assurance</t>
        </is>
      </c>
      <c r="B47" s="9" t="inlineStr">
        <is>
          <t>★ Product, Platform &amp; Domain Knowledge</t>
        </is>
      </c>
      <c r="C47" s="9" t="inlineStr">
        <is>
          <t>Knows IRIS products, platforms and the client's domain.</t>
        </is>
      </c>
      <c r="D47" s="9" t="inlineStr"/>
      <c r="E47" s="9" t="inlineStr"/>
      <c r="F47" s="9" t="inlineStr">
        <is>
          <t>Handles most product and domain scenarios</t>
        </is>
      </c>
      <c r="G47" s="9" t="inlineStr">
        <is>
          <t>Recognised product / domain expert; trains others</t>
        </is>
      </c>
      <c r="H47" s="9" t="inlineStr"/>
      <c r="I47" s="9" t="inlineStr">
        <is>
          <t>ISTQB Foundation → Advanced → Expert; SFIA testing</t>
        </is>
      </c>
      <c r="J47" s="9" t="inlineStr">
        <is>
          <t>Scenario interview</t>
        </is>
      </c>
      <c r="K47" s="9" t="inlineStr">
        <is>
          <t>Internal product certification</t>
        </is>
      </c>
      <c r="L47" s="8" t="n">
        <v>24</v>
      </c>
    </row>
    <row r="48" ht="41" customHeight="1">
      <c r="A48" s="14" t="inlineStr">
        <is>
          <t>Quality Assurance</t>
        </is>
      </c>
      <c r="B48" s="9" t="inlineStr">
        <is>
          <t>Database, SQL &amp; Data Engineering</t>
        </is>
      </c>
      <c r="C48" s="9" t="inlineStr">
        <is>
          <t>Writes and tunes SQL, data models and ETL.</t>
        </is>
      </c>
      <c r="D48" s="9" t="inlineStr"/>
      <c r="E48" s="9" t="inlineStr"/>
      <c r="F48" s="9" t="inlineStr">
        <is>
          <t>Writes and tunes queries, procedures and ETL</t>
        </is>
      </c>
      <c r="G48" s="9" t="inlineStr">
        <is>
          <t>Designs data models and pipelines; optimises at scale</t>
        </is>
      </c>
      <c r="H48" s="9" t="inlineStr"/>
      <c r="I48" s="9" t="inlineStr">
        <is>
          <t>ISTQB Foundation → Advanced → Expert; SFIA testing</t>
        </is>
      </c>
      <c r="J48" s="9" t="inlineStr">
        <is>
          <t>SQL test / case</t>
        </is>
      </c>
      <c r="K48" s="9" t="inlineStr">
        <is>
          <t>Database certifications · optional</t>
        </is>
      </c>
      <c r="L48" s="8" t="n">
        <v>7</v>
      </c>
    </row>
    <row r="49" ht="54" customHeight="1">
      <c r="A49" s="14" t="inlineStr">
        <is>
          <t>Quality Assurance</t>
        </is>
      </c>
      <c r="B49" s="9" t="inlineStr">
        <is>
          <t>AI, GenAI &amp; Prompt Engineering</t>
        </is>
      </c>
      <c r="C49" s="9" t="inlineStr">
        <is>
          <t>Uses or builds AI and LLM solutions to improve products and work.</t>
        </is>
      </c>
      <c r="D49" s="9" t="inlineStr"/>
      <c r="E49" s="9" t="inlineStr"/>
      <c r="F49" s="9" t="inlineStr">
        <is>
          <t>Uses AI / LLM tools in own work and validates output</t>
        </is>
      </c>
      <c r="G49" s="9" t="inlineStr">
        <is>
          <t>Builds AI features or AI-enabled processes; sets safe-use practice</t>
        </is>
      </c>
      <c r="H49" s="9" t="inlineStr"/>
      <c r="I49" s="9" t="inlineStr">
        <is>
          <t>ISTQB Foundation → Advanced → Expert; SFIA testing</t>
        </is>
      </c>
      <c r="J49" s="9" t="inlineStr">
        <is>
          <t>Work sample / portfolio</t>
        </is>
      </c>
      <c r="K49" s="9" t="inlineStr">
        <is>
          <t>Vendor AI certifications · optional</t>
        </is>
      </c>
      <c r="L49" s="8" t="n">
        <v>0</v>
      </c>
    </row>
    <row r="50" ht="41" customHeight="1">
      <c r="A50" s="14" t="inlineStr">
        <is>
          <t>Quality Assurance</t>
        </is>
      </c>
      <c r="B50" s="9" t="inlineStr">
        <is>
          <t>Process Improvement &amp; Quality Mindset</t>
        </is>
      </c>
      <c r="C50" s="9" t="inlineStr">
        <is>
          <t>Gets it right first time; improves processes and checklists.</t>
        </is>
      </c>
      <c r="D50" s="9" t="inlineStr"/>
      <c r="E50" s="9" t="inlineStr"/>
      <c r="F50" s="9" t="inlineStr">
        <is>
          <t>Delivers right-first-time; improves own checklists</t>
        </is>
      </c>
      <c r="G50" s="9" t="inlineStr">
        <is>
          <t>Redesigns team processes; reduces error rates measurably</t>
        </is>
      </c>
      <c r="H50" s="9" t="inlineStr"/>
      <c r="I50" s="9" t="inlineStr">
        <is>
          <t>ISTQB Foundation → Advanced → Expert; SFIA testing</t>
        </is>
      </c>
      <c r="J50" s="9" t="inlineStr">
        <is>
          <t>Work sample / case</t>
        </is>
      </c>
      <c r="K50" s="9" t="inlineStr">
        <is>
          <t>Lean / Six Sigma · optional</t>
        </is>
      </c>
      <c r="L50" s="8" t="n">
        <v>32</v>
      </c>
    </row>
    <row r="51" ht="41" customHeight="1">
      <c r="A51" s="14" t="inlineStr">
        <is>
          <t>Quality Assurance</t>
        </is>
      </c>
      <c r="B51" s="9" t="inlineStr">
        <is>
          <t>Communication &amp; Presentation</t>
        </is>
      </c>
      <c r="C51" s="9" t="inlineStr">
        <is>
          <t>Writes and presents clearly to clients and teams.</t>
        </is>
      </c>
      <c r="D51" s="9" t="inlineStr"/>
      <c r="E51" s="9" t="inlineStr"/>
      <c r="F51" s="9" t="inlineStr">
        <is>
          <t>Writes and presents clearly to clients and teams</t>
        </is>
      </c>
      <c r="G51" s="9" t="inlineStr">
        <is>
          <t>Presents to senior stakeholders; shapes messaging</t>
        </is>
      </c>
      <c r="H51" s="9" t="inlineStr"/>
      <c r="I51" s="9" t="inlineStr">
        <is>
          <t>ISTQB Foundation → Advanced → Expert; SFIA testing</t>
        </is>
      </c>
      <c r="J51" s="9" t="inlineStr">
        <is>
          <t>Presentation / writing test</t>
        </is>
      </c>
      <c r="K51" s="9" t="inlineStr">
        <is>
          <t>—</t>
        </is>
      </c>
      <c r="L51" s="8" t="n">
        <v>20</v>
      </c>
    </row>
    <row r="52" ht="41" customHeight="1">
      <c r="A52" s="14" t="inlineStr">
        <is>
          <t>Business Analysis</t>
        </is>
      </c>
      <c r="B52" s="9" t="inlineStr">
        <is>
          <t>★ Business Analysis &amp; Requirements Engineering</t>
        </is>
      </c>
      <c r="C52" s="9" t="inlineStr">
        <is>
          <t>Captures, documents and validates requirements.</t>
        </is>
      </c>
      <c r="D52" s="9" t="inlineStr"/>
      <c r="E52" s="9" t="inlineStr"/>
      <c r="F52" s="9" t="inlineStr">
        <is>
          <t>Writes BRD / FSD / user stories and validates them</t>
        </is>
      </c>
      <c r="G52" s="9" t="inlineStr">
        <is>
          <t>Leads complex requirement programmes; sets BA standards</t>
        </is>
      </c>
      <c r="H52" s="9" t="inlineStr"/>
      <c r="I52" s="9" t="inlineStr">
        <is>
          <t>IIBA BABOK v3; certifications ECBA · entry → CCBA → CBAP · senior</t>
        </is>
      </c>
      <c r="J52" s="9" t="inlineStr">
        <is>
          <t>Case study</t>
        </is>
      </c>
      <c r="K52" s="9" t="inlineStr">
        <is>
          <t>CBAP / CCBA · optional</t>
        </is>
      </c>
      <c r="L52" s="8" t="n">
        <v>29</v>
      </c>
    </row>
    <row r="53" ht="41" customHeight="1">
      <c r="A53" s="14" t="inlineStr">
        <is>
          <t>Business Analysis</t>
        </is>
      </c>
      <c r="B53" s="9" t="inlineStr">
        <is>
          <t>★ Regulatory &amp; BFSI Domain</t>
        </is>
      </c>
      <c r="C53" s="9" t="inlineStr">
        <is>
          <t>Understands regulators, returns, filings and BFSI rules.</t>
        </is>
      </c>
      <c r="D53" s="9" t="inlineStr"/>
      <c r="E53" s="9" t="inlineStr"/>
      <c r="F53" s="9" t="inlineStr">
        <is>
          <t>Knows the relevant regulators, returns and rules</t>
        </is>
      </c>
      <c r="G53" s="9" t="inlineStr">
        <is>
          <t>Interprets new regulation; advises clients and product</t>
        </is>
      </c>
      <c r="H53" s="9" t="inlineStr"/>
      <c r="I53" s="9" t="inlineStr">
        <is>
          <t>IIBA BABOK v3; certifications ECBA · entry → CCBA → CBAP · senior</t>
        </is>
      </c>
      <c r="J53" s="9" t="inlineStr">
        <is>
          <t>Domain interview</t>
        </is>
      </c>
      <c r="K53" s="9" t="inlineStr">
        <is>
          <t>Domain certifications · optional</t>
        </is>
      </c>
      <c r="L53" s="8" t="n">
        <v>9</v>
      </c>
    </row>
    <row r="54" ht="41" customHeight="1">
      <c r="A54" s="14" t="inlineStr">
        <is>
          <t>Business Analysis</t>
        </is>
      </c>
      <c r="B54" s="9" t="inlineStr">
        <is>
          <t>Product, Platform &amp; Domain Knowledge</t>
        </is>
      </c>
      <c r="C54" s="9" t="inlineStr">
        <is>
          <t>Knows IRIS products, platforms and the client's domain.</t>
        </is>
      </c>
      <c r="D54" s="9" t="inlineStr"/>
      <c r="E54" s="9" t="inlineStr"/>
      <c r="F54" s="9" t="inlineStr">
        <is>
          <t>Handles most product and domain scenarios</t>
        </is>
      </c>
      <c r="G54" s="9" t="inlineStr">
        <is>
          <t>Recognised product / domain expert; trains others</t>
        </is>
      </c>
      <c r="H54" s="9" t="inlineStr"/>
      <c r="I54" s="9" t="inlineStr">
        <is>
          <t>IIBA BABOK v3; certifications ECBA · entry → CCBA → CBAP · senior</t>
        </is>
      </c>
      <c r="J54" s="9" t="inlineStr">
        <is>
          <t>Scenario interview</t>
        </is>
      </c>
      <c r="K54" s="9" t="inlineStr">
        <is>
          <t>Internal product certification</t>
        </is>
      </c>
      <c r="L54" s="8" t="n">
        <v>23</v>
      </c>
    </row>
    <row r="55" ht="41" customHeight="1">
      <c r="A55" s="14" t="inlineStr">
        <is>
          <t>Business Analysis</t>
        </is>
      </c>
      <c r="B55" s="9" t="inlineStr">
        <is>
          <t>Database, SQL &amp; Data Engineering</t>
        </is>
      </c>
      <c r="C55" s="9" t="inlineStr">
        <is>
          <t>Writes and tunes SQL, data models and ETL.</t>
        </is>
      </c>
      <c r="D55" s="9" t="inlineStr"/>
      <c r="E55" s="9" t="inlineStr"/>
      <c r="F55" s="9" t="inlineStr">
        <is>
          <t>Writes and tunes queries, procedures and ETL</t>
        </is>
      </c>
      <c r="G55" s="9" t="inlineStr">
        <is>
          <t>Designs data models and pipelines; optimises at scale</t>
        </is>
      </c>
      <c r="H55" s="9" t="inlineStr"/>
      <c r="I55" s="9" t="inlineStr">
        <is>
          <t>IIBA BABOK v3; certifications ECBA · entry → CCBA → CBAP · senior</t>
        </is>
      </c>
      <c r="J55" s="9" t="inlineStr">
        <is>
          <t>SQL test / case</t>
        </is>
      </c>
      <c r="K55" s="9" t="inlineStr">
        <is>
          <t>Database certifications · optional</t>
        </is>
      </c>
      <c r="L55" s="8" t="n">
        <v>17</v>
      </c>
    </row>
    <row r="56" ht="41" customHeight="1">
      <c r="A56" s="14" t="inlineStr">
        <is>
          <t>Business Analysis</t>
        </is>
      </c>
      <c r="B56" s="9" t="inlineStr">
        <is>
          <t>Stakeholder &amp; Client Management</t>
        </is>
      </c>
      <c r="C56" s="9" t="inlineStr">
        <is>
          <t>Manages clients and stakeholders; handles changing requests.</t>
        </is>
      </c>
      <c r="D56" s="9" t="inlineStr"/>
      <c r="E56" s="9" t="inlineStr"/>
      <c r="F56" s="9" t="inlineStr">
        <is>
          <t>Manages client communication and expectations for own work</t>
        </is>
      </c>
      <c r="G56" s="9" t="inlineStr">
        <is>
          <t>Owns key relationships; resolves escalations</t>
        </is>
      </c>
      <c r="H56" s="9" t="inlineStr"/>
      <c r="I56" s="9" t="inlineStr">
        <is>
          <t>IIBA BABOK v3; certifications ECBA · entry → CCBA → CBAP · senior</t>
        </is>
      </c>
      <c r="J56" s="9" t="inlineStr">
        <is>
          <t>Role play / behavioural interview</t>
        </is>
      </c>
      <c r="K56" s="9" t="inlineStr">
        <is>
          <t>—</t>
        </is>
      </c>
      <c r="L56" s="8" t="n">
        <v>23</v>
      </c>
    </row>
    <row r="57" ht="41" customHeight="1">
      <c r="A57" s="14" t="inlineStr">
        <is>
          <t>Business Analysis</t>
        </is>
      </c>
      <c r="B57" s="9" t="inlineStr">
        <is>
          <t>Communication &amp; Presentation</t>
        </is>
      </c>
      <c r="C57" s="9" t="inlineStr">
        <is>
          <t>Writes and presents clearly to clients and teams.</t>
        </is>
      </c>
      <c r="D57" s="9" t="inlineStr"/>
      <c r="E57" s="9" t="inlineStr"/>
      <c r="F57" s="9" t="inlineStr">
        <is>
          <t>Writes and presents clearly to clients and teams</t>
        </is>
      </c>
      <c r="G57" s="9" t="inlineStr">
        <is>
          <t>Presents to senior stakeholders; shapes messaging</t>
        </is>
      </c>
      <c r="H57" s="9" t="inlineStr"/>
      <c r="I57" s="9" t="inlineStr">
        <is>
          <t>IIBA BABOK v3; certifications ECBA · entry → CCBA → CBAP · senior</t>
        </is>
      </c>
      <c r="J57" s="9" t="inlineStr">
        <is>
          <t>Presentation / writing test</t>
        </is>
      </c>
      <c r="K57" s="9" t="inlineStr">
        <is>
          <t>—</t>
        </is>
      </c>
      <c r="L57" s="8" t="n">
        <v>26</v>
      </c>
    </row>
    <row r="58" ht="41" customHeight="1">
      <c r="A58" s="14" t="inlineStr">
        <is>
          <t>Project &amp; Program Management</t>
        </is>
      </c>
      <c r="B58" s="9" t="inlineStr">
        <is>
          <t>★ Project, Program &amp; Agile Management</t>
        </is>
      </c>
      <c r="C58" s="9" t="inlineStr">
        <is>
          <t>Plans, tracks and delivers on time using agile / hybrid practice.</t>
        </is>
      </c>
      <c r="D58" s="9" t="inlineStr"/>
      <c r="E58" s="9" t="inlineStr"/>
      <c r="F58" s="9" t="inlineStr">
        <is>
          <t>Plans and tracks delivery; manages risk and scope</t>
        </is>
      </c>
      <c r="G58" s="9" t="inlineStr">
        <is>
          <t>Runs programmes across teams; improves delivery methods</t>
        </is>
      </c>
      <c r="H58" s="9" t="inlineStr"/>
      <c r="I58" s="9" t="inlineStr">
        <is>
          <t>PMI PMBOK and Talent Triangle; CAPM · entry → PMP → PgMP; Scrum / SAFe</t>
        </is>
      </c>
      <c r="J58" s="9" t="inlineStr">
        <is>
          <t>Case interview</t>
        </is>
      </c>
      <c r="K58" s="9" t="inlineStr">
        <is>
          <t>PMP / PRINCE2 / CSM / SAFe</t>
        </is>
      </c>
      <c r="L58" s="8" t="n">
        <v>16</v>
      </c>
    </row>
    <row r="59" ht="41" customHeight="1">
      <c r="A59" s="14" t="inlineStr">
        <is>
          <t>Project &amp; Program Management</t>
        </is>
      </c>
      <c r="B59" s="9" t="inlineStr">
        <is>
          <t>★ Stakeholder &amp; Client Management</t>
        </is>
      </c>
      <c r="C59" s="9" t="inlineStr">
        <is>
          <t>Manages clients and stakeholders; handles changing requests.</t>
        </is>
      </c>
      <c r="D59" s="9" t="inlineStr"/>
      <c r="E59" s="9" t="inlineStr"/>
      <c r="F59" s="9" t="inlineStr">
        <is>
          <t>Manages client communication and expectations for own work</t>
        </is>
      </c>
      <c r="G59" s="9" t="inlineStr">
        <is>
          <t>Owns key relationships; resolves escalations</t>
        </is>
      </c>
      <c r="H59" s="9" t="inlineStr"/>
      <c r="I59" s="9" t="inlineStr">
        <is>
          <t>PMI PMBOK and Talent Triangle; CAPM · entry → PMP → PgMP; Scrum / SAFe</t>
        </is>
      </c>
      <c r="J59" s="9" t="inlineStr">
        <is>
          <t>Role play / behavioural interview</t>
        </is>
      </c>
      <c r="K59" s="9" t="inlineStr">
        <is>
          <t>—</t>
        </is>
      </c>
      <c r="L59" s="8" t="n">
        <v>12</v>
      </c>
    </row>
    <row r="60" ht="41" customHeight="1">
      <c r="A60" s="14" t="inlineStr">
        <is>
          <t>Project &amp; Program Management</t>
        </is>
      </c>
      <c r="B60" s="9" t="inlineStr">
        <is>
          <t>Communication &amp; Presentation</t>
        </is>
      </c>
      <c r="C60" s="9" t="inlineStr">
        <is>
          <t>Writes and presents clearly to clients and teams.</t>
        </is>
      </c>
      <c r="D60" s="9" t="inlineStr"/>
      <c r="E60" s="9" t="inlineStr"/>
      <c r="F60" s="9" t="inlineStr">
        <is>
          <t>Writes and presents clearly to clients and teams</t>
        </is>
      </c>
      <c r="G60" s="9" t="inlineStr">
        <is>
          <t>Presents to senior stakeholders; shapes messaging</t>
        </is>
      </c>
      <c r="H60" s="9" t="inlineStr"/>
      <c r="I60" s="9" t="inlineStr">
        <is>
          <t>PMI PMBOK and Talent Triangle; CAPM · entry → PMP → PgMP; Scrum / SAFe</t>
        </is>
      </c>
      <c r="J60" s="9" t="inlineStr">
        <is>
          <t>Presentation / writing test</t>
        </is>
      </c>
      <c r="K60" s="9" t="inlineStr">
        <is>
          <t>—</t>
        </is>
      </c>
      <c r="L60" s="8" t="n">
        <v>8</v>
      </c>
    </row>
    <row r="61" ht="41" customHeight="1">
      <c r="A61" s="14" t="inlineStr">
        <is>
          <t>Project &amp; Program Management</t>
        </is>
      </c>
      <c r="B61" s="9" t="inlineStr">
        <is>
          <t>Process Improvement &amp; Quality Mindset</t>
        </is>
      </c>
      <c r="C61" s="9" t="inlineStr">
        <is>
          <t>Gets it right first time; improves processes and checklists.</t>
        </is>
      </c>
      <c r="D61" s="9" t="inlineStr"/>
      <c r="E61" s="9" t="inlineStr"/>
      <c r="F61" s="9" t="inlineStr">
        <is>
          <t>Delivers right-first-time; improves own checklists</t>
        </is>
      </c>
      <c r="G61" s="9" t="inlineStr">
        <is>
          <t>Redesigns team processes; reduces error rates measurably</t>
        </is>
      </c>
      <c r="H61" s="9" t="inlineStr"/>
      <c r="I61" s="9" t="inlineStr">
        <is>
          <t>PMI PMBOK and Talent Triangle; CAPM · entry → PMP → PgMP; Scrum / SAFe</t>
        </is>
      </c>
      <c r="J61" s="9" t="inlineStr">
        <is>
          <t>Work sample / case</t>
        </is>
      </c>
      <c r="K61" s="9" t="inlineStr">
        <is>
          <t>Lean / Six Sigma · optional</t>
        </is>
      </c>
      <c r="L61" s="8" t="n">
        <v>0</v>
      </c>
    </row>
    <row r="62" ht="41" customHeight="1">
      <c r="A62" s="14" t="inlineStr">
        <is>
          <t>Project &amp; Program Management</t>
        </is>
      </c>
      <c r="B62" s="9" t="inlineStr">
        <is>
          <t>Strategic Thinking &amp; Business Acumen</t>
        </is>
      </c>
      <c r="C62" s="9" t="inlineStr">
        <is>
          <t>Links work to business outcomes, budgets and strategy.</t>
        </is>
      </c>
      <c r="D62" s="9" t="inlineStr"/>
      <c r="E62" s="9" t="inlineStr"/>
      <c r="F62" s="9" t="inlineStr">
        <is>
          <t>Connects work to business goals and budgets</t>
        </is>
      </c>
      <c r="G62" s="9" t="inlineStr">
        <is>
          <t>Shapes strategy, pricing or investment choices</t>
        </is>
      </c>
      <c r="H62" s="9" t="inlineStr"/>
      <c r="I62" s="9" t="inlineStr">
        <is>
          <t>PMI PMBOK and Talent Triangle; CAPM · entry → PMP → PgMP; Scrum / SAFe</t>
        </is>
      </c>
      <c r="J62" s="9" t="inlineStr">
        <is>
          <t>Case interview</t>
        </is>
      </c>
      <c r="K62" s="9" t="inlineStr">
        <is>
          <t>MBA / PGDM · preferred at C+</t>
        </is>
      </c>
      <c r="L62" s="8" t="n">
        <v>9</v>
      </c>
    </row>
    <row r="63" ht="41" customHeight="1">
      <c r="A63" s="14" t="inlineStr">
        <is>
          <t>Project &amp; Program Management</t>
        </is>
      </c>
      <c r="B63" s="9" t="inlineStr">
        <is>
          <t>Product, Platform &amp; Domain Knowledge</t>
        </is>
      </c>
      <c r="C63" s="9" t="inlineStr">
        <is>
          <t>Knows IRIS products, platforms and the client's domain.</t>
        </is>
      </c>
      <c r="D63" s="9" t="inlineStr"/>
      <c r="E63" s="9" t="inlineStr"/>
      <c r="F63" s="9" t="inlineStr">
        <is>
          <t>Handles most product and domain scenarios</t>
        </is>
      </c>
      <c r="G63" s="9" t="inlineStr">
        <is>
          <t>Recognised product / domain expert; trains others</t>
        </is>
      </c>
      <c r="H63" s="9" t="inlineStr"/>
      <c r="I63" s="9" t="inlineStr">
        <is>
          <t>PMI PMBOK and Talent Triangle; CAPM · entry → PMP → PgMP; Scrum / SAFe</t>
        </is>
      </c>
      <c r="J63" s="9" t="inlineStr">
        <is>
          <t>Scenario interview</t>
        </is>
      </c>
      <c r="K63" s="9" t="inlineStr">
        <is>
          <t>Internal product certification</t>
        </is>
      </c>
      <c r="L63" s="8" t="n">
        <v>9</v>
      </c>
    </row>
    <row r="64" ht="41" customHeight="1">
      <c r="A64" s="14" t="inlineStr">
        <is>
          <t>Product Management</t>
        </is>
      </c>
      <c r="B64" s="9" t="inlineStr">
        <is>
          <t>★ Product, Platform &amp; Domain Knowledge</t>
        </is>
      </c>
      <c r="C64" s="9" t="inlineStr">
        <is>
          <t>Knows IRIS products, platforms and the client's domain.</t>
        </is>
      </c>
      <c r="D64" s="9" t="inlineStr"/>
      <c r="E64" s="9" t="inlineStr"/>
      <c r="F64" s="9" t="inlineStr">
        <is>
          <t>Handles most product and domain scenarios</t>
        </is>
      </c>
      <c r="G64" s="9" t="inlineStr">
        <is>
          <t>Recognised product / domain expert; trains others</t>
        </is>
      </c>
      <c r="H64" s="9" t="inlineStr"/>
      <c r="I64" s="9" t="inlineStr">
        <is>
          <t>Pragmatic Institute Framework · 37 activities, 7 categories; AIPMM</t>
        </is>
      </c>
      <c r="J64" s="9" t="inlineStr">
        <is>
          <t>Scenario interview</t>
        </is>
      </c>
      <c r="K64" s="9" t="inlineStr">
        <is>
          <t>Internal product certification</t>
        </is>
      </c>
      <c r="L64" s="8" t="n">
        <v>14</v>
      </c>
    </row>
    <row r="65" ht="41" customHeight="1">
      <c r="A65" s="14" t="inlineStr">
        <is>
          <t>Product Management</t>
        </is>
      </c>
      <c r="B65" s="9" t="inlineStr">
        <is>
          <t>★ Business Analysis &amp; Requirements Engineering</t>
        </is>
      </c>
      <c r="C65" s="9" t="inlineStr">
        <is>
          <t>Captures, documents and validates requirements.</t>
        </is>
      </c>
      <c r="D65" s="9" t="inlineStr"/>
      <c r="E65" s="9" t="inlineStr"/>
      <c r="F65" s="9" t="inlineStr">
        <is>
          <t>Writes BRD / FSD / user stories and validates them</t>
        </is>
      </c>
      <c r="G65" s="9" t="inlineStr">
        <is>
          <t>Leads complex requirement programmes; sets BA standards</t>
        </is>
      </c>
      <c r="H65" s="9" t="inlineStr"/>
      <c r="I65" s="9" t="inlineStr">
        <is>
          <t>Pragmatic Institute Framework · 37 activities, 7 categories; AIPMM</t>
        </is>
      </c>
      <c r="J65" s="9" t="inlineStr">
        <is>
          <t>Case study</t>
        </is>
      </c>
      <c r="K65" s="9" t="inlineStr">
        <is>
          <t>CBAP / CCBA · optional</t>
        </is>
      </c>
      <c r="L65" s="8" t="n">
        <v>5</v>
      </c>
    </row>
    <row r="66" ht="41" customHeight="1">
      <c r="A66" s="14" t="inlineStr">
        <is>
          <t>Product Management</t>
        </is>
      </c>
      <c r="B66" s="9" t="inlineStr">
        <is>
          <t>Data Analytics, BI &amp; Visualisation</t>
        </is>
      </c>
      <c r="C66" s="9" t="inlineStr">
        <is>
          <t>Turns data into MIS, dashboards and insight.</t>
        </is>
      </c>
      <c r="D66" s="9" t="inlineStr"/>
      <c r="E66" s="9" t="inlineStr"/>
      <c r="F66" s="9" t="inlineStr">
        <is>
          <t>Builds MIS, dashboards and analysis</t>
        </is>
      </c>
      <c r="G66" s="9" t="inlineStr">
        <is>
          <t>Defines metrics and analytics approach for a business</t>
        </is>
      </c>
      <c r="H66" s="9" t="inlineStr"/>
      <c r="I66" s="9" t="inlineStr">
        <is>
          <t>Pragmatic Institute Framework · 37 activities, 7 categories; AIPMM</t>
        </is>
      </c>
      <c r="J66" s="9" t="inlineStr">
        <is>
          <t>Data case / practical</t>
        </is>
      </c>
      <c r="K66" s="9" t="inlineStr">
        <is>
          <t>Power BI / Tableau · optional</t>
        </is>
      </c>
      <c r="L66" s="8" t="n">
        <v>0</v>
      </c>
    </row>
    <row r="67" ht="41" customHeight="1">
      <c r="A67" s="14" t="inlineStr">
        <is>
          <t>Product Management</t>
        </is>
      </c>
      <c r="B67" s="9" t="inlineStr">
        <is>
          <t>Strategic Thinking &amp; Business Acumen</t>
        </is>
      </c>
      <c r="C67" s="9" t="inlineStr">
        <is>
          <t>Links work to business outcomes, budgets and strategy.</t>
        </is>
      </c>
      <c r="D67" s="9" t="inlineStr"/>
      <c r="E67" s="9" t="inlineStr"/>
      <c r="F67" s="9" t="inlineStr">
        <is>
          <t>Connects work to business goals and budgets</t>
        </is>
      </c>
      <c r="G67" s="9" t="inlineStr">
        <is>
          <t>Shapes strategy, pricing or investment choices</t>
        </is>
      </c>
      <c r="H67" s="9" t="inlineStr"/>
      <c r="I67" s="9" t="inlineStr">
        <is>
          <t>Pragmatic Institute Framework · 37 activities, 7 categories; AIPMM</t>
        </is>
      </c>
      <c r="J67" s="9" t="inlineStr">
        <is>
          <t>Case interview</t>
        </is>
      </c>
      <c r="K67" s="9" t="inlineStr">
        <is>
          <t>MBA / PGDM · preferred at C+</t>
        </is>
      </c>
      <c r="L67" s="8" t="n">
        <v>9</v>
      </c>
    </row>
    <row r="68" ht="41" customHeight="1">
      <c r="A68" s="14" t="inlineStr">
        <is>
          <t>Product Management</t>
        </is>
      </c>
      <c r="B68" s="9" t="inlineStr">
        <is>
          <t>Stakeholder &amp; Client Management</t>
        </is>
      </c>
      <c r="C68" s="9" t="inlineStr">
        <is>
          <t>Manages clients and stakeholders; handles changing requests.</t>
        </is>
      </c>
      <c r="D68" s="9" t="inlineStr"/>
      <c r="E68" s="9" t="inlineStr"/>
      <c r="F68" s="9" t="inlineStr">
        <is>
          <t>Manages client communication and expectations for own work</t>
        </is>
      </c>
      <c r="G68" s="9" t="inlineStr">
        <is>
          <t>Owns key relationships; resolves escalations</t>
        </is>
      </c>
      <c r="H68" s="9" t="inlineStr"/>
      <c r="I68" s="9" t="inlineStr">
        <is>
          <t>Pragmatic Institute Framework · 37 activities, 7 categories; AIPMM</t>
        </is>
      </c>
      <c r="J68" s="9" t="inlineStr">
        <is>
          <t>Role play / behavioural interview</t>
        </is>
      </c>
      <c r="K68" s="9" t="inlineStr">
        <is>
          <t>—</t>
        </is>
      </c>
      <c r="L68" s="8" t="n">
        <v>6</v>
      </c>
    </row>
    <row r="69" ht="54" customHeight="1">
      <c r="A69" s="14" t="inlineStr">
        <is>
          <t>Product Management</t>
        </is>
      </c>
      <c r="B69" s="9" t="inlineStr">
        <is>
          <t>AI, GenAI &amp; Prompt Engineering</t>
        </is>
      </c>
      <c r="C69" s="9" t="inlineStr">
        <is>
          <t>Uses or builds AI and LLM solutions to improve products and work.</t>
        </is>
      </c>
      <c r="D69" s="9" t="inlineStr"/>
      <c r="E69" s="9" t="inlineStr"/>
      <c r="F69" s="9" t="inlineStr">
        <is>
          <t>Uses AI / LLM tools in own work and validates output</t>
        </is>
      </c>
      <c r="G69" s="9" t="inlineStr">
        <is>
          <t>Builds AI features or AI-enabled processes; sets safe-use practice</t>
        </is>
      </c>
      <c r="H69" s="9" t="inlineStr"/>
      <c r="I69" s="9" t="inlineStr">
        <is>
          <t>Pragmatic Institute Framework · 37 activities, 7 categories; AIPMM</t>
        </is>
      </c>
      <c r="J69" s="9" t="inlineStr">
        <is>
          <t>Work sample / portfolio</t>
        </is>
      </c>
      <c r="K69" s="9" t="inlineStr">
        <is>
          <t>Vendor AI certifications · optional</t>
        </is>
      </c>
      <c r="L69" s="8" t="n">
        <v>0</v>
      </c>
    </row>
    <row r="70" ht="54" customHeight="1">
      <c r="A70" s="14" t="inlineStr">
        <is>
          <t>Design &amp; Creative</t>
        </is>
      </c>
      <c r="B70" s="9" t="inlineStr">
        <is>
          <t>★ Product, Platform &amp; Domain Knowledge</t>
        </is>
      </c>
      <c r="C70" s="9" t="inlineStr">
        <is>
          <t>Knows IRIS products, platforms and the client's domain.</t>
        </is>
      </c>
      <c r="D70" s="9" t="inlineStr"/>
      <c r="E70" s="9" t="inlineStr"/>
      <c r="F70" s="9" t="inlineStr">
        <is>
          <t>Handles most product and domain scenarios</t>
        </is>
      </c>
      <c r="G70" s="9" t="inlineStr">
        <is>
          <t>Recognised product / domain expert; trains others</t>
        </is>
      </c>
      <c r="H70" s="9" t="inlineStr"/>
      <c r="I70" s="9" t="inlineStr">
        <is>
          <t>UX career ladder Junior → Designer → Senior → Lead → Principal; WCAG accessibility</t>
        </is>
      </c>
      <c r="J70" s="9" t="inlineStr">
        <is>
          <t>Scenario interview</t>
        </is>
      </c>
      <c r="K70" s="9" t="inlineStr">
        <is>
          <t>Internal product certification</t>
        </is>
      </c>
      <c r="L70" s="8" t="n">
        <v>1</v>
      </c>
    </row>
    <row r="71" ht="54" customHeight="1">
      <c r="A71" s="14" t="inlineStr">
        <is>
          <t>Design &amp; Creative</t>
        </is>
      </c>
      <c r="B71" s="9" t="inlineStr">
        <is>
          <t>★ Communication &amp; Presentation</t>
        </is>
      </c>
      <c r="C71" s="9" t="inlineStr">
        <is>
          <t>Writes and presents clearly to clients and teams.</t>
        </is>
      </c>
      <c r="D71" s="9" t="inlineStr"/>
      <c r="E71" s="9" t="inlineStr"/>
      <c r="F71" s="9" t="inlineStr">
        <is>
          <t>Writes and presents clearly to clients and teams</t>
        </is>
      </c>
      <c r="G71" s="9" t="inlineStr">
        <is>
          <t>Presents to senior stakeholders; shapes messaging</t>
        </is>
      </c>
      <c r="H71" s="9" t="inlineStr"/>
      <c r="I71" s="9" t="inlineStr">
        <is>
          <t>UX career ladder Junior → Designer → Senior → Lead → Principal; WCAG accessibility</t>
        </is>
      </c>
      <c r="J71" s="9" t="inlineStr">
        <is>
          <t>Presentation / writing test</t>
        </is>
      </c>
      <c r="K71" s="9" t="inlineStr">
        <is>
          <t>—</t>
        </is>
      </c>
      <c r="L71" s="8" t="n">
        <v>0</v>
      </c>
    </row>
    <row r="72" ht="54" customHeight="1">
      <c r="A72" s="14" t="inlineStr">
        <is>
          <t>Design &amp; Creative</t>
        </is>
      </c>
      <c r="B72" s="9" t="inlineStr">
        <is>
          <t>Marketing Tech &amp; Digital Marketing</t>
        </is>
      </c>
      <c r="C72" s="9" t="inlineStr">
        <is>
          <t>Runs CRM, campaigns, SEO and digital channels.</t>
        </is>
      </c>
      <c r="D72" s="9" t="inlineStr"/>
      <c r="E72" s="9" t="inlineStr"/>
      <c r="F72" s="9" t="inlineStr">
        <is>
          <t>Runs campaigns, CRM, SEO and social channels</t>
        </is>
      </c>
      <c r="G72" s="9" t="inlineStr">
        <is>
          <t>Owns digital strategy, funnel and marketing analytics</t>
        </is>
      </c>
      <c r="H72" s="9" t="inlineStr"/>
      <c r="I72" s="9" t="inlineStr">
        <is>
          <t>UX career ladder Junior → Designer → Senior → Lead → Principal; WCAG accessibility</t>
        </is>
      </c>
      <c r="J72" s="9" t="inlineStr">
        <is>
          <t>Portfolio / case</t>
        </is>
      </c>
      <c r="K72" s="9" t="inlineStr">
        <is>
          <t>Google / HubSpot certifications</t>
        </is>
      </c>
      <c r="L72" s="8" t="n">
        <v>0</v>
      </c>
    </row>
    <row r="73" ht="54" customHeight="1">
      <c r="A73" s="14" t="inlineStr">
        <is>
          <t>Design &amp; Creative</t>
        </is>
      </c>
      <c r="B73" s="9" t="inlineStr">
        <is>
          <t>Process Improvement &amp; Quality Mindset</t>
        </is>
      </c>
      <c r="C73" s="9" t="inlineStr">
        <is>
          <t>Gets it right first time; improves processes and checklists.</t>
        </is>
      </c>
      <c r="D73" s="9" t="inlineStr"/>
      <c r="E73" s="9" t="inlineStr"/>
      <c r="F73" s="9" t="inlineStr">
        <is>
          <t>Delivers right-first-time; improves own checklists</t>
        </is>
      </c>
      <c r="G73" s="9" t="inlineStr">
        <is>
          <t>Redesigns team processes; reduces error rates measurably</t>
        </is>
      </c>
      <c r="H73" s="9" t="inlineStr"/>
      <c r="I73" s="9" t="inlineStr">
        <is>
          <t>UX career ladder Junior → Designer → Senior → Lead → Principal; WCAG accessibility</t>
        </is>
      </c>
      <c r="J73" s="9" t="inlineStr">
        <is>
          <t>Work sample / case</t>
        </is>
      </c>
      <c r="K73" s="9" t="inlineStr">
        <is>
          <t>Lean / Six Sigma · optional</t>
        </is>
      </c>
      <c r="L73" s="8" t="n">
        <v>0</v>
      </c>
    </row>
    <row r="74" ht="54" customHeight="1">
      <c r="A74" s="14" t="inlineStr">
        <is>
          <t>Design &amp; Creative</t>
        </is>
      </c>
      <c r="B74" s="9" t="inlineStr">
        <is>
          <t>AI, GenAI &amp; Prompt Engineering</t>
        </is>
      </c>
      <c r="C74" s="9" t="inlineStr">
        <is>
          <t>Uses or builds AI and LLM solutions to improve products and work.</t>
        </is>
      </c>
      <c r="D74" s="9" t="inlineStr"/>
      <c r="E74" s="9" t="inlineStr"/>
      <c r="F74" s="9" t="inlineStr">
        <is>
          <t>Uses AI / LLM tools in own work and validates output</t>
        </is>
      </c>
      <c r="G74" s="9" t="inlineStr">
        <is>
          <t>Builds AI features or AI-enabled processes; sets safe-use practice</t>
        </is>
      </c>
      <c r="H74" s="9" t="inlineStr"/>
      <c r="I74" s="9" t="inlineStr">
        <is>
          <t>UX career ladder Junior → Designer → Senior → Lead → Principal; WCAG accessibility</t>
        </is>
      </c>
      <c r="J74" s="9" t="inlineStr">
        <is>
          <t>Work sample / portfolio</t>
        </is>
      </c>
      <c r="K74" s="9" t="inlineStr">
        <is>
          <t>Vendor AI certifications · optional</t>
        </is>
      </c>
      <c r="L74" s="8" t="n">
        <v>0</v>
      </c>
    </row>
    <row r="75" ht="54" customHeight="1">
      <c r="A75" s="14" t="inlineStr">
        <is>
          <t>Design &amp; Creative</t>
        </is>
      </c>
      <c r="B75" s="9" t="inlineStr">
        <is>
          <t>Stakeholder &amp; Client Management</t>
        </is>
      </c>
      <c r="C75" s="9" t="inlineStr">
        <is>
          <t>Manages clients and stakeholders; handles changing requests.</t>
        </is>
      </c>
      <c r="D75" s="9" t="inlineStr"/>
      <c r="E75" s="9" t="inlineStr"/>
      <c r="F75" s="9" t="inlineStr">
        <is>
          <t>Manages client communication and expectations for own work</t>
        </is>
      </c>
      <c r="G75" s="9" t="inlineStr">
        <is>
          <t>Owns key relationships; resolves escalations</t>
        </is>
      </c>
      <c r="H75" s="9" t="inlineStr"/>
      <c r="I75" s="9" t="inlineStr">
        <is>
          <t>UX career ladder Junior → Designer → Senior → Lead → Principal; WCAG accessibility</t>
        </is>
      </c>
      <c r="J75" s="9" t="inlineStr">
        <is>
          <t>Role play / behavioural interview</t>
        </is>
      </c>
      <c r="K75" s="9" t="inlineStr">
        <is>
          <t>—</t>
        </is>
      </c>
      <c r="L75" s="8" t="n">
        <v>0</v>
      </c>
    </row>
    <row r="76" ht="67" customHeight="1">
      <c r="A76" s="14" t="inlineStr">
        <is>
          <t>Consulting &amp; Professional Services</t>
        </is>
      </c>
      <c r="B76" s="9" t="inlineStr">
        <is>
          <t>★ XBRL, iXBRL &amp; Taxonomy</t>
        </is>
      </c>
      <c r="C76" s="9" t="inlineStr">
        <is>
          <t>Tags, converts and validates XBRL / iXBRL filings; applies taxonomies.</t>
        </is>
      </c>
      <c r="D76" s="9" t="inlineStr"/>
      <c r="E76" s="9" t="inlineStr"/>
      <c r="F76" s="9" t="inlineStr">
        <is>
          <t>Tags and validates filings accurately for a market</t>
        </is>
      </c>
      <c r="G76" s="9" t="inlineStr">
        <is>
          <t>Resolves complex tagging and taxonomy issues; builds extensions; reviews others</t>
        </is>
      </c>
      <c r="H76" s="9" t="inlineStr"/>
      <c r="I76" s="9" t="inlineStr">
        <is>
          <t>XBRL US GAAP Certificate · AICPA &amp; XBRL US; XBRL International specifications; IFRS / US GAAP / Ind AS</t>
        </is>
      </c>
      <c r="J76" s="9" t="inlineStr">
        <is>
          <t>Tagging test on a real filing</t>
        </is>
      </c>
      <c r="K76" s="9" t="inlineStr">
        <is>
          <t>XBRL US GAAP Certificate · AICPA &amp; XBRL US or equivalent</t>
        </is>
      </c>
      <c r="L76" s="8" t="n">
        <v>60</v>
      </c>
    </row>
    <row r="77" ht="67" customHeight="1">
      <c r="A77" s="14" t="inlineStr">
        <is>
          <t>Consulting &amp; Professional Services</t>
        </is>
      </c>
      <c r="B77" s="9" t="inlineStr">
        <is>
          <t>★ Accounting &amp; Reporting Standards · IFRS/US GAAP</t>
        </is>
      </c>
      <c r="C77" s="9" t="inlineStr">
        <is>
          <t>Reads financial statements; applies IFRS / US GAAP / Ind AS.</t>
        </is>
      </c>
      <c r="D77" s="9" t="inlineStr"/>
      <c r="E77" s="9" t="inlineStr"/>
      <c r="F77" s="9" t="inlineStr">
        <is>
          <t>Applies IFRS / US GAAP / Ind AS correctly</t>
        </is>
      </c>
      <c r="G77" s="9" t="inlineStr">
        <is>
          <t>Advises on complex disclosures and standards changes</t>
        </is>
      </c>
      <c r="H77" s="9" t="inlineStr"/>
      <c r="I77" s="9" t="inlineStr">
        <is>
          <t>XBRL US GAAP Certificate · AICPA &amp; XBRL US; XBRL International specifications; IFRS / US GAAP / Ind AS</t>
        </is>
      </c>
      <c r="J77" s="9" t="inlineStr">
        <is>
          <t>Accounting test</t>
        </is>
      </c>
      <c r="K77" s="9" t="inlineStr">
        <is>
          <t>CA / CMA / ACCA / CFA / IFRS certificate</t>
        </is>
      </c>
      <c r="L77" s="8" t="n">
        <v>25</v>
      </c>
    </row>
    <row r="78" ht="67" customHeight="1">
      <c r="A78" s="14" t="inlineStr">
        <is>
          <t>Consulting &amp; Professional Services</t>
        </is>
      </c>
      <c r="B78" s="9" t="inlineStr">
        <is>
          <t>Regulatory &amp; BFSI Domain</t>
        </is>
      </c>
      <c r="C78" s="9" t="inlineStr">
        <is>
          <t>Understands regulators, returns, filings and BFSI rules.</t>
        </is>
      </c>
      <c r="D78" s="9" t="inlineStr"/>
      <c r="E78" s="9" t="inlineStr"/>
      <c r="F78" s="9" t="inlineStr">
        <is>
          <t>Knows the relevant regulators, returns and rules</t>
        </is>
      </c>
      <c r="G78" s="9" t="inlineStr">
        <is>
          <t>Interprets new regulation; advises clients and product</t>
        </is>
      </c>
      <c r="H78" s="9" t="inlineStr"/>
      <c r="I78" s="9" t="inlineStr">
        <is>
          <t>XBRL US GAAP Certificate · AICPA &amp; XBRL US; XBRL International specifications; IFRS / US GAAP / Ind AS</t>
        </is>
      </c>
      <c r="J78" s="9" t="inlineStr">
        <is>
          <t>Domain interview</t>
        </is>
      </c>
      <c r="K78" s="9" t="inlineStr">
        <is>
          <t>Domain certifications · optional</t>
        </is>
      </c>
      <c r="L78" s="8" t="n">
        <v>56</v>
      </c>
    </row>
    <row r="79" ht="67" customHeight="1">
      <c r="A79" s="14" t="inlineStr">
        <is>
          <t>Consulting &amp; Professional Services</t>
        </is>
      </c>
      <c r="B79" s="9" t="inlineStr">
        <is>
          <t>Process Improvement &amp; Quality Mindset</t>
        </is>
      </c>
      <c r="C79" s="9" t="inlineStr">
        <is>
          <t>Gets it right first time; improves processes and checklists.</t>
        </is>
      </c>
      <c r="D79" s="9" t="inlineStr"/>
      <c r="E79" s="9" t="inlineStr"/>
      <c r="F79" s="9" t="inlineStr">
        <is>
          <t>Delivers right-first-time; improves own checklists</t>
        </is>
      </c>
      <c r="G79" s="9" t="inlineStr">
        <is>
          <t>Redesigns team processes; reduces error rates measurably</t>
        </is>
      </c>
      <c r="H79" s="9" t="inlineStr"/>
      <c r="I79" s="9" t="inlineStr">
        <is>
          <t>XBRL US GAAP Certificate · AICPA &amp; XBRL US; XBRL International specifications; IFRS / US GAAP / Ind AS</t>
        </is>
      </c>
      <c r="J79" s="9" t="inlineStr">
        <is>
          <t>Work sample / case</t>
        </is>
      </c>
      <c r="K79" s="9" t="inlineStr">
        <is>
          <t>Lean / Six Sigma · optional</t>
        </is>
      </c>
      <c r="L79" s="8" t="n">
        <v>85</v>
      </c>
    </row>
    <row r="80" ht="67" customHeight="1">
      <c r="A80" s="14" t="inlineStr">
        <is>
          <t>Consulting &amp; Professional Services</t>
        </is>
      </c>
      <c r="B80" s="9" t="inlineStr">
        <is>
          <t>Advanced Excel &amp; Productivity Tools</t>
        </is>
      </c>
      <c r="C80" s="9" t="inlineStr">
        <is>
          <t>Uses Excel, Word, HTML and conversion tools expertly.</t>
        </is>
      </c>
      <c r="D80" s="9" t="inlineStr"/>
      <c r="E80" s="9" t="inlineStr"/>
      <c r="F80" s="9" t="inlineStr">
        <is>
          <t>Uses advanced Excel, Word, HTML and conversion tools fluently</t>
        </is>
      </c>
      <c r="G80" s="9" t="inlineStr">
        <is>
          <t>Builds templates and automation used by the team</t>
        </is>
      </c>
      <c r="H80" s="9" t="inlineStr"/>
      <c r="I80" s="9" t="inlineStr">
        <is>
          <t>XBRL US GAAP Certificate · AICPA &amp; XBRL US; XBRL International specifications; IFRS / US GAAP / Ind AS</t>
        </is>
      </c>
      <c r="J80" s="9" t="inlineStr">
        <is>
          <t>Practical test</t>
        </is>
      </c>
      <c r="K80" s="9" t="inlineStr">
        <is>
          <t>MOS Excel · optional</t>
        </is>
      </c>
      <c r="L80" s="8" t="n">
        <v>24</v>
      </c>
    </row>
    <row r="81" ht="67" customHeight="1">
      <c r="A81" s="14" t="inlineStr">
        <is>
          <t>Consulting &amp; Professional Services</t>
        </is>
      </c>
      <c r="B81" s="9" t="inlineStr">
        <is>
          <t>AI, GenAI &amp; Prompt Engineering</t>
        </is>
      </c>
      <c r="C81" s="9" t="inlineStr">
        <is>
          <t>Uses or builds AI and LLM solutions to improve products and work.</t>
        </is>
      </c>
      <c r="D81" s="9" t="inlineStr"/>
      <c r="E81" s="9" t="inlineStr"/>
      <c r="F81" s="9" t="inlineStr">
        <is>
          <t>Uses AI / LLM tools in own work and validates output</t>
        </is>
      </c>
      <c r="G81" s="9" t="inlineStr">
        <is>
          <t>Builds AI features or AI-enabled processes; sets safe-use practice</t>
        </is>
      </c>
      <c r="H81" s="9" t="inlineStr"/>
      <c r="I81" s="9" t="inlineStr">
        <is>
          <t>XBRL US GAAP Certificate · AICPA &amp; XBRL US; XBRL International specifications; IFRS / US GAAP / Ind AS</t>
        </is>
      </c>
      <c r="J81" s="9" t="inlineStr">
        <is>
          <t>Work sample / portfolio</t>
        </is>
      </c>
      <c r="K81" s="9" t="inlineStr">
        <is>
          <t>Vendor AI certifications · optional</t>
        </is>
      </c>
      <c r="L81" s="8" t="n">
        <v>1</v>
      </c>
    </row>
    <row r="82" ht="54" customHeight="1">
      <c r="A82" s="14" t="inlineStr">
        <is>
          <t>Data Operations &amp; Digitization</t>
        </is>
      </c>
      <c r="B82" s="9" t="inlineStr">
        <is>
          <t>★ Advanced Excel &amp; Productivity Tools</t>
        </is>
      </c>
      <c r="C82" s="9" t="inlineStr">
        <is>
          <t>Uses Excel, Word, HTML and conversion tools expertly.</t>
        </is>
      </c>
      <c r="D82" s="9" t="inlineStr"/>
      <c r="E82" s="9" t="inlineStr"/>
      <c r="F82" s="9" t="inlineStr">
        <is>
          <t>Uses advanced Excel, Word, HTML and conversion tools fluently</t>
        </is>
      </c>
      <c r="G82" s="9" t="inlineStr">
        <is>
          <t>Builds templates and automation used by the team</t>
        </is>
      </c>
      <c r="H82" s="9" t="inlineStr"/>
      <c r="I82" s="9" t="inlineStr">
        <is>
          <t>COPC CX Standard · leadership &amp; planning, people, processes, performance; ISO 9001; Lean / Six Sigma</t>
        </is>
      </c>
      <c r="J82" s="9" t="inlineStr">
        <is>
          <t>Practical test</t>
        </is>
      </c>
      <c r="K82" s="9" t="inlineStr">
        <is>
          <t>MOS Excel · optional</t>
        </is>
      </c>
      <c r="L82" s="8" t="n">
        <v>32</v>
      </c>
    </row>
    <row r="83" ht="54" customHeight="1">
      <c r="A83" s="14" t="inlineStr">
        <is>
          <t>Data Operations &amp; Digitization</t>
        </is>
      </c>
      <c r="B83" s="9" t="inlineStr">
        <is>
          <t>★ Process Improvement &amp; Quality Mindset</t>
        </is>
      </c>
      <c r="C83" s="9" t="inlineStr">
        <is>
          <t>Gets it right first time; improves processes and checklists.</t>
        </is>
      </c>
      <c r="D83" s="9" t="inlineStr"/>
      <c r="E83" s="9" t="inlineStr"/>
      <c r="F83" s="9" t="inlineStr">
        <is>
          <t>Delivers right-first-time; improves own checklists</t>
        </is>
      </c>
      <c r="G83" s="9" t="inlineStr">
        <is>
          <t>Redesigns team processes; reduces error rates measurably</t>
        </is>
      </c>
      <c r="H83" s="9" t="inlineStr"/>
      <c r="I83" s="9" t="inlineStr">
        <is>
          <t>COPC CX Standard · leadership &amp; planning, people, processes, performance; ISO 9001; Lean / Six Sigma</t>
        </is>
      </c>
      <c r="J83" s="9" t="inlineStr">
        <is>
          <t>Work sample / case</t>
        </is>
      </c>
      <c r="K83" s="9" t="inlineStr">
        <is>
          <t>Lean / Six Sigma · optional</t>
        </is>
      </c>
      <c r="L83" s="8" t="n">
        <v>19</v>
      </c>
    </row>
    <row r="84" ht="54" customHeight="1">
      <c r="A84" s="14" t="inlineStr">
        <is>
          <t>Data Operations &amp; Digitization</t>
        </is>
      </c>
      <c r="B84" s="9" t="inlineStr">
        <is>
          <t>Regulatory &amp; BFSI Domain</t>
        </is>
      </c>
      <c r="C84" s="9" t="inlineStr">
        <is>
          <t>Understands regulators, returns, filings and BFSI rules.</t>
        </is>
      </c>
      <c r="D84" s="9" t="inlineStr"/>
      <c r="E84" s="9" t="inlineStr"/>
      <c r="F84" s="9" t="inlineStr">
        <is>
          <t>Knows the relevant regulators, returns and rules</t>
        </is>
      </c>
      <c r="G84" s="9" t="inlineStr">
        <is>
          <t>Interprets new regulation; advises clients and product</t>
        </is>
      </c>
      <c r="H84" s="9" t="inlineStr"/>
      <c r="I84" s="9" t="inlineStr">
        <is>
          <t>COPC CX Standard · leadership &amp; planning, people, processes, performance; ISO 9001; Lean / Six Sigma</t>
        </is>
      </c>
      <c r="J84" s="9" t="inlineStr">
        <is>
          <t>Domain interview</t>
        </is>
      </c>
      <c r="K84" s="9" t="inlineStr">
        <is>
          <t>Domain certifications · optional</t>
        </is>
      </c>
      <c r="L84" s="8" t="n">
        <v>0</v>
      </c>
    </row>
    <row r="85" ht="54" customHeight="1">
      <c r="A85" s="14" t="inlineStr">
        <is>
          <t>Data Operations &amp; Digitization</t>
        </is>
      </c>
      <c r="B85" s="9" t="inlineStr">
        <is>
          <t>XBRL, iXBRL &amp; Taxonomy</t>
        </is>
      </c>
      <c r="C85" s="9" t="inlineStr">
        <is>
          <t>Tags, converts and validates XBRL / iXBRL filings; applies taxonomies.</t>
        </is>
      </c>
      <c r="D85" s="9" t="inlineStr"/>
      <c r="E85" s="9" t="inlineStr"/>
      <c r="F85" s="9" t="inlineStr">
        <is>
          <t>Tags and validates filings accurately for a market</t>
        </is>
      </c>
      <c r="G85" s="9" t="inlineStr">
        <is>
          <t>Resolves complex tagging and taxonomy issues; builds extensions; reviews others</t>
        </is>
      </c>
      <c r="H85" s="9" t="inlineStr"/>
      <c r="I85" s="9" t="inlineStr">
        <is>
          <t>COPC CX Standard · leadership &amp; planning, people, processes, performance; ISO 9001; Lean / Six Sigma</t>
        </is>
      </c>
      <c r="J85" s="9" t="inlineStr">
        <is>
          <t>Tagging test on a real filing</t>
        </is>
      </c>
      <c r="K85" s="9" t="inlineStr">
        <is>
          <t>XBRL US GAAP Certificate · AICPA &amp; XBRL US or equivalent</t>
        </is>
      </c>
      <c r="L85" s="8" t="n">
        <v>1</v>
      </c>
    </row>
    <row r="86" ht="54" customHeight="1">
      <c r="A86" s="14" t="inlineStr">
        <is>
          <t>Data Operations &amp; Digitization</t>
        </is>
      </c>
      <c r="B86" s="9" t="inlineStr">
        <is>
          <t>AI, GenAI &amp; Prompt Engineering</t>
        </is>
      </c>
      <c r="C86" s="9" t="inlineStr">
        <is>
          <t>Uses or builds AI and LLM solutions to improve products and work.</t>
        </is>
      </c>
      <c r="D86" s="9" t="inlineStr"/>
      <c r="E86" s="9" t="inlineStr"/>
      <c r="F86" s="9" t="inlineStr">
        <is>
          <t>Uses AI / LLM tools in own work and validates output</t>
        </is>
      </c>
      <c r="G86" s="9" t="inlineStr">
        <is>
          <t>Builds AI features or AI-enabled processes; sets safe-use practice</t>
        </is>
      </c>
      <c r="H86" s="9" t="inlineStr"/>
      <c r="I86" s="9" t="inlineStr">
        <is>
          <t>COPC CX Standard · leadership &amp; planning, people, processes, performance; ISO 9001; Lean / Six Sigma</t>
        </is>
      </c>
      <c r="J86" s="9" t="inlineStr">
        <is>
          <t>Work sample / portfolio</t>
        </is>
      </c>
      <c r="K86" s="9" t="inlineStr">
        <is>
          <t>Vendor AI certifications · optional</t>
        </is>
      </c>
      <c r="L86" s="8" t="n">
        <v>1</v>
      </c>
    </row>
    <row r="87" ht="54" customHeight="1">
      <c r="A87" s="14" t="inlineStr">
        <is>
          <t>Data Operations &amp; Digitization</t>
        </is>
      </c>
      <c r="B87" s="9" t="inlineStr">
        <is>
          <t>Time, Priority &amp; Self-Management</t>
        </is>
      </c>
      <c r="C87" s="9" t="inlineStr">
        <is>
          <t>Manages volume, deadlines and priorities.</t>
        </is>
      </c>
      <c r="D87" s="9" t="inlineStr"/>
      <c r="E87" s="9" t="inlineStr"/>
      <c r="F87" s="9" t="inlineStr">
        <is>
          <t>Manages volume and deadlines without slippage</t>
        </is>
      </c>
      <c r="G87" s="9" t="inlineStr">
        <is>
          <t>Plans team capacity and peak-season loads</t>
        </is>
      </c>
      <c r="H87" s="9" t="inlineStr"/>
      <c r="I87" s="9" t="inlineStr">
        <is>
          <t>COPC CX Standard · leadership &amp; planning, people, processes, performance; ISO 9001; Lean / Six Sigma</t>
        </is>
      </c>
      <c r="J87" s="9" t="inlineStr">
        <is>
          <t>Behavioural interview</t>
        </is>
      </c>
      <c r="K87" s="9" t="inlineStr">
        <is>
          <t>—</t>
        </is>
      </c>
      <c r="L87" s="8" t="n">
        <v>0</v>
      </c>
    </row>
    <row r="88" ht="41" customHeight="1">
      <c r="A88" s="14" t="inlineStr">
        <is>
          <t>Data &amp; Analytics</t>
        </is>
      </c>
      <c r="B88" s="9" t="inlineStr">
        <is>
          <t>★ Data Analytics, BI &amp; Visualisation</t>
        </is>
      </c>
      <c r="C88" s="9" t="inlineStr">
        <is>
          <t>Turns data into MIS, dashboards and insight.</t>
        </is>
      </c>
      <c r="D88" s="9" t="inlineStr"/>
      <c r="E88" s="9" t="inlineStr"/>
      <c r="F88" s="9" t="inlineStr">
        <is>
          <t>Builds MIS, dashboards and analysis</t>
        </is>
      </c>
      <c r="G88" s="9" t="inlineStr">
        <is>
          <t>Defines metrics and analytics approach for a business</t>
        </is>
      </c>
      <c r="H88" s="9" t="inlineStr"/>
      <c r="I88" s="9" t="inlineStr">
        <is>
          <t>DAMA-DMBOK · 11 knowledge areas around data governance</t>
        </is>
      </c>
      <c r="J88" s="9" t="inlineStr">
        <is>
          <t>Data case / practical</t>
        </is>
      </c>
      <c r="K88" s="9" t="inlineStr">
        <is>
          <t>Power BI / Tableau · optional</t>
        </is>
      </c>
      <c r="L88" s="8" t="n">
        <v>0</v>
      </c>
    </row>
    <row r="89" ht="41" customHeight="1">
      <c r="A89" s="14" t="inlineStr">
        <is>
          <t>Data &amp; Analytics</t>
        </is>
      </c>
      <c r="B89" s="9" t="inlineStr">
        <is>
          <t>★ Database, SQL &amp; Data Engineering</t>
        </is>
      </c>
      <c r="C89" s="9" t="inlineStr">
        <is>
          <t>Writes and tunes SQL, data models and ETL.</t>
        </is>
      </c>
      <c r="D89" s="9" t="inlineStr"/>
      <c r="E89" s="9" t="inlineStr"/>
      <c r="F89" s="9" t="inlineStr">
        <is>
          <t>Writes and tunes queries, procedures and ETL</t>
        </is>
      </c>
      <c r="G89" s="9" t="inlineStr">
        <is>
          <t>Designs data models and pipelines; optimises at scale</t>
        </is>
      </c>
      <c r="H89" s="9" t="inlineStr"/>
      <c r="I89" s="9" t="inlineStr">
        <is>
          <t>DAMA-DMBOK · 11 knowledge areas around data governance</t>
        </is>
      </c>
      <c r="J89" s="9" t="inlineStr">
        <is>
          <t>SQL test / case</t>
        </is>
      </c>
      <c r="K89" s="9" t="inlineStr">
        <is>
          <t>Database certifications · optional</t>
        </is>
      </c>
      <c r="L89" s="8" t="n">
        <v>8</v>
      </c>
    </row>
    <row r="90" ht="41" customHeight="1">
      <c r="A90" s="14" t="inlineStr">
        <is>
          <t>Data &amp; Analytics</t>
        </is>
      </c>
      <c r="B90" s="9" t="inlineStr">
        <is>
          <t>Advanced Excel &amp; Productivity Tools</t>
        </is>
      </c>
      <c r="C90" s="9" t="inlineStr">
        <is>
          <t>Uses Excel, Word, HTML and conversion tools expertly.</t>
        </is>
      </c>
      <c r="D90" s="9" t="inlineStr"/>
      <c r="E90" s="9" t="inlineStr"/>
      <c r="F90" s="9" t="inlineStr">
        <is>
          <t>Uses advanced Excel, Word, HTML and conversion tools fluently</t>
        </is>
      </c>
      <c r="G90" s="9" t="inlineStr">
        <is>
          <t>Builds templates and automation used by the team</t>
        </is>
      </c>
      <c r="H90" s="9" t="inlineStr"/>
      <c r="I90" s="9" t="inlineStr">
        <is>
          <t>DAMA-DMBOK · 11 knowledge areas around data governance</t>
        </is>
      </c>
      <c r="J90" s="9" t="inlineStr">
        <is>
          <t>Practical test</t>
        </is>
      </c>
      <c r="K90" s="9" t="inlineStr">
        <is>
          <t>MOS Excel · optional</t>
        </is>
      </c>
      <c r="L90" s="8" t="n">
        <v>0</v>
      </c>
    </row>
    <row r="91" ht="41" customHeight="1">
      <c r="A91" s="14" t="inlineStr">
        <is>
          <t>Data &amp; Analytics</t>
        </is>
      </c>
      <c r="B91" s="9" t="inlineStr">
        <is>
          <t>Regulatory &amp; BFSI Domain</t>
        </is>
      </c>
      <c r="C91" s="9" t="inlineStr">
        <is>
          <t>Understands regulators, returns, filings and BFSI rules.</t>
        </is>
      </c>
      <c r="D91" s="9" t="inlineStr"/>
      <c r="E91" s="9" t="inlineStr"/>
      <c r="F91" s="9" t="inlineStr">
        <is>
          <t>Knows the relevant regulators, returns and rules</t>
        </is>
      </c>
      <c r="G91" s="9" t="inlineStr">
        <is>
          <t>Interprets new regulation; advises clients and product</t>
        </is>
      </c>
      <c r="H91" s="9" t="inlineStr"/>
      <c r="I91" s="9" t="inlineStr">
        <is>
          <t>DAMA-DMBOK · 11 knowledge areas around data governance</t>
        </is>
      </c>
      <c r="J91" s="9" t="inlineStr">
        <is>
          <t>Domain interview</t>
        </is>
      </c>
      <c r="K91" s="9" t="inlineStr">
        <is>
          <t>Domain certifications · optional</t>
        </is>
      </c>
      <c r="L91" s="8" t="n">
        <v>0</v>
      </c>
    </row>
    <row r="92" ht="41" customHeight="1">
      <c r="A92" s="14" t="inlineStr">
        <is>
          <t>Data &amp; Analytics</t>
        </is>
      </c>
      <c r="B92" s="9" t="inlineStr">
        <is>
          <t>Process Improvement &amp; Quality Mindset</t>
        </is>
      </c>
      <c r="C92" s="9" t="inlineStr">
        <is>
          <t>Gets it right first time; improves processes and checklists.</t>
        </is>
      </c>
      <c r="D92" s="9" t="inlineStr"/>
      <c r="E92" s="9" t="inlineStr"/>
      <c r="F92" s="9" t="inlineStr">
        <is>
          <t>Delivers right-first-time; improves own checklists</t>
        </is>
      </c>
      <c r="G92" s="9" t="inlineStr">
        <is>
          <t>Redesigns team processes; reduces error rates measurably</t>
        </is>
      </c>
      <c r="H92" s="9" t="inlineStr"/>
      <c r="I92" s="9" t="inlineStr">
        <is>
          <t>DAMA-DMBOK · 11 knowledge areas around data governance</t>
        </is>
      </c>
      <c r="J92" s="9" t="inlineStr">
        <is>
          <t>Work sample / case</t>
        </is>
      </c>
      <c r="K92" s="9" t="inlineStr">
        <is>
          <t>Lean / Six Sigma · optional</t>
        </is>
      </c>
      <c r="L92" s="8" t="n">
        <v>8</v>
      </c>
    </row>
    <row r="93" ht="41" customHeight="1">
      <c r="A93" s="14" t="inlineStr">
        <is>
          <t>Data &amp; Analytics</t>
        </is>
      </c>
      <c r="B93" s="9" t="inlineStr">
        <is>
          <t>Accounting &amp; Reporting Standards · IFRS/US GAAP</t>
        </is>
      </c>
      <c r="C93" s="9" t="inlineStr">
        <is>
          <t>Reads financial statements; applies IFRS / US GAAP / Ind AS.</t>
        </is>
      </c>
      <c r="D93" s="9" t="inlineStr"/>
      <c r="E93" s="9" t="inlineStr"/>
      <c r="F93" s="9" t="inlineStr">
        <is>
          <t>Applies IFRS / US GAAP / Ind AS correctly</t>
        </is>
      </c>
      <c r="G93" s="9" t="inlineStr">
        <is>
          <t>Advises on complex disclosures and standards changes</t>
        </is>
      </c>
      <c r="H93" s="9" t="inlineStr"/>
      <c r="I93" s="9" t="inlineStr">
        <is>
          <t>DAMA-DMBOK · 11 knowledge areas around data governance</t>
        </is>
      </c>
      <c r="J93" s="9" t="inlineStr">
        <is>
          <t>Accounting test</t>
        </is>
      </c>
      <c r="K93" s="9" t="inlineStr">
        <is>
          <t>CA / CMA / ACCA / CFA / IFRS certificate</t>
        </is>
      </c>
      <c r="L93" s="8" t="n">
        <v>0</v>
      </c>
    </row>
    <row r="94" ht="54" customHeight="1">
      <c r="A94" s="14" t="inlineStr">
        <is>
          <t>Customer Success &amp; Support</t>
        </is>
      </c>
      <c r="B94" s="9" t="inlineStr">
        <is>
          <t>★ Product, Platform &amp; Domain Knowledge</t>
        </is>
      </c>
      <c r="C94" s="9" t="inlineStr">
        <is>
          <t>Knows IRIS products, platforms and the client's domain.</t>
        </is>
      </c>
      <c r="D94" s="9" t="inlineStr"/>
      <c r="E94" s="9" t="inlineStr"/>
      <c r="F94" s="9" t="inlineStr">
        <is>
          <t>Handles most product and domain scenarios</t>
        </is>
      </c>
      <c r="G94" s="9" t="inlineStr">
        <is>
          <t>Recognised product / domain expert; trains others</t>
        </is>
      </c>
      <c r="H94" s="9" t="inlineStr"/>
      <c r="I94" s="9" t="inlineStr">
        <is>
          <t>TSIA frameworks and benchmarks; ITIL 4 service desk; Gainsight customer-success practice</t>
        </is>
      </c>
      <c r="J94" s="9" t="inlineStr">
        <is>
          <t>Scenario interview</t>
        </is>
      </c>
      <c r="K94" s="9" t="inlineStr">
        <is>
          <t>Internal product certification</t>
        </is>
      </c>
      <c r="L94" s="8" t="n">
        <v>26</v>
      </c>
    </row>
    <row r="95" ht="54" customHeight="1">
      <c r="A95" s="14" t="inlineStr">
        <is>
          <t>Customer Success &amp; Support</t>
        </is>
      </c>
      <c r="B95" s="9" t="inlineStr">
        <is>
          <t>★ Stakeholder &amp; Client Management</t>
        </is>
      </c>
      <c r="C95" s="9" t="inlineStr">
        <is>
          <t>Manages clients and stakeholders; handles changing requests.</t>
        </is>
      </c>
      <c r="D95" s="9" t="inlineStr"/>
      <c r="E95" s="9" t="inlineStr"/>
      <c r="F95" s="9" t="inlineStr">
        <is>
          <t>Manages client communication and expectations for own work</t>
        </is>
      </c>
      <c r="G95" s="9" t="inlineStr">
        <is>
          <t>Owns key relationships; resolves escalations</t>
        </is>
      </c>
      <c r="H95" s="9" t="inlineStr"/>
      <c r="I95" s="9" t="inlineStr">
        <is>
          <t>TSIA frameworks and benchmarks; ITIL 4 service desk; Gainsight customer-success practice</t>
        </is>
      </c>
      <c r="J95" s="9" t="inlineStr">
        <is>
          <t>Role play / behavioural interview</t>
        </is>
      </c>
      <c r="K95" s="9" t="inlineStr">
        <is>
          <t>—</t>
        </is>
      </c>
      <c r="L95" s="8" t="n">
        <v>22</v>
      </c>
    </row>
    <row r="96" ht="54" customHeight="1">
      <c r="A96" s="14" t="inlineStr">
        <is>
          <t>Customer Success &amp; Support</t>
        </is>
      </c>
      <c r="B96" s="9" t="inlineStr">
        <is>
          <t>Communication &amp; Presentation</t>
        </is>
      </c>
      <c r="C96" s="9" t="inlineStr">
        <is>
          <t>Writes and presents clearly to clients and teams.</t>
        </is>
      </c>
      <c r="D96" s="9" t="inlineStr"/>
      <c r="E96" s="9" t="inlineStr"/>
      <c r="F96" s="9" t="inlineStr">
        <is>
          <t>Writes and presents clearly to clients and teams</t>
        </is>
      </c>
      <c r="G96" s="9" t="inlineStr">
        <is>
          <t>Presents to senior stakeholders; shapes messaging</t>
        </is>
      </c>
      <c r="H96" s="9" t="inlineStr"/>
      <c r="I96" s="9" t="inlineStr">
        <is>
          <t>TSIA frameworks and benchmarks; ITIL 4 service desk; Gainsight customer-success practice</t>
        </is>
      </c>
      <c r="J96" s="9" t="inlineStr">
        <is>
          <t>Presentation / writing test</t>
        </is>
      </c>
      <c r="K96" s="9" t="inlineStr">
        <is>
          <t>—</t>
        </is>
      </c>
      <c r="L96" s="8" t="n">
        <v>21</v>
      </c>
    </row>
    <row r="97" ht="54" customHeight="1">
      <c r="A97" s="14" t="inlineStr">
        <is>
          <t>Customer Success &amp; Support</t>
        </is>
      </c>
      <c r="B97" s="9" t="inlineStr">
        <is>
          <t>Database, SQL &amp; Data Engineering</t>
        </is>
      </c>
      <c r="C97" s="9" t="inlineStr">
        <is>
          <t>Writes and tunes SQL, data models and ETL.</t>
        </is>
      </c>
      <c r="D97" s="9" t="inlineStr"/>
      <c r="E97" s="9" t="inlineStr"/>
      <c r="F97" s="9" t="inlineStr">
        <is>
          <t>Writes and tunes queries, procedures and ETL</t>
        </is>
      </c>
      <c r="G97" s="9" t="inlineStr">
        <is>
          <t>Designs data models and pipelines; optimises at scale</t>
        </is>
      </c>
      <c r="H97" s="9" t="inlineStr"/>
      <c r="I97" s="9" t="inlineStr">
        <is>
          <t>TSIA frameworks and benchmarks; ITIL 4 service desk; Gainsight customer-success practice</t>
        </is>
      </c>
      <c r="J97" s="9" t="inlineStr">
        <is>
          <t>SQL test / case</t>
        </is>
      </c>
      <c r="K97" s="9" t="inlineStr">
        <is>
          <t>Database certifications · optional</t>
        </is>
      </c>
      <c r="L97" s="8" t="n">
        <v>9</v>
      </c>
    </row>
    <row r="98" ht="54" customHeight="1">
      <c r="A98" s="14" t="inlineStr">
        <is>
          <t>Customer Success &amp; Support</t>
        </is>
      </c>
      <c r="B98" s="9" t="inlineStr">
        <is>
          <t>Regulatory &amp; BFSI Domain</t>
        </is>
      </c>
      <c r="C98" s="9" t="inlineStr">
        <is>
          <t>Understands regulators, returns, filings and BFSI rules.</t>
        </is>
      </c>
      <c r="D98" s="9" t="inlineStr"/>
      <c r="E98" s="9" t="inlineStr"/>
      <c r="F98" s="9" t="inlineStr">
        <is>
          <t>Knows the relevant regulators, returns and rules</t>
        </is>
      </c>
      <c r="G98" s="9" t="inlineStr">
        <is>
          <t>Interprets new regulation; advises clients and product</t>
        </is>
      </c>
      <c r="H98" s="9" t="inlineStr"/>
      <c r="I98" s="9" t="inlineStr">
        <is>
          <t>TSIA frameworks and benchmarks; ITIL 4 service desk; Gainsight customer-success practice</t>
        </is>
      </c>
      <c r="J98" s="9" t="inlineStr">
        <is>
          <t>Domain interview</t>
        </is>
      </c>
      <c r="K98" s="9" t="inlineStr">
        <is>
          <t>Domain certifications · optional</t>
        </is>
      </c>
      <c r="L98" s="8" t="n">
        <v>1</v>
      </c>
    </row>
    <row r="99" ht="54" customHeight="1">
      <c r="A99" s="14" t="inlineStr">
        <is>
          <t>Customer Success &amp; Support</t>
        </is>
      </c>
      <c r="B99" s="9" t="inlineStr">
        <is>
          <t>Process Improvement &amp; Quality Mindset</t>
        </is>
      </c>
      <c r="C99" s="9" t="inlineStr">
        <is>
          <t>Gets it right first time; improves processes and checklists.</t>
        </is>
      </c>
      <c r="D99" s="9" t="inlineStr"/>
      <c r="E99" s="9" t="inlineStr"/>
      <c r="F99" s="9" t="inlineStr">
        <is>
          <t>Delivers right-first-time; improves own checklists</t>
        </is>
      </c>
      <c r="G99" s="9" t="inlineStr">
        <is>
          <t>Redesigns team processes; reduces error rates measurably</t>
        </is>
      </c>
      <c r="H99" s="9" t="inlineStr"/>
      <c r="I99" s="9" t="inlineStr">
        <is>
          <t>TSIA frameworks and benchmarks; ITIL 4 service desk; Gainsight customer-success practice</t>
        </is>
      </c>
      <c r="J99" s="9" t="inlineStr">
        <is>
          <t>Work sample / case</t>
        </is>
      </c>
      <c r="K99" s="9" t="inlineStr">
        <is>
          <t>Lean / Six Sigma · optional</t>
        </is>
      </c>
      <c r="L99" s="8" t="n">
        <v>20</v>
      </c>
    </row>
    <row r="100" ht="41" customHeight="1">
      <c r="A100" s="14" t="inlineStr">
        <is>
          <t>Solution Consulting &amp; Implementation</t>
        </is>
      </c>
      <c r="B100" s="9" t="inlineStr">
        <is>
          <t>★ Product, Platform &amp; Domain Knowledge</t>
        </is>
      </c>
      <c r="C100" s="9" t="inlineStr">
        <is>
          <t>Knows IRIS products, platforms and the client's domain.</t>
        </is>
      </c>
      <c r="D100" s="9" t="inlineStr"/>
      <c r="E100" s="9" t="inlineStr"/>
      <c r="F100" s="9" t="inlineStr">
        <is>
          <t>Handles most product and domain scenarios</t>
        </is>
      </c>
      <c r="G100" s="9" t="inlineStr">
        <is>
          <t>Recognised product / domain expert; trains others</t>
        </is>
      </c>
      <c r="H100" s="9" t="inlineStr"/>
      <c r="I100" s="9" t="inlineStr">
        <is>
          <t>TSIA professional services; PMI; BABOK</t>
        </is>
      </c>
      <c r="J100" s="9" t="inlineStr">
        <is>
          <t>Scenario interview</t>
        </is>
      </c>
      <c r="K100" s="9" t="inlineStr">
        <is>
          <t>Internal product certification</t>
        </is>
      </c>
      <c r="L100" s="8" t="n">
        <v>2</v>
      </c>
    </row>
    <row r="101" ht="41" customHeight="1">
      <c r="A101" s="14" t="inlineStr">
        <is>
          <t>Solution Consulting &amp; Implementation</t>
        </is>
      </c>
      <c r="B101" s="9" t="inlineStr">
        <is>
          <t>★ ESG &amp; Sustainability</t>
        </is>
      </c>
      <c r="C101" s="9" t="inlineStr">
        <is>
          <t>Applies ESG frameworks · BRSR, CSRD, GRI, ISSB.</t>
        </is>
      </c>
      <c r="D101" s="9" t="inlineStr"/>
      <c r="E101" s="9" t="inlineStr"/>
      <c r="F101" s="9" t="inlineStr">
        <is>
          <t>Applies ESG frameworks for clients</t>
        </is>
      </c>
      <c r="G101" s="9" t="inlineStr">
        <is>
          <t>Advises on ESG reporting strategy</t>
        </is>
      </c>
      <c r="H101" s="9" t="inlineStr"/>
      <c r="I101" s="9" t="inlineStr">
        <is>
          <t>TSIA professional services; PMI; BABOK</t>
        </is>
      </c>
      <c r="J101" s="9" t="inlineStr">
        <is>
          <t>Case study</t>
        </is>
      </c>
      <c r="K101" s="9" t="inlineStr">
        <is>
          <t>GRI / SASB / ESG certificates</t>
        </is>
      </c>
      <c r="L101" s="8" t="n">
        <v>0</v>
      </c>
    </row>
    <row r="102" ht="41" customHeight="1">
      <c r="A102" s="14" t="inlineStr">
        <is>
          <t>Solution Consulting &amp; Implementation</t>
        </is>
      </c>
      <c r="B102" s="9" t="inlineStr">
        <is>
          <t>Stakeholder &amp; Client Management</t>
        </is>
      </c>
      <c r="C102" s="9" t="inlineStr">
        <is>
          <t>Manages clients and stakeholders; handles changing requests.</t>
        </is>
      </c>
      <c r="D102" s="9" t="inlineStr"/>
      <c r="E102" s="9" t="inlineStr"/>
      <c r="F102" s="9" t="inlineStr">
        <is>
          <t>Manages client communication and expectations for own work</t>
        </is>
      </c>
      <c r="G102" s="9" t="inlineStr">
        <is>
          <t>Owns key relationships; resolves escalations</t>
        </is>
      </c>
      <c r="H102" s="9" t="inlineStr"/>
      <c r="I102" s="9" t="inlineStr">
        <is>
          <t>TSIA professional services; PMI; BABOK</t>
        </is>
      </c>
      <c r="J102" s="9" t="inlineStr">
        <is>
          <t>Role play / behavioural interview</t>
        </is>
      </c>
      <c r="K102" s="9" t="inlineStr">
        <is>
          <t>—</t>
        </is>
      </c>
      <c r="L102" s="8" t="n">
        <v>2</v>
      </c>
    </row>
    <row r="103" ht="41" customHeight="1">
      <c r="A103" s="14" t="inlineStr">
        <is>
          <t>Solution Consulting &amp; Implementation</t>
        </is>
      </c>
      <c r="B103" s="9" t="inlineStr">
        <is>
          <t>Communication &amp; Presentation</t>
        </is>
      </c>
      <c r="C103" s="9" t="inlineStr">
        <is>
          <t>Writes and presents clearly to clients and teams.</t>
        </is>
      </c>
      <c r="D103" s="9" t="inlineStr"/>
      <c r="E103" s="9" t="inlineStr"/>
      <c r="F103" s="9" t="inlineStr">
        <is>
          <t>Writes and presents clearly to clients and teams</t>
        </is>
      </c>
      <c r="G103" s="9" t="inlineStr">
        <is>
          <t>Presents to senior stakeholders; shapes messaging</t>
        </is>
      </c>
      <c r="H103" s="9" t="inlineStr"/>
      <c r="I103" s="9" t="inlineStr">
        <is>
          <t>TSIA professional services; PMI; BABOK</t>
        </is>
      </c>
      <c r="J103" s="9" t="inlineStr">
        <is>
          <t>Presentation / writing test</t>
        </is>
      </c>
      <c r="K103" s="9" t="inlineStr">
        <is>
          <t>—</t>
        </is>
      </c>
      <c r="L103" s="8" t="n">
        <v>1</v>
      </c>
    </row>
    <row r="104" ht="41" customHeight="1">
      <c r="A104" s="14" t="inlineStr">
        <is>
          <t>Solution Consulting &amp; Implementation</t>
        </is>
      </c>
      <c r="B104" s="9" t="inlineStr">
        <is>
          <t>Business Analysis &amp; Requirements Engineering</t>
        </is>
      </c>
      <c r="C104" s="9" t="inlineStr">
        <is>
          <t>Captures, documents and validates requirements.</t>
        </is>
      </c>
      <c r="D104" s="9" t="inlineStr"/>
      <c r="E104" s="9" t="inlineStr"/>
      <c r="F104" s="9" t="inlineStr">
        <is>
          <t>Writes BRD / FSD / user stories and validates them</t>
        </is>
      </c>
      <c r="G104" s="9" t="inlineStr">
        <is>
          <t>Leads complex requirement programmes; sets BA standards</t>
        </is>
      </c>
      <c r="H104" s="9" t="inlineStr"/>
      <c r="I104" s="9" t="inlineStr">
        <is>
          <t>TSIA professional services; PMI; BABOK</t>
        </is>
      </c>
      <c r="J104" s="9" t="inlineStr">
        <is>
          <t>Case study</t>
        </is>
      </c>
      <c r="K104" s="9" t="inlineStr">
        <is>
          <t>CBAP / CCBA · optional</t>
        </is>
      </c>
      <c r="L104" s="8" t="n">
        <v>0</v>
      </c>
    </row>
    <row r="105" ht="41" customHeight="1">
      <c r="A105" s="14" t="inlineStr">
        <is>
          <t>Solution Consulting &amp; Implementation</t>
        </is>
      </c>
      <c r="B105" s="9" t="inlineStr">
        <is>
          <t>Project, Program &amp; Agile Management</t>
        </is>
      </c>
      <c r="C105" s="9" t="inlineStr">
        <is>
          <t>Plans, tracks and delivers on time using agile / hybrid practice.</t>
        </is>
      </c>
      <c r="D105" s="9" t="inlineStr"/>
      <c r="E105" s="9" t="inlineStr"/>
      <c r="F105" s="9" t="inlineStr">
        <is>
          <t>Plans and tracks delivery; manages risk and scope</t>
        </is>
      </c>
      <c r="G105" s="9" t="inlineStr">
        <is>
          <t>Runs programmes across teams; improves delivery methods</t>
        </is>
      </c>
      <c r="H105" s="9" t="inlineStr"/>
      <c r="I105" s="9" t="inlineStr">
        <is>
          <t>TSIA professional services; PMI; BABOK</t>
        </is>
      </c>
      <c r="J105" s="9" t="inlineStr">
        <is>
          <t>Case interview</t>
        </is>
      </c>
      <c r="K105" s="9" t="inlineStr">
        <is>
          <t>PMP / PRINCE2 / CSM / SAFe</t>
        </is>
      </c>
      <c r="L105" s="8" t="n">
        <v>0</v>
      </c>
    </row>
    <row r="106" ht="54" customHeight="1">
      <c r="A106" s="14" t="inlineStr">
        <is>
          <t>Sales &amp; Business Development</t>
        </is>
      </c>
      <c r="B106" s="9" t="inlineStr">
        <is>
          <t>★ Sales, Negotiation &amp; Account Growth</t>
        </is>
      </c>
      <c r="C106" s="9" t="inlineStr">
        <is>
          <t>Builds pipeline, negotiates and grows accounts.</t>
        </is>
      </c>
      <c r="D106" s="9" t="inlineStr"/>
      <c r="E106" s="9" t="inlineStr"/>
      <c r="F106" s="9" t="inlineStr">
        <is>
          <t>Builds pipeline and closes deals</t>
        </is>
      </c>
      <c r="G106" s="9" t="inlineStr">
        <is>
          <t>Owns key accounts; negotiates complex deals; grows revenue</t>
        </is>
      </c>
      <c r="H106" s="9" t="inlineStr"/>
      <c r="I106" s="9" t="inlineStr">
        <is>
          <t>SaaS sales ladder · SDR → AE → Enterprise AE → VP / CRO; MEDDICC-style qualification</t>
        </is>
      </c>
      <c r="J106" s="9" t="inlineStr">
        <is>
          <t>Sales role play</t>
        </is>
      </c>
      <c r="K106" s="9" t="inlineStr">
        <is>
          <t>—</t>
        </is>
      </c>
      <c r="L106" s="8" t="n">
        <v>34</v>
      </c>
    </row>
    <row r="107" ht="54" customHeight="1">
      <c r="A107" s="14" t="inlineStr">
        <is>
          <t>Sales &amp; Business Development</t>
        </is>
      </c>
      <c r="B107" s="9" t="inlineStr">
        <is>
          <t>★ Marketing Tech &amp; Digital Marketing</t>
        </is>
      </c>
      <c r="C107" s="9" t="inlineStr">
        <is>
          <t>Runs CRM, campaigns, SEO and digital channels.</t>
        </is>
      </c>
      <c r="D107" s="9" t="inlineStr"/>
      <c r="E107" s="9" t="inlineStr"/>
      <c r="F107" s="9" t="inlineStr">
        <is>
          <t>Runs campaigns, CRM, SEO and social channels</t>
        </is>
      </c>
      <c r="G107" s="9" t="inlineStr">
        <is>
          <t>Owns digital strategy, funnel and marketing analytics</t>
        </is>
      </c>
      <c r="H107" s="9" t="inlineStr"/>
      <c r="I107" s="9" t="inlineStr">
        <is>
          <t>SaaS sales ladder · SDR → AE → Enterprise AE → VP / CRO; MEDDICC-style qualification</t>
        </is>
      </c>
      <c r="J107" s="9" t="inlineStr">
        <is>
          <t>Portfolio / case</t>
        </is>
      </c>
      <c r="K107" s="9" t="inlineStr">
        <is>
          <t>Google / HubSpot certifications</t>
        </is>
      </c>
      <c r="L107" s="8" t="n">
        <v>0</v>
      </c>
    </row>
    <row r="108" ht="54" customHeight="1">
      <c r="A108" s="14" t="inlineStr">
        <is>
          <t>Sales &amp; Business Development</t>
        </is>
      </c>
      <c r="B108" s="9" t="inlineStr">
        <is>
          <t>Stakeholder &amp; Client Management</t>
        </is>
      </c>
      <c r="C108" s="9" t="inlineStr">
        <is>
          <t>Manages clients and stakeholders; handles changing requests.</t>
        </is>
      </c>
      <c r="D108" s="9" t="inlineStr"/>
      <c r="E108" s="9" t="inlineStr"/>
      <c r="F108" s="9" t="inlineStr">
        <is>
          <t>Manages client communication and expectations for own work</t>
        </is>
      </c>
      <c r="G108" s="9" t="inlineStr">
        <is>
          <t>Owns key relationships; resolves escalations</t>
        </is>
      </c>
      <c r="H108" s="9" t="inlineStr"/>
      <c r="I108" s="9" t="inlineStr">
        <is>
          <t>SaaS sales ladder · SDR → AE → Enterprise AE → VP / CRO; MEDDICC-style qualification</t>
        </is>
      </c>
      <c r="J108" s="9" t="inlineStr">
        <is>
          <t>Role play / behavioural interview</t>
        </is>
      </c>
      <c r="K108" s="9" t="inlineStr">
        <is>
          <t>—</t>
        </is>
      </c>
      <c r="L108" s="8" t="n">
        <v>5</v>
      </c>
    </row>
    <row r="109" ht="54" customHeight="1">
      <c r="A109" s="14" t="inlineStr">
        <is>
          <t>Sales &amp; Business Development</t>
        </is>
      </c>
      <c r="B109" s="9" t="inlineStr">
        <is>
          <t>Communication &amp; Presentation</t>
        </is>
      </c>
      <c r="C109" s="9" t="inlineStr">
        <is>
          <t>Writes and presents clearly to clients and teams.</t>
        </is>
      </c>
      <c r="D109" s="9" t="inlineStr"/>
      <c r="E109" s="9" t="inlineStr"/>
      <c r="F109" s="9" t="inlineStr">
        <is>
          <t>Writes and presents clearly to clients and teams</t>
        </is>
      </c>
      <c r="G109" s="9" t="inlineStr">
        <is>
          <t>Presents to senior stakeholders; shapes messaging</t>
        </is>
      </c>
      <c r="H109" s="9" t="inlineStr"/>
      <c r="I109" s="9" t="inlineStr">
        <is>
          <t>SaaS sales ladder · SDR → AE → Enterprise AE → VP / CRO; MEDDICC-style qualification</t>
        </is>
      </c>
      <c r="J109" s="9" t="inlineStr">
        <is>
          <t>Presentation / writing test</t>
        </is>
      </c>
      <c r="K109" s="9" t="inlineStr">
        <is>
          <t>—</t>
        </is>
      </c>
      <c r="L109" s="8" t="n">
        <v>5</v>
      </c>
    </row>
    <row r="110" ht="54" customHeight="1">
      <c r="A110" s="14" t="inlineStr">
        <is>
          <t>Sales &amp; Business Development</t>
        </is>
      </c>
      <c r="B110" s="9" t="inlineStr">
        <is>
          <t>Product, Platform &amp; Domain Knowledge</t>
        </is>
      </c>
      <c r="C110" s="9" t="inlineStr">
        <is>
          <t>Knows IRIS products, platforms and the client's domain.</t>
        </is>
      </c>
      <c r="D110" s="9" t="inlineStr"/>
      <c r="E110" s="9" t="inlineStr"/>
      <c r="F110" s="9" t="inlineStr">
        <is>
          <t>Handles most product and domain scenarios</t>
        </is>
      </c>
      <c r="G110" s="9" t="inlineStr">
        <is>
          <t>Recognised product / domain expert; trains others</t>
        </is>
      </c>
      <c r="H110" s="9" t="inlineStr"/>
      <c r="I110" s="9" t="inlineStr">
        <is>
          <t>SaaS sales ladder · SDR → AE → Enterprise AE → VP / CRO; MEDDICC-style qualification</t>
        </is>
      </c>
      <c r="J110" s="9" t="inlineStr">
        <is>
          <t>Scenario interview</t>
        </is>
      </c>
      <c r="K110" s="9" t="inlineStr">
        <is>
          <t>Internal product certification</t>
        </is>
      </c>
      <c r="L110" s="8" t="n">
        <v>6</v>
      </c>
    </row>
    <row r="111" ht="54" customHeight="1">
      <c r="A111" s="14" t="inlineStr">
        <is>
          <t>Sales &amp; Business Development</t>
        </is>
      </c>
      <c r="B111" s="9" t="inlineStr">
        <is>
          <t>Strategic Thinking &amp; Business Acumen</t>
        </is>
      </c>
      <c r="C111" s="9" t="inlineStr">
        <is>
          <t>Links work to business outcomes, budgets and strategy.</t>
        </is>
      </c>
      <c r="D111" s="9" t="inlineStr"/>
      <c r="E111" s="9" t="inlineStr"/>
      <c r="F111" s="9" t="inlineStr">
        <is>
          <t>Connects work to business goals and budgets</t>
        </is>
      </c>
      <c r="G111" s="9" t="inlineStr">
        <is>
          <t>Shapes strategy, pricing or investment choices</t>
        </is>
      </c>
      <c r="H111" s="9" t="inlineStr"/>
      <c r="I111" s="9" t="inlineStr">
        <is>
          <t>SaaS sales ladder · SDR → AE → Enterprise AE → VP / CRO; MEDDICC-style qualification</t>
        </is>
      </c>
      <c r="J111" s="9" t="inlineStr">
        <is>
          <t>Case interview</t>
        </is>
      </c>
      <c r="K111" s="9" t="inlineStr">
        <is>
          <t>MBA / PGDM · preferred at C+</t>
        </is>
      </c>
      <c r="L111" s="8" t="n">
        <v>8</v>
      </c>
    </row>
    <row r="112" ht="67" customHeight="1">
      <c r="A112" s="14" t="inlineStr">
        <is>
          <t>Marketing &amp; Communications</t>
        </is>
      </c>
      <c r="B112" s="9" t="inlineStr">
        <is>
          <t>★ Marketing Tech &amp; Digital Marketing</t>
        </is>
      </c>
      <c r="C112" s="9" t="inlineStr">
        <is>
          <t>Runs CRM, campaigns, SEO and digital channels.</t>
        </is>
      </c>
      <c r="D112" s="9" t="inlineStr"/>
      <c r="E112" s="9" t="inlineStr"/>
      <c r="F112" s="9" t="inlineStr">
        <is>
          <t>Runs campaigns, CRM, SEO and social channels</t>
        </is>
      </c>
      <c r="G112" s="9" t="inlineStr">
        <is>
          <t>Owns digital strategy, funnel and marketing analytics</t>
        </is>
      </c>
      <c r="H112" s="9" t="inlineStr"/>
      <c r="I112" s="9" t="inlineStr">
        <is>
          <t>CIM Global Professional Marketing Framework — proficiency Aware → Active learner → Able → Accomplished → Authoritative</t>
        </is>
      </c>
      <c r="J112" s="9" t="inlineStr">
        <is>
          <t>Portfolio / case</t>
        </is>
      </c>
      <c r="K112" s="9" t="inlineStr">
        <is>
          <t>Google / HubSpot certifications</t>
        </is>
      </c>
      <c r="L112" s="8" t="n">
        <v>6</v>
      </c>
    </row>
    <row r="113" ht="67" customHeight="1">
      <c r="A113" s="14" t="inlineStr">
        <is>
          <t>Marketing &amp; Communications</t>
        </is>
      </c>
      <c r="B113" s="9" t="inlineStr">
        <is>
          <t>★ Communication &amp; Presentation</t>
        </is>
      </c>
      <c r="C113" s="9" t="inlineStr">
        <is>
          <t>Writes and presents clearly to clients and teams.</t>
        </is>
      </c>
      <c r="D113" s="9" t="inlineStr"/>
      <c r="E113" s="9" t="inlineStr"/>
      <c r="F113" s="9" t="inlineStr">
        <is>
          <t>Writes and presents clearly to clients and teams</t>
        </is>
      </c>
      <c r="G113" s="9" t="inlineStr">
        <is>
          <t>Presents to senior stakeholders; shapes messaging</t>
        </is>
      </c>
      <c r="H113" s="9" t="inlineStr"/>
      <c r="I113" s="9" t="inlineStr">
        <is>
          <t>CIM Global Professional Marketing Framework — proficiency Aware → Active learner → Able → Accomplished → Authoritative</t>
        </is>
      </c>
      <c r="J113" s="9" t="inlineStr">
        <is>
          <t>Presentation / writing test</t>
        </is>
      </c>
      <c r="K113" s="9" t="inlineStr">
        <is>
          <t>—</t>
        </is>
      </c>
      <c r="L113" s="8" t="n">
        <v>5</v>
      </c>
    </row>
    <row r="114" ht="67" customHeight="1">
      <c r="A114" s="14" t="inlineStr">
        <is>
          <t>Marketing &amp; Communications</t>
        </is>
      </c>
      <c r="B114" s="9" t="inlineStr">
        <is>
          <t>Data Analytics, BI &amp; Visualisation</t>
        </is>
      </c>
      <c r="C114" s="9" t="inlineStr">
        <is>
          <t>Turns data into MIS, dashboards and insight.</t>
        </is>
      </c>
      <c r="D114" s="9" t="inlineStr"/>
      <c r="E114" s="9" t="inlineStr"/>
      <c r="F114" s="9" t="inlineStr">
        <is>
          <t>Builds MIS, dashboards and analysis</t>
        </is>
      </c>
      <c r="G114" s="9" t="inlineStr">
        <is>
          <t>Defines metrics and analytics approach for a business</t>
        </is>
      </c>
      <c r="H114" s="9" t="inlineStr"/>
      <c r="I114" s="9" t="inlineStr">
        <is>
          <t>CIM Global Professional Marketing Framework — proficiency Aware → Active learner → Able → Accomplished → Authoritative</t>
        </is>
      </c>
      <c r="J114" s="9" t="inlineStr">
        <is>
          <t>Data case / practical</t>
        </is>
      </c>
      <c r="K114" s="9" t="inlineStr">
        <is>
          <t>Power BI / Tableau · optional</t>
        </is>
      </c>
      <c r="L114" s="8" t="n">
        <v>0</v>
      </c>
    </row>
    <row r="115" ht="67" customHeight="1">
      <c r="A115" s="14" t="inlineStr">
        <is>
          <t>Marketing &amp; Communications</t>
        </is>
      </c>
      <c r="B115" s="9" t="inlineStr">
        <is>
          <t>AI, GenAI &amp; Prompt Engineering</t>
        </is>
      </c>
      <c r="C115" s="9" t="inlineStr">
        <is>
          <t>Uses or builds AI and LLM solutions to improve products and work.</t>
        </is>
      </c>
      <c r="D115" s="9" t="inlineStr"/>
      <c r="E115" s="9" t="inlineStr"/>
      <c r="F115" s="9" t="inlineStr">
        <is>
          <t>Uses AI / LLM tools in own work and validates output</t>
        </is>
      </c>
      <c r="G115" s="9" t="inlineStr">
        <is>
          <t>Builds AI features or AI-enabled processes; sets safe-use practice</t>
        </is>
      </c>
      <c r="H115" s="9" t="inlineStr"/>
      <c r="I115" s="9" t="inlineStr">
        <is>
          <t>CIM Global Professional Marketing Framework — proficiency Aware → Active learner → Able → Accomplished → Authoritative</t>
        </is>
      </c>
      <c r="J115" s="9" t="inlineStr">
        <is>
          <t>Work sample / portfolio</t>
        </is>
      </c>
      <c r="K115" s="9" t="inlineStr">
        <is>
          <t>Vendor AI certifications · optional</t>
        </is>
      </c>
      <c r="L115" s="8" t="n">
        <v>1</v>
      </c>
    </row>
    <row r="116" ht="67" customHeight="1">
      <c r="A116" s="14" t="inlineStr">
        <is>
          <t>Marketing &amp; Communications</t>
        </is>
      </c>
      <c r="B116" s="9" t="inlineStr">
        <is>
          <t>Product, Platform &amp; Domain Knowledge</t>
        </is>
      </c>
      <c r="C116" s="9" t="inlineStr">
        <is>
          <t>Knows IRIS products, platforms and the client's domain.</t>
        </is>
      </c>
      <c r="D116" s="9" t="inlineStr"/>
      <c r="E116" s="9" t="inlineStr"/>
      <c r="F116" s="9" t="inlineStr">
        <is>
          <t>Handles most product and domain scenarios</t>
        </is>
      </c>
      <c r="G116" s="9" t="inlineStr">
        <is>
          <t>Recognised product / domain expert; trains others</t>
        </is>
      </c>
      <c r="H116" s="9" t="inlineStr"/>
      <c r="I116" s="9" t="inlineStr">
        <is>
          <t>CIM Global Professional Marketing Framework — proficiency Aware → Active learner → Able → Accomplished → Authoritative</t>
        </is>
      </c>
      <c r="J116" s="9" t="inlineStr">
        <is>
          <t>Scenario interview</t>
        </is>
      </c>
      <c r="K116" s="9" t="inlineStr">
        <is>
          <t>Internal product certification</t>
        </is>
      </c>
      <c r="L116" s="8" t="n">
        <v>0</v>
      </c>
    </row>
    <row r="117" ht="67" customHeight="1">
      <c r="A117" s="14" t="inlineStr">
        <is>
          <t>Marketing &amp; Communications</t>
        </is>
      </c>
      <c r="B117" s="9" t="inlineStr">
        <is>
          <t>Strategic Thinking &amp; Business Acumen</t>
        </is>
      </c>
      <c r="C117" s="9" t="inlineStr">
        <is>
          <t>Links work to business outcomes, budgets and strategy.</t>
        </is>
      </c>
      <c r="D117" s="9" t="inlineStr"/>
      <c r="E117" s="9" t="inlineStr"/>
      <c r="F117" s="9" t="inlineStr">
        <is>
          <t>Connects work to business goals and budgets</t>
        </is>
      </c>
      <c r="G117" s="9" t="inlineStr">
        <is>
          <t>Shapes strategy, pricing or investment choices</t>
        </is>
      </c>
      <c r="H117" s="9" t="inlineStr"/>
      <c r="I117" s="9" t="inlineStr">
        <is>
          <t>CIM Global Professional Marketing Framework — proficiency Aware → Active learner → Able → Accomplished → Authoritative</t>
        </is>
      </c>
      <c r="J117" s="9" t="inlineStr">
        <is>
          <t>Case interview</t>
        </is>
      </c>
      <c r="K117" s="9" t="inlineStr">
        <is>
          <t>MBA / PGDM · preferred at C+</t>
        </is>
      </c>
      <c r="L117" s="8" t="n">
        <v>0</v>
      </c>
    </row>
    <row r="118" ht="54" customHeight="1">
      <c r="A118" s="14" t="inlineStr">
        <is>
          <t>IT &amp; Infrastructure</t>
        </is>
      </c>
      <c r="B118" s="9" t="inlineStr">
        <is>
          <t>★ Cybersecurity &amp; Infrastructure</t>
        </is>
      </c>
      <c r="C118" s="9" t="inlineStr">
        <is>
          <t>Runs secure servers, networks, endpoints and access.</t>
        </is>
      </c>
      <c r="D118" s="9" t="inlineStr"/>
      <c r="E118" s="9" t="inlineStr"/>
      <c r="F118" s="9" t="inlineStr">
        <is>
          <t>Administers secure servers, networks and access</t>
        </is>
      </c>
      <c r="G118" s="9" t="inlineStr">
        <is>
          <t>Designs secure infrastructure; leads audits and incident response</t>
        </is>
      </c>
      <c r="H118" s="9" t="inlineStr"/>
      <c r="I118" s="9" t="inlineStr">
        <is>
          <t>ITIL 4; ISO/IEC 27001:2022; SFIA infrastructure</t>
        </is>
      </c>
      <c r="J118" s="9" t="inlineStr">
        <is>
          <t>Practical task</t>
        </is>
      </c>
      <c r="K118" s="9" t="inlineStr">
        <is>
          <t>Microsoft / CCNA / ISO 27001 / ITIL</t>
        </is>
      </c>
      <c r="L118" s="8" t="n">
        <v>0</v>
      </c>
    </row>
    <row r="119" ht="41" customHeight="1">
      <c r="A119" s="14" t="inlineStr">
        <is>
          <t>IT &amp; Infrastructure</t>
        </is>
      </c>
      <c r="B119" s="9" t="inlineStr">
        <is>
          <t>★ Cloud, DevOps &amp; CI/CD</t>
        </is>
      </c>
      <c r="C119" s="9" t="inlineStr">
        <is>
          <t>Builds, deploys and runs software through pipelines and cloud platforms.</t>
        </is>
      </c>
      <c r="D119" s="9" t="inlineStr"/>
      <c r="E119" s="9" t="inlineStr"/>
      <c r="F119" s="9" t="inlineStr">
        <is>
          <t>Builds and runs CI/CD pipelines and environments</t>
        </is>
      </c>
      <c r="G119" s="9" t="inlineStr">
        <is>
          <t>Designs platform, monitoring and release strategy</t>
        </is>
      </c>
      <c r="H119" s="9" t="inlineStr"/>
      <c r="I119" s="9" t="inlineStr">
        <is>
          <t>ITIL 4; ISO/IEC 27001:2022; SFIA infrastructure</t>
        </is>
      </c>
      <c r="J119" s="9" t="inlineStr">
        <is>
          <t>Practical task</t>
        </is>
      </c>
      <c r="K119" s="9" t="inlineStr">
        <is>
          <t>AWS / Azure / Kubernetes certifications</t>
        </is>
      </c>
      <c r="L119" s="8" t="n">
        <v>0</v>
      </c>
    </row>
    <row r="120" ht="41" customHeight="1">
      <c r="A120" s="14" t="inlineStr">
        <is>
          <t>IT &amp; Infrastructure</t>
        </is>
      </c>
      <c r="B120" s="9" t="inlineStr">
        <is>
          <t>Process Improvement &amp; Quality Mindset</t>
        </is>
      </c>
      <c r="C120" s="9" t="inlineStr">
        <is>
          <t>Gets it right first time; improves processes and checklists.</t>
        </is>
      </c>
      <c r="D120" s="9" t="inlineStr"/>
      <c r="E120" s="9" t="inlineStr"/>
      <c r="F120" s="9" t="inlineStr">
        <is>
          <t>Delivers right-first-time; improves own checklists</t>
        </is>
      </c>
      <c r="G120" s="9" t="inlineStr">
        <is>
          <t>Redesigns team processes; reduces error rates measurably</t>
        </is>
      </c>
      <c r="H120" s="9" t="inlineStr"/>
      <c r="I120" s="9" t="inlineStr">
        <is>
          <t>ITIL 4; ISO/IEC 27001:2022; SFIA infrastructure</t>
        </is>
      </c>
      <c r="J120" s="9" t="inlineStr">
        <is>
          <t>Work sample / case</t>
        </is>
      </c>
      <c r="K120" s="9" t="inlineStr">
        <is>
          <t>Lean / Six Sigma · optional</t>
        </is>
      </c>
      <c r="L120" s="8" t="n">
        <v>0</v>
      </c>
    </row>
    <row r="121" ht="41" customHeight="1">
      <c r="A121" s="14" t="inlineStr">
        <is>
          <t>IT &amp; Infrastructure</t>
        </is>
      </c>
      <c r="B121" s="9" t="inlineStr">
        <is>
          <t>Stakeholder &amp; Client Management</t>
        </is>
      </c>
      <c r="C121" s="9" t="inlineStr">
        <is>
          <t>Manages clients and stakeholders; handles changing requests.</t>
        </is>
      </c>
      <c r="D121" s="9" t="inlineStr"/>
      <c r="E121" s="9" t="inlineStr"/>
      <c r="F121" s="9" t="inlineStr">
        <is>
          <t>Manages client communication and expectations for own work</t>
        </is>
      </c>
      <c r="G121" s="9" t="inlineStr">
        <is>
          <t>Owns key relationships; resolves escalations</t>
        </is>
      </c>
      <c r="H121" s="9" t="inlineStr"/>
      <c r="I121" s="9" t="inlineStr">
        <is>
          <t>ITIL 4; ISO/IEC 27001:2022; SFIA infrastructure</t>
        </is>
      </c>
      <c r="J121" s="9" t="inlineStr">
        <is>
          <t>Role play / behavioural interview</t>
        </is>
      </c>
      <c r="K121" s="9" t="inlineStr">
        <is>
          <t>—</t>
        </is>
      </c>
      <c r="L121" s="8" t="n">
        <v>0</v>
      </c>
    </row>
    <row r="122" ht="41" customHeight="1">
      <c r="A122" s="14" t="inlineStr">
        <is>
          <t>IT &amp; Infrastructure</t>
        </is>
      </c>
      <c r="B122" s="9" t="inlineStr">
        <is>
          <t>Time, Priority &amp; Self-Management</t>
        </is>
      </c>
      <c r="C122" s="9" t="inlineStr">
        <is>
          <t>Manages volume, deadlines and priorities.</t>
        </is>
      </c>
      <c r="D122" s="9" t="inlineStr"/>
      <c r="E122" s="9" t="inlineStr"/>
      <c r="F122" s="9" t="inlineStr">
        <is>
          <t>Manages volume and deadlines without slippage</t>
        </is>
      </c>
      <c r="G122" s="9" t="inlineStr">
        <is>
          <t>Plans team capacity and peak-season loads</t>
        </is>
      </c>
      <c r="H122" s="9" t="inlineStr"/>
      <c r="I122" s="9" t="inlineStr">
        <is>
          <t>ITIL 4; ISO/IEC 27001:2022; SFIA infrastructure</t>
        </is>
      </c>
      <c r="J122" s="9" t="inlineStr">
        <is>
          <t>Behavioural interview</t>
        </is>
      </c>
      <c r="K122" s="9" t="inlineStr">
        <is>
          <t>—</t>
        </is>
      </c>
      <c r="L122" s="8" t="n">
        <v>0</v>
      </c>
    </row>
    <row r="123" ht="54" customHeight="1">
      <c r="A123" s="14" t="inlineStr">
        <is>
          <t>IT &amp; Infrastructure</t>
        </is>
      </c>
      <c r="B123" s="9" t="inlineStr">
        <is>
          <t>AI, GenAI &amp; Prompt Engineering</t>
        </is>
      </c>
      <c r="C123" s="9" t="inlineStr">
        <is>
          <t>Uses or builds AI and LLM solutions to improve products and work.</t>
        </is>
      </c>
      <c r="D123" s="9" t="inlineStr"/>
      <c r="E123" s="9" t="inlineStr"/>
      <c r="F123" s="9" t="inlineStr">
        <is>
          <t>Uses AI / LLM tools in own work and validates output</t>
        </is>
      </c>
      <c r="G123" s="9" t="inlineStr">
        <is>
          <t>Builds AI features or AI-enabled processes; sets safe-use practice</t>
        </is>
      </c>
      <c r="H123" s="9" t="inlineStr"/>
      <c r="I123" s="9" t="inlineStr">
        <is>
          <t>ITIL 4; ISO/IEC 27001:2022; SFIA infrastructure</t>
        </is>
      </c>
      <c r="J123" s="9" t="inlineStr">
        <is>
          <t>Work sample / portfolio</t>
        </is>
      </c>
      <c r="K123" s="9" t="inlineStr">
        <is>
          <t>Vendor AI certifications · optional</t>
        </is>
      </c>
      <c r="L123" s="8" t="n">
        <v>0</v>
      </c>
    </row>
    <row r="124" ht="41" customHeight="1">
      <c r="A124" s="14" t="inlineStr">
        <is>
          <t>Finance &amp; Accounts</t>
        </is>
      </c>
      <c r="B124" s="9" t="inlineStr">
        <is>
          <t>★ Accounting &amp; Reporting Standards · IFRS/US GAAP</t>
        </is>
      </c>
      <c r="C124" s="9" t="inlineStr">
        <is>
          <t>Reads financial statements; applies IFRS / US GAAP / Ind AS.</t>
        </is>
      </c>
      <c r="D124" s="9" t="inlineStr"/>
      <c r="E124" s="9" t="inlineStr"/>
      <c r="F124" s="9" t="inlineStr">
        <is>
          <t>Applies IFRS / US GAAP / Ind AS correctly</t>
        </is>
      </c>
      <c r="G124" s="9" t="inlineStr">
        <is>
          <t>Advises on complex disclosures and standards changes</t>
        </is>
      </c>
      <c r="H124" s="9" t="inlineStr"/>
      <c r="I124" s="9" t="inlineStr">
        <is>
          <t>IMA Management Accounting Competency Framework; ICAI / CA; Ind AS</t>
        </is>
      </c>
      <c r="J124" s="9" t="inlineStr">
        <is>
          <t>Accounting test</t>
        </is>
      </c>
      <c r="K124" s="9" t="inlineStr">
        <is>
          <t>CA / CMA / ACCA / CFA / IFRS certificate</t>
        </is>
      </c>
      <c r="L124" s="8" t="n">
        <v>0</v>
      </c>
    </row>
    <row r="125" ht="41" customHeight="1">
      <c r="A125" s="14" t="inlineStr">
        <is>
          <t>Finance &amp; Accounts</t>
        </is>
      </c>
      <c r="B125" s="9" t="inlineStr">
        <is>
          <t>★ Advanced Excel &amp; Productivity Tools</t>
        </is>
      </c>
      <c r="C125" s="9" t="inlineStr">
        <is>
          <t>Uses Excel, Word, HTML and conversion tools expertly.</t>
        </is>
      </c>
      <c r="D125" s="9" t="inlineStr"/>
      <c r="E125" s="9" t="inlineStr"/>
      <c r="F125" s="9" t="inlineStr">
        <is>
          <t>Uses advanced Excel, Word, HTML and conversion tools fluently</t>
        </is>
      </c>
      <c r="G125" s="9" t="inlineStr">
        <is>
          <t>Builds templates and automation used by the team</t>
        </is>
      </c>
      <c r="H125" s="9" t="inlineStr"/>
      <c r="I125" s="9" t="inlineStr">
        <is>
          <t>IMA Management Accounting Competency Framework; ICAI / CA; Ind AS</t>
        </is>
      </c>
      <c r="J125" s="9" t="inlineStr">
        <is>
          <t>Practical test</t>
        </is>
      </c>
      <c r="K125" s="9" t="inlineStr">
        <is>
          <t>MOS Excel · optional</t>
        </is>
      </c>
      <c r="L125" s="8" t="n">
        <v>0</v>
      </c>
    </row>
    <row r="126" ht="41" customHeight="1">
      <c r="A126" s="14" t="inlineStr">
        <is>
          <t>Finance &amp; Accounts</t>
        </is>
      </c>
      <c r="B126" s="9" t="inlineStr">
        <is>
          <t>Regulatory &amp; BFSI Domain</t>
        </is>
      </c>
      <c r="C126" s="9" t="inlineStr">
        <is>
          <t>Understands regulators, returns, filings and BFSI rules.</t>
        </is>
      </c>
      <c r="D126" s="9" t="inlineStr"/>
      <c r="E126" s="9" t="inlineStr"/>
      <c r="F126" s="9" t="inlineStr">
        <is>
          <t>Knows the relevant regulators, returns and rules</t>
        </is>
      </c>
      <c r="G126" s="9" t="inlineStr">
        <is>
          <t>Interprets new regulation; advises clients and product</t>
        </is>
      </c>
      <c r="H126" s="9" t="inlineStr"/>
      <c r="I126" s="9" t="inlineStr">
        <is>
          <t>IMA Management Accounting Competency Framework; ICAI / CA; Ind AS</t>
        </is>
      </c>
      <c r="J126" s="9" t="inlineStr">
        <is>
          <t>Domain interview</t>
        </is>
      </c>
      <c r="K126" s="9" t="inlineStr">
        <is>
          <t>Domain certifications · optional</t>
        </is>
      </c>
      <c r="L126" s="8" t="n">
        <v>0</v>
      </c>
    </row>
    <row r="127" ht="41" customHeight="1">
      <c r="A127" s="14" t="inlineStr">
        <is>
          <t>Finance &amp; Accounts</t>
        </is>
      </c>
      <c r="B127" s="9" t="inlineStr">
        <is>
          <t>Data Analytics, BI &amp; Visualisation</t>
        </is>
      </c>
      <c r="C127" s="9" t="inlineStr">
        <is>
          <t>Turns data into MIS, dashboards and insight.</t>
        </is>
      </c>
      <c r="D127" s="9" t="inlineStr"/>
      <c r="E127" s="9" t="inlineStr"/>
      <c r="F127" s="9" t="inlineStr">
        <is>
          <t>Builds MIS, dashboards and analysis</t>
        </is>
      </c>
      <c r="G127" s="9" t="inlineStr">
        <is>
          <t>Defines metrics and analytics approach for a business</t>
        </is>
      </c>
      <c r="H127" s="9" t="inlineStr"/>
      <c r="I127" s="9" t="inlineStr">
        <is>
          <t>IMA Management Accounting Competency Framework; ICAI / CA; Ind AS</t>
        </is>
      </c>
      <c r="J127" s="9" t="inlineStr">
        <is>
          <t>Data case / practical</t>
        </is>
      </c>
      <c r="K127" s="9" t="inlineStr">
        <is>
          <t>Power BI / Tableau · optional</t>
        </is>
      </c>
      <c r="L127" s="8" t="n">
        <v>0</v>
      </c>
    </row>
    <row r="128" ht="41" customHeight="1">
      <c r="A128" s="14" t="inlineStr">
        <is>
          <t>Finance &amp; Accounts</t>
        </is>
      </c>
      <c r="B128" s="9" t="inlineStr">
        <is>
          <t>Process Improvement &amp; Quality Mindset</t>
        </is>
      </c>
      <c r="C128" s="9" t="inlineStr">
        <is>
          <t>Gets it right first time; improves processes and checklists.</t>
        </is>
      </c>
      <c r="D128" s="9" t="inlineStr"/>
      <c r="E128" s="9" t="inlineStr"/>
      <c r="F128" s="9" t="inlineStr">
        <is>
          <t>Delivers right-first-time; improves own checklists</t>
        </is>
      </c>
      <c r="G128" s="9" t="inlineStr">
        <is>
          <t>Redesigns team processes; reduces error rates measurably</t>
        </is>
      </c>
      <c r="H128" s="9" t="inlineStr"/>
      <c r="I128" s="9" t="inlineStr">
        <is>
          <t>IMA Management Accounting Competency Framework; ICAI / CA; Ind AS</t>
        </is>
      </c>
      <c r="J128" s="9" t="inlineStr">
        <is>
          <t>Work sample / case</t>
        </is>
      </c>
      <c r="K128" s="9" t="inlineStr">
        <is>
          <t>Lean / Six Sigma · optional</t>
        </is>
      </c>
      <c r="L128" s="8" t="n">
        <v>0</v>
      </c>
    </row>
    <row r="129" ht="41" customHeight="1">
      <c r="A129" s="14" t="inlineStr">
        <is>
          <t>Finance &amp; Accounts</t>
        </is>
      </c>
      <c r="B129" s="9" t="inlineStr">
        <is>
          <t>Strategic Thinking &amp; Business Acumen</t>
        </is>
      </c>
      <c r="C129" s="9" t="inlineStr">
        <is>
          <t>Links work to business outcomes, budgets and strategy.</t>
        </is>
      </c>
      <c r="D129" s="9" t="inlineStr"/>
      <c r="E129" s="9" t="inlineStr"/>
      <c r="F129" s="9" t="inlineStr">
        <is>
          <t>Connects work to business goals and budgets</t>
        </is>
      </c>
      <c r="G129" s="9" t="inlineStr">
        <is>
          <t>Shapes strategy, pricing or investment choices</t>
        </is>
      </c>
      <c r="H129" s="9" t="inlineStr"/>
      <c r="I129" s="9" t="inlineStr">
        <is>
          <t>IMA Management Accounting Competency Framework; ICAI / CA; Ind AS</t>
        </is>
      </c>
      <c r="J129" s="9" t="inlineStr">
        <is>
          <t>Case interview</t>
        </is>
      </c>
      <c r="K129" s="9" t="inlineStr">
        <is>
          <t>MBA / PGDM · preferred at C+</t>
        </is>
      </c>
      <c r="L129" s="8" t="n">
        <v>0</v>
      </c>
    </row>
    <row r="130" ht="41" customHeight="1">
      <c r="A130" s="14" t="inlineStr">
        <is>
          <t>Human Resources</t>
        </is>
      </c>
      <c r="B130" s="9" t="inlineStr">
        <is>
          <t>★ Stakeholder &amp; Client Management</t>
        </is>
      </c>
      <c r="C130" s="9" t="inlineStr">
        <is>
          <t>Manages clients and stakeholders; handles changing requests.</t>
        </is>
      </c>
      <c r="D130" s="9" t="inlineStr"/>
      <c r="E130" s="9" t="inlineStr"/>
      <c r="F130" s="9" t="inlineStr">
        <is>
          <t>Manages client communication and expectations for own work</t>
        </is>
      </c>
      <c r="G130" s="9" t="inlineStr">
        <is>
          <t>Owns key relationships; resolves escalations</t>
        </is>
      </c>
      <c r="H130" s="9" t="inlineStr"/>
      <c r="I130" s="9" t="inlineStr">
        <is>
          <t>SHRM BASK · SHRM-CP → SHRM-SCP; CIPD Profession Map</t>
        </is>
      </c>
      <c r="J130" s="9" t="inlineStr">
        <is>
          <t>Role play / behavioural interview</t>
        </is>
      </c>
      <c r="K130" s="9" t="inlineStr">
        <is>
          <t>—</t>
        </is>
      </c>
      <c r="L130" s="8" t="n">
        <v>0</v>
      </c>
    </row>
    <row r="131" ht="41" customHeight="1">
      <c r="A131" s="14" t="inlineStr">
        <is>
          <t>Human Resources</t>
        </is>
      </c>
      <c r="B131" s="9" t="inlineStr">
        <is>
          <t>★ Communication &amp; Presentation</t>
        </is>
      </c>
      <c r="C131" s="9" t="inlineStr">
        <is>
          <t>Writes and presents clearly to clients and teams.</t>
        </is>
      </c>
      <c r="D131" s="9" t="inlineStr"/>
      <c r="E131" s="9" t="inlineStr"/>
      <c r="F131" s="9" t="inlineStr">
        <is>
          <t>Writes and presents clearly to clients and teams</t>
        </is>
      </c>
      <c r="G131" s="9" t="inlineStr">
        <is>
          <t>Presents to senior stakeholders; shapes messaging</t>
        </is>
      </c>
      <c r="H131" s="9" t="inlineStr"/>
      <c r="I131" s="9" t="inlineStr">
        <is>
          <t>SHRM BASK · SHRM-CP → SHRM-SCP; CIPD Profession Map</t>
        </is>
      </c>
      <c r="J131" s="9" t="inlineStr">
        <is>
          <t>Presentation / writing test</t>
        </is>
      </c>
      <c r="K131" s="9" t="inlineStr">
        <is>
          <t>—</t>
        </is>
      </c>
      <c r="L131" s="8" t="n">
        <v>0</v>
      </c>
    </row>
    <row r="132" ht="41" customHeight="1">
      <c r="A132" s="14" t="inlineStr">
        <is>
          <t>Human Resources</t>
        </is>
      </c>
      <c r="B132" s="9" t="inlineStr">
        <is>
          <t>Data Analytics, BI &amp; Visualisation</t>
        </is>
      </c>
      <c r="C132" s="9" t="inlineStr">
        <is>
          <t>Turns data into MIS, dashboards and insight.</t>
        </is>
      </c>
      <c r="D132" s="9" t="inlineStr"/>
      <c r="E132" s="9" t="inlineStr"/>
      <c r="F132" s="9" t="inlineStr">
        <is>
          <t>Builds MIS, dashboards and analysis</t>
        </is>
      </c>
      <c r="G132" s="9" t="inlineStr">
        <is>
          <t>Defines metrics and analytics approach for a business</t>
        </is>
      </c>
      <c r="H132" s="9" t="inlineStr"/>
      <c r="I132" s="9" t="inlineStr">
        <is>
          <t>SHRM BASK · SHRM-CP → SHRM-SCP; CIPD Profession Map</t>
        </is>
      </c>
      <c r="J132" s="9" t="inlineStr">
        <is>
          <t>Data case / practical</t>
        </is>
      </c>
      <c r="K132" s="9" t="inlineStr">
        <is>
          <t>Power BI / Tableau · optional</t>
        </is>
      </c>
      <c r="L132" s="8" t="n">
        <v>0</v>
      </c>
    </row>
    <row r="133" ht="41" customHeight="1">
      <c r="A133" s="14" t="inlineStr">
        <is>
          <t>Human Resources</t>
        </is>
      </c>
      <c r="B133" s="9" t="inlineStr">
        <is>
          <t>Process Improvement &amp; Quality Mindset</t>
        </is>
      </c>
      <c r="C133" s="9" t="inlineStr">
        <is>
          <t>Gets it right first time; improves processes and checklists.</t>
        </is>
      </c>
      <c r="D133" s="9" t="inlineStr"/>
      <c r="E133" s="9" t="inlineStr"/>
      <c r="F133" s="9" t="inlineStr">
        <is>
          <t>Delivers right-first-time; improves own checklists</t>
        </is>
      </c>
      <c r="G133" s="9" t="inlineStr">
        <is>
          <t>Redesigns team processes; reduces error rates measurably</t>
        </is>
      </c>
      <c r="H133" s="9" t="inlineStr"/>
      <c r="I133" s="9" t="inlineStr">
        <is>
          <t>SHRM BASK · SHRM-CP → SHRM-SCP; CIPD Profession Map</t>
        </is>
      </c>
      <c r="J133" s="9" t="inlineStr">
        <is>
          <t>Work sample / case</t>
        </is>
      </c>
      <c r="K133" s="9" t="inlineStr">
        <is>
          <t>Lean / Six Sigma · optional</t>
        </is>
      </c>
      <c r="L133" s="8" t="n">
        <v>0</v>
      </c>
    </row>
    <row r="134" ht="41" customHeight="1">
      <c r="A134" s="14" t="inlineStr">
        <is>
          <t>Human Resources</t>
        </is>
      </c>
      <c r="B134" s="9" t="inlineStr">
        <is>
          <t>People Leadership &amp; Mentoring</t>
        </is>
      </c>
      <c r="C134" s="9" t="inlineStr">
        <is>
          <t>Allocates, coaches and develops people.</t>
        </is>
      </c>
      <c r="D134" s="9" t="inlineStr"/>
      <c r="E134" s="9" t="inlineStr"/>
      <c r="F134" s="9" t="inlineStr">
        <is>
          <t>Coaches and allocates work</t>
        </is>
      </c>
      <c r="G134" s="9" t="inlineStr">
        <is>
          <t>Leads leaders; builds succession</t>
        </is>
      </c>
      <c r="H134" s="9" t="inlineStr"/>
      <c r="I134" s="9" t="inlineStr">
        <is>
          <t>SHRM BASK · SHRM-CP → SHRM-SCP; CIPD Profession Map</t>
        </is>
      </c>
      <c r="J134" s="9" t="inlineStr">
        <is>
          <t>Behavioural interview</t>
        </is>
      </c>
      <c r="K134" s="9" t="inlineStr">
        <is>
          <t>—</t>
        </is>
      </c>
      <c r="L134" s="8" t="n">
        <v>0</v>
      </c>
    </row>
    <row r="135" ht="41" customHeight="1">
      <c r="A135" s="14" t="inlineStr">
        <is>
          <t>Human Resources</t>
        </is>
      </c>
      <c r="B135" s="9" t="inlineStr">
        <is>
          <t>Advanced Excel &amp; Productivity Tools</t>
        </is>
      </c>
      <c r="C135" s="9" t="inlineStr">
        <is>
          <t>Uses Excel, Word, HTML and conversion tools expertly.</t>
        </is>
      </c>
      <c r="D135" s="9" t="inlineStr"/>
      <c r="E135" s="9" t="inlineStr"/>
      <c r="F135" s="9" t="inlineStr">
        <is>
          <t>Uses advanced Excel, Word, HTML and conversion tools fluently</t>
        </is>
      </c>
      <c r="G135" s="9" t="inlineStr">
        <is>
          <t>Builds templates and automation used by the team</t>
        </is>
      </c>
      <c r="H135" s="9" t="inlineStr"/>
      <c r="I135" s="9" t="inlineStr">
        <is>
          <t>SHRM BASK · SHRM-CP → SHRM-SCP; CIPD Profession Map</t>
        </is>
      </c>
      <c r="J135" s="9" t="inlineStr">
        <is>
          <t>Practical test</t>
        </is>
      </c>
      <c r="K135" s="9" t="inlineStr">
        <is>
          <t>MOS Excel · optional</t>
        </is>
      </c>
      <c r="L135" s="8" t="n">
        <v>0</v>
      </c>
    </row>
    <row r="136" ht="54" customHeight="1">
      <c r="A136" s="14" t="inlineStr">
        <is>
          <t>Administration, Legal &amp; Secretarial</t>
        </is>
      </c>
      <c r="B136" s="9" t="inlineStr">
        <is>
          <t>★ Regulatory &amp; BFSI Domain</t>
        </is>
      </c>
      <c r="C136" s="9" t="inlineStr">
        <is>
          <t>Understands regulators, returns, filings and BFSI rules.</t>
        </is>
      </c>
      <c r="D136" s="9" t="inlineStr"/>
      <c r="E136" s="9" t="inlineStr"/>
      <c r="F136" s="9" t="inlineStr">
        <is>
          <t>Knows the relevant regulators, returns and rules</t>
        </is>
      </c>
      <c r="G136" s="9" t="inlineStr">
        <is>
          <t>Interprets new regulation; advises clients and product</t>
        </is>
      </c>
      <c r="H136" s="9" t="inlineStr"/>
      <c r="I136" s="9" t="inlineStr">
        <is>
          <t>ICSI · Company Secretary; Companies Act 2013; IFMA · facilities; CIPS · procurement</t>
        </is>
      </c>
      <c r="J136" s="9" t="inlineStr">
        <is>
          <t>Domain interview</t>
        </is>
      </c>
      <c r="K136" s="9" t="inlineStr">
        <is>
          <t>Domain certifications · optional</t>
        </is>
      </c>
      <c r="L136" s="8" t="n">
        <v>0</v>
      </c>
    </row>
    <row r="137" ht="54" customHeight="1">
      <c r="A137" s="14" t="inlineStr">
        <is>
          <t>Administration, Legal &amp; Secretarial</t>
        </is>
      </c>
      <c r="B137" s="9" t="inlineStr">
        <is>
          <t>★ Stakeholder &amp; Client Management</t>
        </is>
      </c>
      <c r="C137" s="9" t="inlineStr">
        <is>
          <t>Manages clients and stakeholders; handles changing requests.</t>
        </is>
      </c>
      <c r="D137" s="9" t="inlineStr"/>
      <c r="E137" s="9" t="inlineStr"/>
      <c r="F137" s="9" t="inlineStr">
        <is>
          <t>Manages client communication and expectations for own work</t>
        </is>
      </c>
      <c r="G137" s="9" t="inlineStr">
        <is>
          <t>Owns key relationships; resolves escalations</t>
        </is>
      </c>
      <c r="H137" s="9" t="inlineStr"/>
      <c r="I137" s="9" t="inlineStr">
        <is>
          <t>ICSI · Company Secretary; Companies Act 2013; IFMA · facilities; CIPS · procurement</t>
        </is>
      </c>
      <c r="J137" s="9" t="inlineStr">
        <is>
          <t>Role play / behavioural interview</t>
        </is>
      </c>
      <c r="K137" s="9" t="inlineStr">
        <is>
          <t>—</t>
        </is>
      </c>
      <c r="L137" s="8" t="n">
        <v>0</v>
      </c>
    </row>
    <row r="138" ht="54" customHeight="1">
      <c r="A138" s="14" t="inlineStr">
        <is>
          <t>Administration, Legal &amp; Secretarial</t>
        </is>
      </c>
      <c r="B138" s="9" t="inlineStr">
        <is>
          <t>Process Improvement &amp; Quality Mindset</t>
        </is>
      </c>
      <c r="C138" s="9" t="inlineStr">
        <is>
          <t>Gets it right first time; improves processes and checklists.</t>
        </is>
      </c>
      <c r="D138" s="9" t="inlineStr"/>
      <c r="E138" s="9" t="inlineStr"/>
      <c r="F138" s="9" t="inlineStr">
        <is>
          <t>Delivers right-first-time; improves own checklists</t>
        </is>
      </c>
      <c r="G138" s="9" t="inlineStr">
        <is>
          <t>Redesigns team processes; reduces error rates measurably</t>
        </is>
      </c>
      <c r="H138" s="9" t="inlineStr"/>
      <c r="I138" s="9" t="inlineStr">
        <is>
          <t>ICSI · Company Secretary; Companies Act 2013; IFMA · facilities; CIPS · procurement</t>
        </is>
      </c>
      <c r="J138" s="9" t="inlineStr">
        <is>
          <t>Work sample / case</t>
        </is>
      </c>
      <c r="K138" s="9" t="inlineStr">
        <is>
          <t>Lean / Six Sigma · optional</t>
        </is>
      </c>
      <c r="L138" s="8" t="n">
        <v>0</v>
      </c>
    </row>
    <row r="139" ht="54" customHeight="1">
      <c r="A139" s="14" t="inlineStr">
        <is>
          <t>Administration, Legal &amp; Secretarial</t>
        </is>
      </c>
      <c r="B139" s="9" t="inlineStr">
        <is>
          <t>Advanced Excel &amp; Productivity Tools</t>
        </is>
      </c>
      <c r="C139" s="9" t="inlineStr">
        <is>
          <t>Uses Excel, Word, HTML and conversion tools expertly.</t>
        </is>
      </c>
      <c r="D139" s="9" t="inlineStr"/>
      <c r="E139" s="9" t="inlineStr"/>
      <c r="F139" s="9" t="inlineStr">
        <is>
          <t>Uses advanced Excel, Word, HTML and conversion tools fluently</t>
        </is>
      </c>
      <c r="G139" s="9" t="inlineStr">
        <is>
          <t>Builds templates and automation used by the team</t>
        </is>
      </c>
      <c r="H139" s="9" t="inlineStr"/>
      <c r="I139" s="9" t="inlineStr">
        <is>
          <t>ICSI · Company Secretary; Companies Act 2013; IFMA · facilities; CIPS · procurement</t>
        </is>
      </c>
      <c r="J139" s="9" t="inlineStr">
        <is>
          <t>Practical test</t>
        </is>
      </c>
      <c r="K139" s="9" t="inlineStr">
        <is>
          <t>MOS Excel · optional</t>
        </is>
      </c>
      <c r="L139" s="8" t="n">
        <v>0</v>
      </c>
    </row>
    <row r="140" ht="54" customHeight="1">
      <c r="A140" s="14" t="inlineStr">
        <is>
          <t>Administration, Legal &amp; Secretarial</t>
        </is>
      </c>
      <c r="B140" s="9" t="inlineStr">
        <is>
          <t>Communication &amp; Presentation</t>
        </is>
      </c>
      <c r="C140" s="9" t="inlineStr">
        <is>
          <t>Writes and presents clearly to clients and teams.</t>
        </is>
      </c>
      <c r="D140" s="9" t="inlineStr"/>
      <c r="E140" s="9" t="inlineStr"/>
      <c r="F140" s="9" t="inlineStr">
        <is>
          <t>Writes and presents clearly to clients and teams</t>
        </is>
      </c>
      <c r="G140" s="9" t="inlineStr">
        <is>
          <t>Presents to senior stakeholders; shapes messaging</t>
        </is>
      </c>
      <c r="H140" s="9" t="inlineStr"/>
      <c r="I140" s="9" t="inlineStr">
        <is>
          <t>ICSI · Company Secretary; Companies Act 2013; IFMA · facilities; CIPS · procurement</t>
        </is>
      </c>
      <c r="J140" s="9" t="inlineStr">
        <is>
          <t>Presentation / writing test</t>
        </is>
      </c>
      <c r="K140" s="9" t="inlineStr">
        <is>
          <t>—</t>
        </is>
      </c>
      <c r="L140" s="8" t="n">
        <v>0</v>
      </c>
    </row>
    <row r="141" ht="54" customHeight="1">
      <c r="A141" s="14" t="inlineStr">
        <is>
          <t>Administration, Legal &amp; Secretarial</t>
        </is>
      </c>
      <c r="B141" s="9" t="inlineStr">
        <is>
          <t>Time, Priority &amp; Self-Management</t>
        </is>
      </c>
      <c r="C141" s="9" t="inlineStr">
        <is>
          <t>Manages volume, deadlines and priorities.</t>
        </is>
      </c>
      <c r="D141" s="9" t="inlineStr"/>
      <c r="E141" s="9" t="inlineStr"/>
      <c r="F141" s="9" t="inlineStr">
        <is>
          <t>Manages volume and deadlines without slippage</t>
        </is>
      </c>
      <c r="G141" s="9" t="inlineStr">
        <is>
          <t>Plans team capacity and peak-season loads</t>
        </is>
      </c>
      <c r="H141" s="9" t="inlineStr"/>
      <c r="I141" s="9" t="inlineStr">
        <is>
          <t>ICSI · Company Secretary; Companies Act 2013; IFMA · facilities; CIPS · procurement</t>
        </is>
      </c>
      <c r="J141" s="9" t="inlineStr">
        <is>
          <t>Behavioural interview</t>
        </is>
      </c>
      <c r="K141" s="9" t="inlineStr">
        <is>
          <t>—</t>
        </is>
      </c>
      <c r="L141" s="8" t="n">
        <v>0</v>
      </c>
    </row>
    <row r="142" ht="54" customHeight="1">
      <c r="A142" s="14" t="inlineStr">
        <is>
          <t>Executive Leadership</t>
        </is>
      </c>
      <c r="B142" s="9" t="inlineStr">
        <is>
          <t>★ Strategic Thinking &amp; Business Acumen</t>
        </is>
      </c>
      <c r="C142" s="9" t="inlineStr">
        <is>
          <t>Links work to business outcomes, budgets and strategy.</t>
        </is>
      </c>
      <c r="D142" s="9" t="inlineStr"/>
      <c r="E142" s="9" t="inlineStr"/>
      <c r="F142" s="9" t="inlineStr">
        <is>
          <t>Connects work to business goals and budgets</t>
        </is>
      </c>
      <c r="G142" s="9" t="inlineStr">
        <is>
          <t>Shapes strategy, pricing or investment choices</t>
        </is>
      </c>
      <c r="H142" s="9" t="inlineStr"/>
      <c r="I142" s="9" t="inlineStr">
        <is>
          <t>Aon Radford executive levels E1–E6; Mercer ET1–ET3; Korn Ferry Leadership Architect</t>
        </is>
      </c>
      <c r="J142" s="9" t="inlineStr">
        <is>
          <t>Case interview</t>
        </is>
      </c>
      <c r="K142" s="9" t="inlineStr">
        <is>
          <t>MBA / PGDM · preferred at C+</t>
        </is>
      </c>
      <c r="L142" s="8" t="n">
        <v>0</v>
      </c>
    </row>
    <row r="143" ht="54" customHeight="1">
      <c r="A143" s="14" t="inlineStr">
        <is>
          <t>Executive Leadership</t>
        </is>
      </c>
      <c r="B143" s="9" t="inlineStr">
        <is>
          <t>★ People Leadership &amp; Mentoring</t>
        </is>
      </c>
      <c r="C143" s="9" t="inlineStr">
        <is>
          <t>Allocates, coaches and develops people.</t>
        </is>
      </c>
      <c r="D143" s="9" t="inlineStr"/>
      <c r="E143" s="9" t="inlineStr"/>
      <c r="F143" s="9" t="inlineStr">
        <is>
          <t>Coaches and allocates work</t>
        </is>
      </c>
      <c r="G143" s="9" t="inlineStr">
        <is>
          <t>Leads leaders; builds succession</t>
        </is>
      </c>
      <c r="H143" s="9" t="inlineStr"/>
      <c r="I143" s="9" t="inlineStr">
        <is>
          <t>Aon Radford executive levels E1–E6; Mercer ET1–ET3; Korn Ferry Leadership Architect</t>
        </is>
      </c>
      <c r="J143" s="9" t="inlineStr">
        <is>
          <t>Behavioural interview</t>
        </is>
      </c>
      <c r="K143" s="9" t="inlineStr">
        <is>
          <t>—</t>
        </is>
      </c>
      <c r="L143" s="8" t="n">
        <v>0</v>
      </c>
    </row>
    <row r="144" ht="54" customHeight="1">
      <c r="A144" s="14" t="inlineStr">
        <is>
          <t>Executive Leadership</t>
        </is>
      </c>
      <c r="B144" s="9" t="inlineStr">
        <is>
          <t>Stakeholder &amp; Client Management</t>
        </is>
      </c>
      <c r="C144" s="9" t="inlineStr">
        <is>
          <t>Manages clients and stakeholders; handles changing requests.</t>
        </is>
      </c>
      <c r="D144" s="9" t="inlineStr"/>
      <c r="E144" s="9" t="inlineStr"/>
      <c r="F144" s="9" t="inlineStr">
        <is>
          <t>Manages client communication and expectations for own work</t>
        </is>
      </c>
      <c r="G144" s="9" t="inlineStr">
        <is>
          <t>Owns key relationships; resolves escalations</t>
        </is>
      </c>
      <c r="H144" s="9" t="inlineStr"/>
      <c r="I144" s="9" t="inlineStr">
        <is>
          <t>Aon Radford executive levels E1–E6; Mercer ET1–ET3; Korn Ferry Leadership Architect</t>
        </is>
      </c>
      <c r="J144" s="9" t="inlineStr">
        <is>
          <t>Role play / behavioural interview</t>
        </is>
      </c>
      <c r="K144" s="9" t="inlineStr">
        <is>
          <t>—</t>
        </is>
      </c>
      <c r="L144" s="8" t="n">
        <v>0</v>
      </c>
    </row>
    <row r="145" ht="54" customHeight="1">
      <c r="A145" s="14" t="inlineStr">
        <is>
          <t>Executive Leadership</t>
        </is>
      </c>
      <c r="B145" s="9" t="inlineStr">
        <is>
          <t>Product, Platform &amp; Domain Knowledge</t>
        </is>
      </c>
      <c r="C145" s="9" t="inlineStr">
        <is>
          <t>Knows IRIS products, platforms and the client's domain.</t>
        </is>
      </c>
      <c r="D145" s="9" t="inlineStr"/>
      <c r="E145" s="9" t="inlineStr"/>
      <c r="F145" s="9" t="inlineStr">
        <is>
          <t>Handles most product and domain scenarios</t>
        </is>
      </c>
      <c r="G145" s="9" t="inlineStr">
        <is>
          <t>Recognised product / domain expert; trains others</t>
        </is>
      </c>
      <c r="H145" s="9" t="inlineStr"/>
      <c r="I145" s="9" t="inlineStr">
        <is>
          <t>Aon Radford executive levels E1–E6; Mercer ET1–ET3; Korn Ferry Leadership Architect</t>
        </is>
      </c>
      <c r="J145" s="9" t="inlineStr">
        <is>
          <t>Scenario interview</t>
        </is>
      </c>
      <c r="K145" s="9" t="inlineStr">
        <is>
          <t>Internal product certification</t>
        </is>
      </c>
      <c r="L145" s="8" t="n">
        <v>0</v>
      </c>
    </row>
    <row r="146" ht="54" customHeight="1">
      <c r="A146" s="14" t="inlineStr">
        <is>
          <t>Executive Leadership</t>
        </is>
      </c>
      <c r="B146" s="9" t="inlineStr">
        <is>
          <t>Regulatory &amp; BFSI Domain</t>
        </is>
      </c>
      <c r="C146" s="9" t="inlineStr">
        <is>
          <t>Understands regulators, returns, filings and BFSI rules.</t>
        </is>
      </c>
      <c r="D146" s="9" t="inlineStr"/>
      <c r="E146" s="9" t="inlineStr"/>
      <c r="F146" s="9" t="inlineStr">
        <is>
          <t>Knows the relevant regulators, returns and rules</t>
        </is>
      </c>
      <c r="G146" s="9" t="inlineStr">
        <is>
          <t>Interprets new regulation; advises clients and product</t>
        </is>
      </c>
      <c r="H146" s="9" t="inlineStr"/>
      <c r="I146" s="9" t="inlineStr">
        <is>
          <t>Aon Radford executive levels E1–E6; Mercer ET1–ET3; Korn Ferry Leadership Architect</t>
        </is>
      </c>
      <c r="J146" s="9" t="inlineStr">
        <is>
          <t>Domain interview</t>
        </is>
      </c>
      <c r="K146" s="9" t="inlineStr">
        <is>
          <t>Domain certifications · optional</t>
        </is>
      </c>
      <c r="L146" s="8" t="n">
        <v>0</v>
      </c>
    </row>
    <row r="147" ht="54" customHeight="1">
      <c r="A147" s="14" t="inlineStr">
        <is>
          <t>Executive Leadership</t>
        </is>
      </c>
      <c r="B147" s="9" t="inlineStr">
        <is>
          <t>Communication &amp; Presentation</t>
        </is>
      </c>
      <c r="C147" s="9" t="inlineStr">
        <is>
          <t>Writes and presents clearly to clients and teams.</t>
        </is>
      </c>
      <c r="D147" s="9" t="inlineStr"/>
      <c r="E147" s="9" t="inlineStr"/>
      <c r="F147" s="9" t="inlineStr">
        <is>
          <t>Writes and presents clearly to clients and teams</t>
        </is>
      </c>
      <c r="G147" s="9" t="inlineStr">
        <is>
          <t>Presents to senior stakeholders; shapes messaging</t>
        </is>
      </c>
      <c r="H147" s="9" t="inlineStr"/>
      <c r="I147" s="9" t="inlineStr">
        <is>
          <t>Aon Radford executive levels E1–E6; Mercer ET1–ET3; Korn Ferry Leadership Architect</t>
        </is>
      </c>
      <c r="J147" s="9" t="inlineStr">
        <is>
          <t>Presentation / writing test</t>
        </is>
      </c>
      <c r="K147" s="9" t="inlineStr">
        <is>
          <t>—</t>
        </is>
      </c>
      <c r="L147" s="8" t="n">
        <v>0</v>
      </c>
    </row>
    <row r="148" ht="15" customHeight="1"/>
    <row r="149" ht="20" customHeight="1">
      <c r="A149" s="6" t="inlineStr">
        <is>
          <t>Skills captured through the survey — counted across IRIS</t>
        </is>
      </c>
    </row>
    <row r="150" ht="15" customHeight="1">
      <c r="A150" s="12" t="inlineStr">
        <is>
          <t>Skills and technical knowledge people named in the survey and HRIS skill sets, with the number of people naming each · top 60.</t>
        </is>
      </c>
    </row>
    <row r="151" ht="15" customHeight="1">
      <c r="A151" s="7" t="inlineStr">
        <is>
          <t>#</t>
        </is>
      </c>
      <c r="B151" s="7" t="inlineStr">
        <is>
          <t>Skill · as named in the survey / HRIS</t>
        </is>
      </c>
      <c r="C151" s="64" t="n"/>
      <c r="D151" s="63" t="n"/>
      <c r="E151" s="7" t="inlineStr">
        <is>
          <t>People</t>
        </is>
      </c>
    </row>
    <row r="152" ht="15" customHeight="1">
      <c r="A152" s="8" t="n">
        <v>1</v>
      </c>
      <c r="B152" s="9" t="inlineStr">
        <is>
          <t>XBRL Domain</t>
        </is>
      </c>
      <c r="C152" s="64" t="n"/>
      <c r="D152" s="63" t="n"/>
      <c r="E152" s="8" t="n">
        <v>101</v>
      </c>
    </row>
    <row r="153" ht="15" customHeight="1">
      <c r="A153" s="8" t="n">
        <v>2</v>
      </c>
      <c r="B153" s="9" t="inlineStr">
        <is>
          <t>Java</t>
        </is>
      </c>
      <c r="C153" s="64" t="n"/>
      <c r="D153" s="63" t="n"/>
      <c r="E153" s="8" t="n">
        <v>69</v>
      </c>
    </row>
    <row r="154" ht="15" customHeight="1">
      <c r="A154" s="8" t="n">
        <v>3</v>
      </c>
      <c r="B154" s="9" t="inlineStr">
        <is>
          <t>NET MVC</t>
        </is>
      </c>
      <c r="C154" s="64" t="n"/>
      <c r="D154" s="63" t="n"/>
      <c r="E154" s="8" t="n">
        <v>63</v>
      </c>
    </row>
    <row r="155" ht="15" customHeight="1">
      <c r="A155" s="8" t="n">
        <v>4</v>
      </c>
      <c r="B155" s="9" t="inlineStr">
        <is>
          <t>Software testing</t>
        </is>
      </c>
      <c r="C155" s="64" t="n"/>
      <c r="D155" s="63" t="n"/>
      <c r="E155" s="8" t="n">
        <v>39</v>
      </c>
    </row>
    <row r="156" ht="15" customHeight="1">
      <c r="A156" s="8" t="n">
        <v>5</v>
      </c>
      <c r="B156" s="9" t="inlineStr">
        <is>
          <t>Marketing</t>
        </is>
      </c>
      <c r="C156" s="64" t="n"/>
      <c r="D156" s="63" t="n"/>
      <c r="E156" s="8" t="n">
        <v>37</v>
      </c>
    </row>
    <row r="157" ht="15" customHeight="1">
      <c r="A157" s="8" t="n">
        <v>6</v>
      </c>
      <c r="B157" s="9" t="inlineStr">
        <is>
          <t>Business Analysis</t>
        </is>
      </c>
      <c r="C157" s="64" t="n"/>
      <c r="D157" s="63" t="n"/>
      <c r="E157" s="8" t="n">
        <v>36</v>
      </c>
    </row>
    <row r="158" ht="15" customHeight="1">
      <c r="A158" s="8" t="n">
        <v>7</v>
      </c>
      <c r="B158" s="9" t="inlineStr">
        <is>
          <t>OCR/Image procesing</t>
        </is>
      </c>
      <c r="C158" s="64" t="n"/>
      <c r="D158" s="63" t="n"/>
      <c r="E158" s="8" t="n">
        <v>34</v>
      </c>
    </row>
    <row r="159" ht="15" customHeight="1">
      <c r="A159" s="8" t="n">
        <v>8</v>
      </c>
      <c r="B159" s="9" t="inlineStr">
        <is>
          <t>Sales</t>
        </is>
      </c>
      <c r="C159" s="64" t="n"/>
      <c r="D159" s="63" t="n"/>
      <c r="E159" s="8" t="n">
        <v>28</v>
      </c>
    </row>
    <row r="160" ht="15" customHeight="1">
      <c r="A160" s="8" t="n">
        <v>9</v>
      </c>
      <c r="B160" s="9" t="inlineStr">
        <is>
          <t>attention to detail</t>
        </is>
      </c>
      <c r="C160" s="64" t="n"/>
      <c r="D160" s="63" t="n"/>
      <c r="E160" s="8" t="n">
        <v>25</v>
      </c>
    </row>
    <row r="161" ht="15" customHeight="1">
      <c r="A161" s="8" t="n">
        <v>10</v>
      </c>
      <c r="B161" s="9" t="inlineStr">
        <is>
          <t>Communication</t>
        </is>
      </c>
      <c r="C161" s="64" t="n"/>
      <c r="D161" s="63" t="n"/>
      <c r="E161" s="8" t="n">
        <v>23</v>
      </c>
    </row>
    <row r="162" ht="15" customHeight="1">
      <c r="A162" s="8" t="n">
        <v>11</v>
      </c>
      <c r="B162" s="9" t="inlineStr">
        <is>
          <t>Domain knowledge</t>
        </is>
      </c>
      <c r="C162" s="64" t="n"/>
      <c r="D162" s="63" t="n"/>
      <c r="E162" s="8" t="n">
        <v>21</v>
      </c>
    </row>
    <row r="163" ht="15" customHeight="1">
      <c r="A163" s="8" t="n">
        <v>12</v>
      </c>
      <c r="B163" s="9" t="inlineStr">
        <is>
          <t>Angular</t>
        </is>
      </c>
      <c r="C163" s="64" t="n"/>
      <c r="D163" s="63" t="n"/>
      <c r="E163" s="8" t="n">
        <v>21</v>
      </c>
    </row>
    <row r="164" ht="15" customHeight="1">
      <c r="A164" s="8" t="n">
        <v>13</v>
      </c>
      <c r="B164" s="9" t="inlineStr">
        <is>
          <t>Project management</t>
        </is>
      </c>
      <c r="C164" s="64" t="n"/>
      <c r="D164" s="63" t="n"/>
      <c r="E164" s="8" t="n">
        <v>20</v>
      </c>
    </row>
    <row r="165" ht="15" customHeight="1">
      <c r="A165" s="8" t="n">
        <v>14</v>
      </c>
      <c r="B165" s="9" t="inlineStr">
        <is>
          <t>problem-solving</t>
        </is>
      </c>
      <c r="C165" s="64" t="n"/>
      <c r="D165" s="63" t="n"/>
      <c r="E165" s="8" t="n">
        <v>18</v>
      </c>
    </row>
    <row r="166" ht="15" customHeight="1">
      <c r="A166" s="8" t="n">
        <v>15</v>
      </c>
      <c r="B166" s="9" t="inlineStr">
        <is>
          <t>Accounting</t>
        </is>
      </c>
      <c r="C166" s="64" t="n"/>
      <c r="D166" s="63" t="n"/>
      <c r="E166" s="8" t="n">
        <v>18</v>
      </c>
    </row>
    <row r="167" ht="15" customHeight="1">
      <c r="A167" s="8" t="n">
        <v>16</v>
      </c>
      <c r="B167" s="9" t="inlineStr">
        <is>
          <t>Stakeholder Management</t>
        </is>
      </c>
      <c r="C167" s="64" t="n"/>
      <c r="D167" s="63" t="n"/>
      <c r="E167" s="8" t="n">
        <v>17</v>
      </c>
    </row>
    <row r="168" ht="15" customHeight="1">
      <c r="A168" s="8" t="n">
        <v>17</v>
      </c>
      <c r="B168" s="9" t="inlineStr">
        <is>
          <t>SQL</t>
        </is>
      </c>
      <c r="C168" s="64" t="n"/>
      <c r="D168" s="63" t="n"/>
      <c r="E168" s="8" t="n">
        <v>17</v>
      </c>
    </row>
    <row r="169" ht="15" customHeight="1">
      <c r="A169" s="8" t="n">
        <v>18</v>
      </c>
      <c r="B169" s="9" t="inlineStr">
        <is>
          <t>Product Management</t>
        </is>
      </c>
      <c r="C169" s="64" t="n"/>
      <c r="D169" s="63" t="n"/>
      <c r="E169" s="8" t="n">
        <v>16</v>
      </c>
    </row>
    <row r="170" ht="15" customHeight="1">
      <c r="A170" s="8" t="n">
        <v>19</v>
      </c>
      <c r="B170" s="9" t="inlineStr">
        <is>
          <t>Debugging</t>
        </is>
      </c>
      <c r="C170" s="64" t="n"/>
      <c r="D170" s="63" t="n"/>
      <c r="E170" s="8" t="n">
        <v>16</v>
      </c>
    </row>
    <row r="171" ht="15" customHeight="1">
      <c r="A171" s="8" t="n">
        <v>20</v>
      </c>
      <c r="B171" s="9" t="inlineStr">
        <is>
          <t>XBRL</t>
        </is>
      </c>
      <c r="C171" s="64" t="n"/>
      <c r="D171" s="63" t="n"/>
      <c r="E171" s="8" t="n">
        <v>14</v>
      </c>
    </row>
    <row r="172" ht="15" customHeight="1">
      <c r="A172" s="8" t="n">
        <v>21</v>
      </c>
      <c r="B172" s="9" t="inlineStr">
        <is>
          <t>Excel</t>
        </is>
      </c>
      <c r="C172" s="64" t="n"/>
      <c r="D172" s="63" t="n"/>
      <c r="E172" s="8" t="n">
        <v>13</v>
      </c>
    </row>
    <row r="173" ht="15" customHeight="1">
      <c r="A173" s="8" t="n">
        <v>22</v>
      </c>
      <c r="B173" s="9" t="inlineStr">
        <is>
          <t>AI</t>
        </is>
      </c>
      <c r="C173" s="64" t="n"/>
      <c r="D173" s="63" t="n"/>
      <c r="E173" s="8" t="n">
        <v>13</v>
      </c>
    </row>
    <row r="174" ht="15" customHeight="1">
      <c r="A174" s="8" t="n">
        <v>23</v>
      </c>
      <c r="B174" s="9" t="inlineStr">
        <is>
          <t>validation</t>
        </is>
      </c>
      <c r="C174" s="64" t="n"/>
      <c r="D174" s="63" t="n"/>
      <c r="E174" s="8" t="n">
        <v>13</v>
      </c>
    </row>
    <row r="175" ht="15" customHeight="1">
      <c r="A175" s="8" t="n">
        <v>24</v>
      </c>
      <c r="B175" s="9" t="inlineStr">
        <is>
          <t>Python</t>
        </is>
      </c>
      <c r="C175" s="64" t="n"/>
      <c r="D175" s="63" t="n"/>
      <c r="E175" s="8" t="n">
        <v>13</v>
      </c>
    </row>
    <row r="176" ht="15" customHeight="1">
      <c r="A176" s="8" t="n">
        <v>25</v>
      </c>
      <c r="B176" s="9" t="inlineStr">
        <is>
          <t>Infra</t>
        </is>
      </c>
      <c r="C176" s="64" t="n"/>
      <c r="D176" s="63" t="n"/>
      <c r="E176" s="8" t="n">
        <v>13</v>
      </c>
    </row>
    <row r="177" ht="15" customHeight="1">
      <c r="A177" s="8" t="n">
        <v>26</v>
      </c>
      <c r="B177" s="9" t="inlineStr">
        <is>
          <t>taxonomy knowledge</t>
        </is>
      </c>
      <c r="C177" s="64" t="n"/>
      <c r="D177" s="63" t="n"/>
      <c r="E177" s="8" t="n">
        <v>12</v>
      </c>
    </row>
    <row r="178" ht="15" customHeight="1">
      <c r="A178" s="8" t="n">
        <v>27</v>
      </c>
      <c r="B178" s="9" t="inlineStr">
        <is>
          <t>Tech Support</t>
        </is>
      </c>
      <c r="C178" s="64" t="n"/>
      <c r="D178" s="63" t="n"/>
      <c r="E178" s="8" t="n">
        <v>11</v>
      </c>
    </row>
    <row r="179" ht="15" customHeight="1">
      <c r="A179" s="8" t="n">
        <v>28</v>
      </c>
      <c r="B179" s="9" t="inlineStr">
        <is>
          <t>communication skills</t>
        </is>
      </c>
      <c r="C179" s="64" t="n"/>
      <c r="D179" s="63" t="n"/>
      <c r="E179" s="8" t="n">
        <v>10</v>
      </c>
    </row>
    <row r="180" ht="15" customHeight="1">
      <c r="A180" s="8" t="n">
        <v>29</v>
      </c>
      <c r="B180" s="9" t="inlineStr">
        <is>
          <t>Data processing</t>
        </is>
      </c>
      <c r="C180" s="64" t="n"/>
      <c r="D180" s="63" t="n"/>
      <c r="E180" s="8" t="n">
        <v>10</v>
      </c>
    </row>
    <row r="181" ht="15" customHeight="1">
      <c r="A181" s="8" t="n">
        <v>30</v>
      </c>
      <c r="B181" s="9" t="inlineStr">
        <is>
          <t>quality checking</t>
        </is>
      </c>
      <c r="C181" s="64" t="n"/>
      <c r="D181" s="63" t="n"/>
      <c r="E181" s="8" t="n">
        <v>9</v>
      </c>
    </row>
    <row r="182" ht="15" customHeight="1">
      <c r="A182" s="8" t="n">
        <v>31</v>
      </c>
      <c r="B182" s="9" t="inlineStr">
        <is>
          <t>Requirement analysis</t>
        </is>
      </c>
      <c r="C182" s="64" t="n"/>
      <c r="D182" s="63" t="n"/>
      <c r="E182" s="8" t="n">
        <v>9</v>
      </c>
    </row>
    <row r="183" ht="15" customHeight="1">
      <c r="A183" s="8" t="n">
        <v>32</v>
      </c>
      <c r="B183" s="9" t="inlineStr">
        <is>
          <t>Problem solving</t>
        </is>
      </c>
      <c r="C183" s="64" t="n"/>
      <c r="D183" s="63" t="n"/>
      <c r="E183" s="8" t="n">
        <v>9</v>
      </c>
    </row>
    <row r="184" ht="15" customHeight="1">
      <c r="A184" s="8" t="n">
        <v>33</v>
      </c>
      <c r="B184" s="9" t="inlineStr">
        <is>
          <t>Data Analysis</t>
        </is>
      </c>
      <c r="C184" s="64" t="n"/>
      <c r="D184" s="63" t="n"/>
      <c r="E184" s="8" t="n">
        <v>9</v>
      </c>
    </row>
    <row r="185" ht="15" customHeight="1">
      <c r="A185" s="8" t="n">
        <v>34</v>
      </c>
      <c r="B185" s="9" t="inlineStr">
        <is>
          <t>UI</t>
        </is>
      </c>
      <c r="C185" s="64" t="n"/>
      <c r="D185" s="63" t="n"/>
      <c r="E185" s="8" t="n">
        <v>9</v>
      </c>
    </row>
    <row r="186" ht="15" customHeight="1">
      <c r="A186" s="8" t="n">
        <v>35</v>
      </c>
      <c r="B186" s="9" t="inlineStr">
        <is>
          <t>Spring Boot</t>
        </is>
      </c>
      <c r="C186" s="64" t="n"/>
      <c r="D186" s="63" t="n"/>
      <c r="E186" s="8" t="n">
        <v>9</v>
      </c>
    </row>
    <row r="187" ht="15" customHeight="1">
      <c r="A187" s="8" t="n">
        <v>36</v>
      </c>
      <c r="B187" s="9" t="inlineStr">
        <is>
          <t>Documentation</t>
        </is>
      </c>
      <c r="C187" s="64" t="n"/>
      <c r="D187" s="63" t="n"/>
      <c r="E187" s="8" t="n">
        <v>9</v>
      </c>
    </row>
    <row r="188" ht="15" customHeight="1">
      <c r="A188" s="8" t="n">
        <v>37</v>
      </c>
      <c r="B188" s="9" t="inlineStr">
        <is>
          <t>data validation</t>
        </is>
      </c>
      <c r="C188" s="64" t="n"/>
      <c r="D188" s="63" t="n"/>
      <c r="E188" s="8" t="n">
        <v>8</v>
      </c>
    </row>
    <row r="189" ht="15" customHeight="1">
      <c r="A189" s="8" t="n">
        <v>38</v>
      </c>
      <c r="B189" s="9" t="inlineStr">
        <is>
          <t>MS Office</t>
        </is>
      </c>
      <c r="C189" s="64" t="n"/>
      <c r="D189" s="63" t="n"/>
      <c r="E189" s="8" t="n">
        <v>8</v>
      </c>
    </row>
    <row r="190" ht="15" customHeight="1">
      <c r="A190" s="8" t="n">
        <v>39</v>
      </c>
      <c r="B190" s="9" t="inlineStr">
        <is>
          <t>Test Case Design</t>
        </is>
      </c>
      <c r="C190" s="64" t="n"/>
      <c r="D190" s="63" t="n"/>
      <c r="E190" s="8" t="n">
        <v>8</v>
      </c>
    </row>
    <row r="191" ht="15" customHeight="1">
      <c r="A191" s="8" t="n">
        <v>40</v>
      </c>
      <c r="B191" s="9" t="inlineStr">
        <is>
          <t>XBRL knowledge</t>
        </is>
      </c>
      <c r="C191" s="64" t="n"/>
      <c r="D191" s="63" t="n"/>
      <c r="E191" s="8" t="n">
        <v>8</v>
      </c>
    </row>
    <row r="192" ht="15" customHeight="1">
      <c r="A192" s="8" t="n">
        <v>41</v>
      </c>
      <c r="B192" s="9" t="inlineStr">
        <is>
          <t>React</t>
        </is>
      </c>
      <c r="C192" s="64" t="n"/>
      <c r="D192" s="63" t="n"/>
      <c r="E192" s="8" t="n">
        <v>8</v>
      </c>
    </row>
    <row r="193" ht="15" customHeight="1">
      <c r="A193" s="8" t="n">
        <v>42</v>
      </c>
      <c r="B193" s="9" t="inlineStr">
        <is>
          <t>API Integration</t>
        </is>
      </c>
      <c r="C193" s="64" t="n"/>
      <c r="D193" s="63" t="n"/>
      <c r="E193" s="8" t="n">
        <v>8</v>
      </c>
    </row>
    <row r="194" ht="15" customHeight="1">
      <c r="A194" s="8" t="n">
        <v>43</v>
      </c>
      <c r="B194" s="9" t="inlineStr">
        <is>
          <t>Manual Testing</t>
        </is>
      </c>
      <c r="C194" s="64" t="n"/>
      <c r="D194" s="63" t="n"/>
      <c r="E194" s="8" t="n">
        <v>8</v>
      </c>
    </row>
    <row r="195" ht="15" customHeight="1">
      <c r="A195" s="8" t="n">
        <v>44</v>
      </c>
      <c r="B195" s="9" t="inlineStr">
        <is>
          <t>Domain Support</t>
        </is>
      </c>
      <c r="C195" s="64" t="n"/>
      <c r="D195" s="63" t="n"/>
      <c r="E195" s="8" t="n">
        <v>8</v>
      </c>
    </row>
    <row r="196" ht="15" customHeight="1">
      <c r="A196" s="8" t="n">
        <v>45</v>
      </c>
      <c r="B196" s="9" t="inlineStr">
        <is>
          <t>AI/ML</t>
        </is>
      </c>
      <c r="C196" s="64" t="n"/>
      <c r="D196" s="63" t="n"/>
      <c r="E196" s="8" t="n">
        <v>8</v>
      </c>
    </row>
    <row r="197" ht="15" customHeight="1">
      <c r="A197" s="8" t="n">
        <v>46</v>
      </c>
      <c r="B197" s="9" t="inlineStr">
        <is>
          <t>HR</t>
        </is>
      </c>
      <c r="C197" s="64" t="n"/>
      <c r="D197" s="63" t="n"/>
      <c r="E197" s="8" t="n">
        <v>8</v>
      </c>
    </row>
    <row r="198" ht="15" customHeight="1">
      <c r="A198" s="8" t="n">
        <v>47</v>
      </c>
      <c r="B198" s="9" t="inlineStr">
        <is>
          <t>QC</t>
        </is>
      </c>
      <c r="C198" s="64" t="n"/>
      <c r="D198" s="63" t="n"/>
      <c r="E198" s="8" t="n">
        <v>7</v>
      </c>
    </row>
    <row r="199" ht="15" customHeight="1">
      <c r="A199" s="8" t="n">
        <v>48</v>
      </c>
      <c r="B199" s="9" t="inlineStr">
        <is>
          <t>Financial reporting</t>
        </is>
      </c>
      <c r="C199" s="64" t="n"/>
      <c r="D199" s="63" t="n"/>
      <c r="E199" s="8" t="n">
        <v>7</v>
      </c>
    </row>
    <row r="200" ht="15" customHeight="1">
      <c r="A200" s="8" t="n">
        <v>49</v>
      </c>
      <c r="B200" s="9" t="inlineStr">
        <is>
          <t>client communication</t>
        </is>
      </c>
      <c r="C200" s="64" t="n"/>
      <c r="D200" s="63" t="n"/>
      <c r="E200" s="8" t="n">
        <v>7</v>
      </c>
    </row>
    <row r="201" ht="15" customHeight="1">
      <c r="A201" s="8" t="n">
        <v>50</v>
      </c>
      <c r="B201" s="9" t="inlineStr">
        <is>
          <t>testing</t>
        </is>
      </c>
      <c r="C201" s="64" t="n"/>
      <c r="D201" s="63" t="n"/>
      <c r="E201" s="8" t="n">
        <v>7</v>
      </c>
    </row>
    <row r="202" ht="15" customHeight="1">
      <c r="A202" s="8" t="n">
        <v>51</v>
      </c>
      <c r="B202" s="9" t="inlineStr">
        <is>
          <t>Technical knowledge</t>
        </is>
      </c>
      <c r="C202" s="64" t="n"/>
      <c r="D202" s="63" t="n"/>
      <c r="E202" s="8" t="n">
        <v>7</v>
      </c>
    </row>
    <row r="203" ht="15" customHeight="1">
      <c r="A203" s="8" t="n">
        <v>52</v>
      </c>
      <c r="B203" s="9" t="inlineStr">
        <is>
          <t>Git</t>
        </is>
      </c>
      <c r="C203" s="64" t="n"/>
      <c r="D203" s="63" t="n"/>
      <c r="E203" s="8" t="n">
        <v>7</v>
      </c>
    </row>
    <row r="204" ht="15" customHeight="1">
      <c r="A204" s="8" t="n">
        <v>53</v>
      </c>
      <c r="B204" s="9" t="inlineStr">
        <is>
          <t>Product knowledge</t>
        </is>
      </c>
      <c r="C204" s="64" t="n"/>
      <c r="D204" s="63" t="n"/>
      <c r="E204" s="8" t="n">
        <v>6</v>
      </c>
    </row>
    <row r="205" ht="15" customHeight="1">
      <c r="A205" s="8" t="n">
        <v>54</v>
      </c>
      <c r="B205" s="9" t="inlineStr">
        <is>
          <t>REST APIs</t>
        </is>
      </c>
      <c r="C205" s="64" t="n"/>
      <c r="D205" s="63" t="n"/>
      <c r="E205" s="8" t="n">
        <v>6</v>
      </c>
    </row>
    <row r="206" ht="15" customHeight="1">
      <c r="A206" s="8" t="n">
        <v>55</v>
      </c>
      <c r="B206" s="9" t="inlineStr">
        <is>
          <t>Full stack Development</t>
        </is>
      </c>
      <c r="C206" s="64" t="n"/>
      <c r="D206" s="63" t="n"/>
      <c r="E206" s="8" t="n">
        <v>6</v>
      </c>
    </row>
    <row r="207" ht="15" customHeight="1">
      <c r="A207" s="8" t="n">
        <v>56</v>
      </c>
      <c r="B207" s="9" t="inlineStr">
        <is>
          <t>Api testing</t>
        </is>
      </c>
      <c r="C207" s="64" t="n"/>
      <c r="D207" s="63" t="n"/>
      <c r="E207" s="8" t="n">
        <v>6</v>
      </c>
    </row>
    <row r="208" ht="15" customHeight="1">
      <c r="A208" s="8" t="n">
        <v>57</v>
      </c>
      <c r="B208" s="9" t="inlineStr">
        <is>
          <t>CE</t>
        </is>
      </c>
      <c r="C208" s="64" t="n"/>
      <c r="D208" s="63" t="n"/>
      <c r="E208" s="8" t="n">
        <v>6</v>
      </c>
    </row>
    <row r="209" ht="15" customHeight="1">
      <c r="A209" s="8" t="n">
        <v>58</v>
      </c>
      <c r="B209" s="9" t="inlineStr">
        <is>
          <t>Administration</t>
        </is>
      </c>
      <c r="C209" s="64" t="n"/>
      <c r="D209" s="63" t="n"/>
      <c r="E209" s="8" t="n">
        <v>6</v>
      </c>
    </row>
    <row r="210" ht="15" customHeight="1">
      <c r="A210" s="8" t="n">
        <v>59</v>
      </c>
      <c r="B210" s="9" t="inlineStr">
        <is>
          <t>Ms Excel</t>
        </is>
      </c>
      <c r="C210" s="64" t="n"/>
      <c r="D210" s="63" t="n"/>
      <c r="E210" s="8" t="n">
        <v>5</v>
      </c>
    </row>
    <row r="211" ht="15" customHeight="1">
      <c r="A211" s="8" t="n">
        <v>60</v>
      </c>
      <c r="B211" s="9" t="inlineStr">
        <is>
          <t>Finance</t>
        </is>
      </c>
      <c r="C211" s="64" t="n"/>
      <c r="D211" s="63" t="n"/>
      <c r="E211" s="8" t="n">
        <v>5</v>
      </c>
    </row>
    <row r="212" ht="15" customHeight="1"/>
    <row r="213" ht="20" customHeight="1">
      <c r="A213" s="6" t="inlineStr">
        <is>
          <t>Market standards behind the framework</t>
        </is>
      </c>
    </row>
    <row r="214" ht="15" customHeight="1">
      <c r="A214" s="7" t="inlineStr">
        <is>
          <t>Source</t>
        </is>
      </c>
      <c r="B214" s="64" t="n"/>
      <c r="C214" s="63" t="n"/>
      <c r="D214" s="7" t="inlineStr">
        <is>
          <t>What we used</t>
        </is>
      </c>
      <c r="E214" s="64" t="n"/>
      <c r="F214" s="64" t="n"/>
      <c r="G214" s="64" t="n"/>
      <c r="H214" s="64" t="n"/>
      <c r="I214" s="64" t="n"/>
      <c r="J214" s="64" t="n"/>
      <c r="K214" s="64" t="n"/>
      <c r="L214" s="63" t="n"/>
    </row>
    <row r="215" ht="28" customHeight="1">
      <c r="A215" s="14" t="inlineStr">
        <is>
          <t>SFIA 9 · Skills Framework for the Information Age</t>
        </is>
      </c>
      <c r="B215" s="64" t="n"/>
      <c r="C215" s="63" t="n"/>
      <c r="D215" s="9" t="inlineStr">
        <is>
          <t>Levels of responsibility · autonomy, influence, complexity, knowledge and business skills such as collaboration, communication, improvement mindset, creativity, decision-making, digital mindset, learning and adaptability → proficiency scale and core / future-ready behaviours.</t>
        </is>
      </c>
      <c r="E215" s="64" t="n"/>
      <c r="F215" s="64" t="n"/>
      <c r="G215" s="64" t="n"/>
      <c r="H215" s="64" t="n"/>
      <c r="I215" s="64" t="n"/>
      <c r="J215" s="64" t="n"/>
      <c r="K215" s="64" t="n"/>
      <c r="L215" s="63" t="n"/>
    </row>
    <row r="216" ht="28" customHeight="1">
      <c r="A216" s="14" t="inlineStr">
        <is>
          <t>World Economic Forum — Future of Jobs Report 2025</t>
        </is>
      </c>
      <c r="B216" s="64" t="n"/>
      <c r="C216" s="63" t="n"/>
      <c r="D216" s="9" t="inlineStr">
        <is>
          <r>
            <rPr>
              <rFont val="Calibri"/>
              <b val="1"/>
              <sz val="10"/>
            </rPr>
            <t>Fastest-growing skills:</t>
          </r>
          <r>
            <rPr>
              <rFont val="Calibri"/>
              <sz val="10"/>
            </rPr>
            <t xml:space="preserve"> AI &amp; big data, networks &amp; cybersecurity, technological literacy, creative thinking, resilience / flexibility / agility, curiosity &amp; lifelong learning, leadership &amp; social influence → future-ready cluster and family watch lists.</t>
          </r>
        </is>
      </c>
      <c r="E216" s="64" t="n"/>
      <c r="F216" s="64" t="n"/>
      <c r="G216" s="64" t="n"/>
      <c r="H216" s="64" t="n"/>
      <c r="I216" s="64" t="n"/>
      <c r="J216" s="64" t="n"/>
      <c r="K216" s="64" t="n"/>
      <c r="L216" s="63" t="n"/>
    </row>
    <row r="217" ht="15" customHeight="1">
      <c r="A217" s="14" t="inlineStr">
        <is>
          <t>PMI Talent Triangle · Ways of Working, Power Skills, Business Acumen</t>
        </is>
      </c>
      <c r="B217" s="64" t="n"/>
      <c r="C217" s="63" t="n"/>
      <c r="D217" s="9" t="inlineStr">
        <is>
          <t>Balance of technical, interpersonal and business skills → leadership cluster and project / programme competencies.</t>
        </is>
      </c>
      <c r="E217" s="64" t="n"/>
      <c r="F217" s="64" t="n"/>
      <c r="G217" s="64" t="n"/>
      <c r="H217" s="64" t="n"/>
      <c r="I217" s="64" t="n"/>
      <c r="J217" s="64" t="n"/>
      <c r="K217" s="64" t="n"/>
      <c r="L217" s="63" t="n"/>
    </row>
    <row r="218" ht="28" customHeight="1">
      <c r="A218" s="14" t="inlineStr">
        <is>
          <t>Digital Education Council AI-literacy framework · 5 dimensions × 3 levels</t>
        </is>
      </c>
      <c r="B218" s="64" t="n"/>
      <c r="C218" s="63" t="n"/>
      <c r="D218" s="9" t="inlineStr">
        <is>
          <t>Understanding, critical evaluation and responsible use of AI → AI literacy indicators.</t>
        </is>
      </c>
      <c r="E218" s="64" t="n"/>
      <c r="F218" s="64" t="n"/>
      <c r="G218" s="64" t="n"/>
      <c r="H218" s="64" t="n"/>
      <c r="I218" s="64" t="n"/>
      <c r="J218" s="64" t="n"/>
      <c r="K218" s="64" t="n"/>
      <c r="L218" s="63" t="n"/>
    </row>
    <row r="219" ht="15" customHeight="1">
      <c r="A219" s="14" t="inlineStr">
        <is>
          <t>AICPA &amp; XBRL US — XBRL US GAAP Certificate</t>
        </is>
      </c>
      <c r="B219" s="64" t="n"/>
      <c r="C219" s="63" t="n"/>
      <c r="D219" s="9" t="inlineStr">
        <is>
          <t>Tagging, taxonomy navigation, validation and extension skills → XBRL &amp; taxonomy indicators and credentials.</t>
        </is>
      </c>
      <c r="E219" s="64" t="n"/>
      <c r="F219" s="64" t="n"/>
      <c r="G219" s="64" t="n"/>
      <c r="H219" s="64" t="n"/>
      <c r="I219" s="64" t="n"/>
      <c r="J219" s="64" t="n"/>
      <c r="K219" s="64" t="n"/>
      <c r="L219" s="63" t="n"/>
    </row>
    <row r="220" ht="15" customHeight="1">
      <c r="A220" s="14" t="inlineStr">
        <is>
          <t>Korn Ferry Hay / Mercer IPE</t>
        </is>
      </c>
      <c r="B220" s="64" t="n"/>
      <c r="C220" s="63" t="n"/>
      <c r="D220" s="9" t="inlineStr">
        <is>
          <t>Know-how, problem solving and accountability → link between competency profile and level.</t>
        </is>
      </c>
      <c r="E220" s="64" t="n"/>
      <c r="F220" s="64" t="n"/>
      <c r="G220" s="64" t="n"/>
      <c r="H220" s="64" t="n"/>
      <c r="I220" s="64" t="n"/>
      <c r="J220" s="64" t="n"/>
      <c r="K220" s="64" t="n"/>
      <c r="L220" s="63" t="n"/>
    </row>
    <row r="221" ht="28" customHeight="1">
      <c r="A221" s="14" t="inlineStr">
        <is>
          <t>IRIS internal evidence</t>
        </is>
      </c>
      <c r="B221" s="64" t="n"/>
      <c r="C221" s="63" t="n"/>
      <c r="D221" s="9" t="inlineStr">
        <is>
          <t>How We Grow survey · 521 responses, manager-set and self KRAs from the talent-mapping files, ratings, potential and 9-box; 68 top performers · rating 5, or rating ≥ 4 with 9-box Future Leader / High Impact used to set differentiators · Summary sheet.</t>
        </is>
      </c>
      <c r="E221" s="64" t="n"/>
      <c r="F221" s="64" t="n"/>
      <c r="G221" s="64" t="n"/>
      <c r="H221" s="64" t="n"/>
      <c r="I221" s="64" t="n"/>
      <c r="J221" s="64" t="n"/>
      <c r="K221" s="64" t="n"/>
      <c r="L221" s="63" t="n"/>
    </row>
    <row r="222" ht="28" customHeight="1">
      <c r="A222" s="14" t="inlineStr">
        <is>
          <t>Governance</t>
        </is>
      </c>
      <c r="B222" s="64" t="n"/>
      <c r="C222" s="63" t="n"/>
      <c r="D222" s="9" t="inlineStr">
        <is>
          <r>
            <rPr>
              <rFont val="Calibri"/>
              <b val="1"/>
              <sz val="10"/>
            </rPr>
            <t>Owner:</t>
          </r>
          <r>
            <rPr>
              <rFont val="Calibri"/>
              <sz val="10"/>
            </rPr>
            <t xml:space="preserve"> HR / L&amp;D with function heads. Review annually and when roles change; refresh the future-skills watch list every year; recalibrate required proficiencies after the first validation cycle.</t>
          </r>
        </is>
      </c>
      <c r="E222" s="64" t="n"/>
      <c r="F222" s="64" t="n"/>
      <c r="G222" s="64" t="n"/>
      <c r="H222" s="64" t="n"/>
      <c r="I222" s="64" t="n"/>
      <c r="J222" s="64" t="n"/>
      <c r="K222" s="64" t="n"/>
      <c r="L222" s="63" t="n"/>
    </row>
    <row r="223" ht="15" customHeight="1"/>
    <row r="224" ht="15" customHeight="1">
      <c r="A224" s="7" t="inlineStr">
        <is>
          <t>Job family</t>
        </is>
      </c>
      <c r="B224" s="64" t="n"/>
      <c r="C224" s="63" t="n"/>
      <c r="D224" s="7" t="inlineStr">
        <is>
          <t>Professional standard / certification path</t>
        </is>
      </c>
      <c r="E224" s="64" t="n"/>
      <c r="F224" s="64" t="n"/>
      <c r="G224" s="64" t="n"/>
      <c r="H224" s="64" t="n"/>
      <c r="I224" s="64" t="n"/>
      <c r="J224" s="64" t="n"/>
      <c r="K224" s="64" t="n"/>
      <c r="L224" s="63" t="n"/>
    </row>
    <row r="225" ht="15" customHeight="1">
      <c r="A225" s="14" t="inlineStr">
        <is>
          <t>Engineering &amp; Development</t>
        </is>
      </c>
      <c r="B225" s="64" t="n"/>
      <c r="C225" s="63" t="n"/>
      <c r="D225" s="9" t="inlineStr">
        <is>
          <t>SFIA 9 · software development, programming; OWASP secure coding; cloud vendor certifications</t>
        </is>
      </c>
      <c r="E225" s="64" t="n"/>
      <c r="F225" s="64" t="n"/>
      <c r="G225" s="64" t="n"/>
      <c r="H225" s="64" t="n"/>
      <c r="I225" s="64" t="n"/>
      <c r="J225" s="64" t="n"/>
      <c r="K225" s="64" t="n"/>
      <c r="L225" s="63" t="n"/>
    </row>
    <row r="226" ht="15" customHeight="1">
      <c r="A226" s="14" t="inlineStr">
        <is>
          <t>Engineering &amp; Architecture</t>
        </is>
      </c>
      <c r="B226" s="64" t="n"/>
      <c r="C226" s="63" t="n"/>
      <c r="D226" s="9" t="inlineStr">
        <is>
          <t>SFIA 9 · solution architecture; TOGAF; AWS / Azure architect certifications</t>
        </is>
      </c>
      <c r="E226" s="64" t="n"/>
      <c r="F226" s="64" t="n"/>
      <c r="G226" s="64" t="n"/>
      <c r="H226" s="64" t="n"/>
      <c r="I226" s="64" t="n"/>
      <c r="J226" s="64" t="n"/>
      <c r="K226" s="64" t="n"/>
      <c r="L226" s="63" t="n"/>
    </row>
    <row r="227" ht="15" customHeight="1">
      <c r="A227" s="14" t="inlineStr">
        <is>
          <t>Quality Assurance</t>
        </is>
      </c>
      <c r="B227" s="64" t="n"/>
      <c r="C227" s="63" t="n"/>
      <c r="D227" s="9" t="inlineStr">
        <is>
          <t>ISTQB Foundation → Advanced → Expert; SFIA testing</t>
        </is>
      </c>
      <c r="E227" s="64" t="n"/>
      <c r="F227" s="64" t="n"/>
      <c r="G227" s="64" t="n"/>
      <c r="H227" s="64" t="n"/>
      <c r="I227" s="64" t="n"/>
      <c r="J227" s="64" t="n"/>
      <c r="K227" s="64" t="n"/>
      <c r="L227" s="63" t="n"/>
    </row>
    <row r="228" ht="15" customHeight="1">
      <c r="A228" s="14" t="inlineStr">
        <is>
          <t>Business Analysis</t>
        </is>
      </c>
      <c r="B228" s="64" t="n"/>
      <c r="C228" s="63" t="n"/>
      <c r="D228" s="9" t="inlineStr">
        <is>
          <t>IIBA BABOK v3; certifications ECBA · entry → CCBA → CBAP · senior</t>
        </is>
      </c>
      <c r="E228" s="64" t="n"/>
      <c r="F228" s="64" t="n"/>
      <c r="G228" s="64" t="n"/>
      <c r="H228" s="64" t="n"/>
      <c r="I228" s="64" t="n"/>
      <c r="J228" s="64" t="n"/>
      <c r="K228" s="64" t="n"/>
      <c r="L228" s="63" t="n"/>
    </row>
    <row r="229" ht="15" customHeight="1">
      <c r="A229" s="14" t="inlineStr">
        <is>
          <t>Project &amp; Program Management</t>
        </is>
      </c>
      <c r="B229" s="64" t="n"/>
      <c r="C229" s="63" t="n"/>
      <c r="D229" s="9" t="inlineStr">
        <is>
          <t>PMI PMBOK and Talent Triangle; CAPM · entry → PMP → PgMP; Scrum / SAFe</t>
        </is>
      </c>
      <c r="E229" s="64" t="n"/>
      <c r="F229" s="64" t="n"/>
      <c r="G229" s="64" t="n"/>
      <c r="H229" s="64" t="n"/>
      <c r="I229" s="64" t="n"/>
      <c r="J229" s="64" t="n"/>
      <c r="K229" s="64" t="n"/>
      <c r="L229" s="63" t="n"/>
    </row>
    <row r="230" ht="15" customHeight="1">
      <c r="A230" s="14" t="inlineStr">
        <is>
          <t>Product Management</t>
        </is>
      </c>
      <c r="B230" s="64" t="n"/>
      <c r="C230" s="63" t="n"/>
      <c r="D230" s="9" t="inlineStr">
        <is>
          <t>Pragmatic Institute Framework · 37 activities, 7 categories; AIPMM</t>
        </is>
      </c>
      <c r="E230" s="64" t="n"/>
      <c r="F230" s="64" t="n"/>
      <c r="G230" s="64" t="n"/>
      <c r="H230" s="64" t="n"/>
      <c r="I230" s="64" t="n"/>
      <c r="J230" s="64" t="n"/>
      <c r="K230" s="64" t="n"/>
      <c r="L230" s="63" t="n"/>
    </row>
    <row r="231" ht="15" customHeight="1">
      <c r="A231" s="14" t="inlineStr">
        <is>
          <t>Design &amp; Creative</t>
        </is>
      </c>
      <c r="B231" s="64" t="n"/>
      <c r="C231" s="63" t="n"/>
      <c r="D231" s="9" t="inlineStr">
        <is>
          <t>UX career ladder Junior → Designer → Senior → Lead → Principal; WCAG accessibility</t>
        </is>
      </c>
      <c r="E231" s="64" t="n"/>
      <c r="F231" s="64" t="n"/>
      <c r="G231" s="64" t="n"/>
      <c r="H231" s="64" t="n"/>
      <c r="I231" s="64" t="n"/>
      <c r="J231" s="64" t="n"/>
      <c r="K231" s="64" t="n"/>
      <c r="L231" s="63" t="n"/>
    </row>
    <row r="232" ht="15" customHeight="1">
      <c r="A232" s="14" t="inlineStr">
        <is>
          <t>Consulting &amp; Professional Services</t>
        </is>
      </c>
      <c r="B232" s="64" t="n"/>
      <c r="C232" s="63" t="n"/>
      <c r="D232" s="9" t="inlineStr">
        <is>
          <t>XBRL US GAAP Certificate · AICPA &amp; XBRL US; XBRL International specifications; IFRS / US GAAP / Ind AS</t>
        </is>
      </c>
      <c r="E232" s="64" t="n"/>
      <c r="F232" s="64" t="n"/>
      <c r="G232" s="64" t="n"/>
      <c r="H232" s="64" t="n"/>
      <c r="I232" s="64" t="n"/>
      <c r="J232" s="64" t="n"/>
      <c r="K232" s="64" t="n"/>
      <c r="L232" s="63" t="n"/>
    </row>
    <row r="233" ht="15" customHeight="1">
      <c r="A233" s="14" t="inlineStr">
        <is>
          <t>Data Operations &amp; Digitization</t>
        </is>
      </c>
      <c r="B233" s="64" t="n"/>
      <c r="C233" s="63" t="n"/>
      <c r="D233" s="9" t="inlineStr">
        <is>
          <t>COPC CX Standard · leadership &amp; planning, people, processes, performance; ISO 9001; Lean / Six Sigma</t>
        </is>
      </c>
      <c r="E233" s="64" t="n"/>
      <c r="F233" s="64" t="n"/>
      <c r="G233" s="64" t="n"/>
      <c r="H233" s="64" t="n"/>
      <c r="I233" s="64" t="n"/>
      <c r="J233" s="64" t="n"/>
      <c r="K233" s="64" t="n"/>
      <c r="L233" s="63" t="n"/>
    </row>
    <row r="234" ht="15" customHeight="1">
      <c r="A234" s="14" t="inlineStr">
        <is>
          <t>Data &amp; Analytics</t>
        </is>
      </c>
      <c r="B234" s="64" t="n"/>
      <c r="C234" s="63" t="n"/>
      <c r="D234" s="9" t="inlineStr">
        <is>
          <t>DAMA-DMBOK · 11 knowledge areas around data governance</t>
        </is>
      </c>
      <c r="E234" s="64" t="n"/>
      <c r="F234" s="64" t="n"/>
      <c r="G234" s="64" t="n"/>
      <c r="H234" s="64" t="n"/>
      <c r="I234" s="64" t="n"/>
      <c r="J234" s="64" t="n"/>
      <c r="K234" s="64" t="n"/>
      <c r="L234" s="63" t="n"/>
    </row>
    <row r="235" ht="15" customHeight="1">
      <c r="A235" s="14" t="inlineStr">
        <is>
          <t>Customer Success &amp; Support</t>
        </is>
      </c>
      <c r="B235" s="64" t="n"/>
      <c r="C235" s="63" t="n"/>
      <c r="D235" s="9" t="inlineStr">
        <is>
          <t>TSIA frameworks and benchmarks; ITIL 4 service desk; Gainsight customer-success practice</t>
        </is>
      </c>
      <c r="E235" s="64" t="n"/>
      <c r="F235" s="64" t="n"/>
      <c r="G235" s="64" t="n"/>
      <c r="H235" s="64" t="n"/>
      <c r="I235" s="64" t="n"/>
      <c r="J235" s="64" t="n"/>
      <c r="K235" s="64" t="n"/>
      <c r="L235" s="63" t="n"/>
    </row>
    <row r="236" ht="15" customHeight="1">
      <c r="A236" s="14" t="inlineStr">
        <is>
          <t>Solution Consulting &amp; Implementation</t>
        </is>
      </c>
      <c r="B236" s="64" t="n"/>
      <c r="C236" s="63" t="n"/>
      <c r="D236" s="9" t="inlineStr">
        <is>
          <t>TSIA professional services; PMI; BABOK</t>
        </is>
      </c>
      <c r="E236" s="64" t="n"/>
      <c r="F236" s="64" t="n"/>
      <c r="G236" s="64" t="n"/>
      <c r="H236" s="64" t="n"/>
      <c r="I236" s="64" t="n"/>
      <c r="J236" s="64" t="n"/>
      <c r="K236" s="64" t="n"/>
      <c r="L236" s="63" t="n"/>
    </row>
    <row r="237" ht="15" customHeight="1">
      <c r="A237" s="14" t="inlineStr">
        <is>
          <t>Sales &amp; Business Development</t>
        </is>
      </c>
      <c r="B237" s="64" t="n"/>
      <c r="C237" s="63" t="n"/>
      <c r="D237" s="9" t="inlineStr">
        <is>
          <t>SaaS sales ladder · SDR → AE → Enterprise AE → VP / CRO; MEDDICC-style qualification</t>
        </is>
      </c>
      <c r="E237" s="64" t="n"/>
      <c r="F237" s="64" t="n"/>
      <c r="G237" s="64" t="n"/>
      <c r="H237" s="64" t="n"/>
      <c r="I237" s="64" t="n"/>
      <c r="J237" s="64" t="n"/>
      <c r="K237" s="64" t="n"/>
      <c r="L237" s="63" t="n"/>
    </row>
    <row r="238" ht="15" customHeight="1">
      <c r="A238" s="14" t="inlineStr">
        <is>
          <t>Marketing &amp; Communications</t>
        </is>
      </c>
      <c r="B238" s="64" t="n"/>
      <c r="C238" s="63" t="n"/>
      <c r="D238" s="9" t="inlineStr">
        <is>
          <t>CIM Global Professional Marketing Framework — proficiency Aware → Active learner → Able → Accomplished → Authoritative</t>
        </is>
      </c>
      <c r="E238" s="64" t="n"/>
      <c r="F238" s="64" t="n"/>
      <c r="G238" s="64" t="n"/>
      <c r="H238" s="64" t="n"/>
      <c r="I238" s="64" t="n"/>
      <c r="J238" s="64" t="n"/>
      <c r="K238" s="64" t="n"/>
      <c r="L238" s="63" t="n"/>
    </row>
    <row r="239" ht="15" customHeight="1">
      <c r="A239" s="14" t="inlineStr">
        <is>
          <t>IT &amp; Infrastructure</t>
        </is>
      </c>
      <c r="B239" s="64" t="n"/>
      <c r="C239" s="63" t="n"/>
      <c r="D239" s="9" t="inlineStr">
        <is>
          <t>ITIL 4; ISO/IEC 27001:2022; SFIA infrastructure</t>
        </is>
      </c>
      <c r="E239" s="64" t="n"/>
      <c r="F239" s="64" t="n"/>
      <c r="G239" s="64" t="n"/>
      <c r="H239" s="64" t="n"/>
      <c r="I239" s="64" t="n"/>
      <c r="J239" s="64" t="n"/>
      <c r="K239" s="64" t="n"/>
      <c r="L239" s="63" t="n"/>
    </row>
    <row r="240" ht="15" customHeight="1">
      <c r="A240" s="14" t="inlineStr">
        <is>
          <t>Finance &amp; Accounts</t>
        </is>
      </c>
      <c r="B240" s="64" t="n"/>
      <c r="C240" s="63" t="n"/>
      <c r="D240" s="9" t="inlineStr">
        <is>
          <t>IMA Management Accounting Competency Framework; ICAI / CA; Ind AS</t>
        </is>
      </c>
      <c r="E240" s="64" t="n"/>
      <c r="F240" s="64" t="n"/>
      <c r="G240" s="64" t="n"/>
      <c r="H240" s="64" t="n"/>
      <c r="I240" s="64" t="n"/>
      <c r="J240" s="64" t="n"/>
      <c r="K240" s="64" t="n"/>
      <c r="L240" s="63" t="n"/>
    </row>
    <row r="241" ht="15" customHeight="1">
      <c r="A241" s="14" t="inlineStr">
        <is>
          <t>Human Resources</t>
        </is>
      </c>
      <c r="B241" s="64" t="n"/>
      <c r="C241" s="63" t="n"/>
      <c r="D241" s="9" t="inlineStr">
        <is>
          <t>SHRM BASK · SHRM-CP → SHRM-SCP; CIPD Profession Map</t>
        </is>
      </c>
      <c r="E241" s="64" t="n"/>
      <c r="F241" s="64" t="n"/>
      <c r="G241" s="64" t="n"/>
      <c r="H241" s="64" t="n"/>
      <c r="I241" s="64" t="n"/>
      <c r="J241" s="64" t="n"/>
      <c r="K241" s="64" t="n"/>
      <c r="L241" s="63" t="n"/>
    </row>
    <row r="242" ht="15" customHeight="1">
      <c r="A242" s="14" t="inlineStr">
        <is>
          <t>Administration, Legal &amp; Secretarial</t>
        </is>
      </c>
      <c r="B242" s="64" t="n"/>
      <c r="C242" s="63" t="n"/>
      <c r="D242" s="9" t="inlineStr">
        <is>
          <t>ICSI · Company Secretary; Companies Act 2013; IFMA · facilities; CIPS · procurement</t>
        </is>
      </c>
      <c r="E242" s="64" t="n"/>
      <c r="F242" s="64" t="n"/>
      <c r="G242" s="64" t="n"/>
      <c r="H242" s="64" t="n"/>
      <c r="I242" s="64" t="n"/>
      <c r="J242" s="64" t="n"/>
      <c r="K242" s="64" t="n"/>
      <c r="L242" s="63" t="n"/>
    </row>
    <row r="243" ht="15" customHeight="1">
      <c r="A243" s="14" t="inlineStr">
        <is>
          <t>Executive Leadership</t>
        </is>
      </c>
      <c r="B243" s="64" t="n"/>
      <c r="C243" s="63" t="n"/>
      <c r="D243" s="9" t="inlineStr">
        <is>
          <t>Aon Radford executive levels E1–E6; Mercer ET1–ET3; Korn Ferry Leadership Architect</t>
        </is>
      </c>
      <c r="E243" s="64" t="n"/>
      <c r="F243" s="64" t="n"/>
      <c r="G243" s="64" t="n"/>
      <c r="H243" s="64" t="n"/>
      <c r="I243" s="64" t="n"/>
      <c r="J243" s="64" t="n"/>
      <c r="K243" s="64" t="n"/>
      <c r="L243" s="63" t="n"/>
    </row>
  </sheetData>
  <mergeCells count="148">
    <mergeCell ref="A233:C233"/>
    <mergeCell ref="B170:D170"/>
    <mergeCell ref="B179:D179"/>
    <mergeCell ref="B157:D157"/>
    <mergeCell ref="B166:D166"/>
    <mergeCell ref="D215:L215"/>
    <mergeCell ref="D238:L238"/>
    <mergeCell ref="A235:C235"/>
    <mergeCell ref="B172:D172"/>
    <mergeCell ref="D6:E6"/>
    <mergeCell ref="B186:D186"/>
    <mergeCell ref="B168:D168"/>
    <mergeCell ref="D235:L235"/>
    <mergeCell ref="A234:C234"/>
    <mergeCell ref="B158:D158"/>
    <mergeCell ref="F10:L10"/>
    <mergeCell ref="B204:D204"/>
    <mergeCell ref="F6:L6"/>
    <mergeCell ref="B198:D198"/>
    <mergeCell ref="D7:E7"/>
    <mergeCell ref="D226:L226"/>
    <mergeCell ref="B160:D160"/>
    <mergeCell ref="A220:C220"/>
    <mergeCell ref="A229:C229"/>
    <mergeCell ref="D241:L241"/>
    <mergeCell ref="D228:L228"/>
    <mergeCell ref="B190:D190"/>
    <mergeCell ref="B185:D185"/>
    <mergeCell ref="B159:D159"/>
    <mergeCell ref="A222:C222"/>
    <mergeCell ref="B199:D199"/>
    <mergeCell ref="F8:L8"/>
    <mergeCell ref="B208:D208"/>
    <mergeCell ref="D243:L243"/>
    <mergeCell ref="B167:D167"/>
    <mergeCell ref="B161:D161"/>
    <mergeCell ref="B176:D176"/>
    <mergeCell ref="B210:D210"/>
    <mergeCell ref="D10:E10"/>
    <mergeCell ref="F9:L9"/>
    <mergeCell ref="A238:C238"/>
    <mergeCell ref="B175:D175"/>
    <mergeCell ref="B162:D162"/>
    <mergeCell ref="A3:L3"/>
    <mergeCell ref="A239:C239"/>
    <mergeCell ref="B171:D171"/>
    <mergeCell ref="D221:L221"/>
    <mergeCell ref="B11:C11"/>
    <mergeCell ref="D11:E11"/>
    <mergeCell ref="D230:L230"/>
    <mergeCell ref="A5:L5"/>
    <mergeCell ref="A32:L32"/>
    <mergeCell ref="A219:C219"/>
    <mergeCell ref="A14:L14"/>
    <mergeCell ref="B187:D187"/>
    <mergeCell ref="A224:C224"/>
    <mergeCell ref="B201:D201"/>
    <mergeCell ref="D232:L232"/>
    <mergeCell ref="B207:D207"/>
    <mergeCell ref="B189:D189"/>
    <mergeCell ref="B203:D203"/>
    <mergeCell ref="D216:L216"/>
    <mergeCell ref="F7:L7"/>
    <mergeCell ref="A31:L31"/>
    <mergeCell ref="B173:D173"/>
    <mergeCell ref="B188:D188"/>
    <mergeCell ref="D9:E9"/>
    <mergeCell ref="A226:C226"/>
    <mergeCell ref="D218:L218"/>
    <mergeCell ref="B6:C6"/>
    <mergeCell ref="B193:D193"/>
    <mergeCell ref="B202:D202"/>
    <mergeCell ref="A241:C241"/>
    <mergeCell ref="D217:L217"/>
    <mergeCell ref="A228:C228"/>
    <mergeCell ref="A237:C237"/>
    <mergeCell ref="B152:D152"/>
    <mergeCell ref="A243:C243"/>
    <mergeCell ref="A221:C221"/>
    <mergeCell ref="B7:C7"/>
    <mergeCell ref="D242:L242"/>
    <mergeCell ref="A236:C236"/>
    <mergeCell ref="B181:D181"/>
    <mergeCell ref="A214:C214"/>
    <mergeCell ref="D234:L234"/>
    <mergeCell ref="A149:L149"/>
    <mergeCell ref="B191:D191"/>
    <mergeCell ref="B178:D178"/>
    <mergeCell ref="D214:L214"/>
    <mergeCell ref="A2:L2"/>
    <mergeCell ref="A213:L213"/>
    <mergeCell ref="B211:D211"/>
    <mergeCell ref="D220:L220"/>
    <mergeCell ref="F11:L11"/>
    <mergeCell ref="B183:D183"/>
    <mergeCell ref="A150:L150"/>
    <mergeCell ref="A215:C215"/>
    <mergeCell ref="B177:D177"/>
    <mergeCell ref="B192:D192"/>
    <mergeCell ref="D236:L236"/>
    <mergeCell ref="B164:D164"/>
    <mergeCell ref="B154:D154"/>
    <mergeCell ref="B206:D206"/>
    <mergeCell ref="B163:D163"/>
    <mergeCell ref="A13:L13"/>
    <mergeCell ref="B9:C9"/>
    <mergeCell ref="D222:L222"/>
    <mergeCell ref="B156:D156"/>
    <mergeCell ref="B165:D165"/>
    <mergeCell ref="A225:C225"/>
    <mergeCell ref="D237:L237"/>
    <mergeCell ref="B155:D155"/>
    <mergeCell ref="B180:D180"/>
    <mergeCell ref="D233:L233"/>
    <mergeCell ref="A227:C227"/>
    <mergeCell ref="D239:L239"/>
    <mergeCell ref="D219:L219"/>
    <mergeCell ref="B151:D151"/>
    <mergeCell ref="A217:C217"/>
    <mergeCell ref="D225:L225"/>
    <mergeCell ref="B182:D182"/>
    <mergeCell ref="B196:D196"/>
    <mergeCell ref="A242:C242"/>
    <mergeCell ref="B174:D174"/>
    <mergeCell ref="B205:D205"/>
    <mergeCell ref="D227:L227"/>
    <mergeCell ref="D224:L224"/>
    <mergeCell ref="A231:C231"/>
    <mergeCell ref="B8:C8"/>
    <mergeCell ref="A240:C240"/>
    <mergeCell ref="B169:D169"/>
    <mergeCell ref="D231:L231"/>
    <mergeCell ref="A230:C230"/>
    <mergeCell ref="D240:L240"/>
    <mergeCell ref="B10:C10"/>
    <mergeCell ref="B197:D197"/>
    <mergeCell ref="B153:D153"/>
    <mergeCell ref="B200:D200"/>
    <mergeCell ref="A232:C232"/>
    <mergeCell ref="B194:D194"/>
    <mergeCell ref="B209:D209"/>
    <mergeCell ref="D8:E8"/>
    <mergeCell ref="A216:C216"/>
    <mergeCell ref="B184:D184"/>
    <mergeCell ref="A1:L1"/>
    <mergeCell ref="D229:L229"/>
    <mergeCell ref="A218:C218"/>
    <mergeCell ref="B195:D195"/>
  </mergeCells>
  <hyperlinks>
    <hyperlink xmlns:r="http://schemas.openxmlformats.org/officeDocument/2006/relationships" ref="M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worksheet>
</file>

<file path=xl/worksheets/sheet31.xml><?xml version="1.0" encoding="utf-8"?>
<worksheet xmlns="http://schemas.openxmlformats.org/spreadsheetml/2006/main">
  <sheetPr>
    <tabColor rgb="002E75B6"/>
    <outlinePr summaryBelow="1" summaryRight="1"/>
    <pageSetUpPr fitToPage="1"/>
  </sheetPr>
  <dimension ref="A1:I155"/>
  <sheetViews>
    <sheetView showGridLines="0" workbookViewId="0">
      <pane ySplit="4" topLeftCell="A5" activePane="bottomLeft" state="frozen"/>
      <selection pane="bottomLeft" activeCell="A1" sqref="A1"/>
    </sheetView>
  </sheetViews>
  <sheetFormatPr baseColWidth="8" defaultRowHeight="15"/>
  <cols>
    <col width="34" customWidth="1" min="1" max="1"/>
    <col width="13" customWidth="1" min="2" max="2"/>
    <col width="13" customWidth="1" min="3" max="3"/>
    <col width="13" customWidth="1" min="4" max="4"/>
    <col width="13" customWidth="1" min="5" max="5"/>
    <col width="13" customWidth="1" min="6" max="6"/>
    <col width="12" customWidth="1" min="7" max="7"/>
    <col width="60" customWidth="1" min="8" max="8"/>
    <col width="13" customWidth="1" min="9" max="9"/>
  </cols>
  <sheetData>
    <row r="1" ht="34" customHeight="1">
      <c r="A1" s="1" t="inlineStr">
        <is>
          <t>Weight benchmark — where the default weights come from</t>
        </is>
      </c>
      <c r="I1" s="99" t="inlineStr">
        <is>
          <t>◂ Contents</t>
        </is>
      </c>
    </row>
    <row r="2" ht="32" customHeight="1">
      <c r="A2" s="3" t="inlineStr">
        <is>
          <t>21 · The published point-factor plans, how weights shift with seniority, the evidence on experience and on business impact, and IRIS's defaults set against them. Every figure has its source.</t>
        </is>
      </c>
    </row>
    <row r="3">
      <c r="A3" s="4" t="inlineStr">
        <is>
          <t>IRIS · Job Architecture &amp; Job Design · Final v1.12 · October 2026 · Internal — Confidential</t>
        </is>
      </c>
    </row>
    <row r="4"/>
    <row r="5" ht="20" customHeight="1">
      <c r="A5" s="6" t="inlineStr">
        <is>
          <t>0. How the default weights were derived — in one table</t>
        </is>
      </c>
    </row>
    <row r="6" ht="41" customHeight="1">
      <c r="A6" s="12" t="inlineStr">
        <is>
          <r>
            <rPr>
              <rFont val="Calibri"/>
              <b val="1"/>
              <i val="1"/>
              <color rgb="00595959"/>
              <sz val="10"/>
            </rPr>
            <t>Three published sources, given equal weight:</t>
          </r>
          <r>
            <rPr>
              <rFont val="Calibri"/>
              <i val="1"/>
              <color rgb="00595959"/>
              <sz val="10"/>
            </rPr>
            <t xml:space="preserve"> Korn Ferry Hay — the most widely used private-sector method, with verified point evaluations by level; Mercer IPE — its published point table; and the five public point-factor plans. Each is mapped to the six IRIS factors by the same rules, then the three are averaged and rounded to whole numbers. The three sources agree within a few points for every role group.</t>
          </r>
        </is>
      </c>
    </row>
    <row r="7" ht="28" customHeight="1">
      <c r="A7" s="7" t="inlineStr">
        <is>
          <t>Role group · source</t>
        </is>
      </c>
      <c r="B7" s="7" t="inlineStr">
        <is>
          <t>Complexity</t>
        </is>
      </c>
      <c r="C7" s="7" t="inlineStr">
        <is>
          <t>Autonomy</t>
        </is>
      </c>
      <c r="D7" s="7" t="inlineStr">
        <is>
          <t>Accountability</t>
        </is>
      </c>
      <c r="E7" s="7" t="inlineStr">
        <is>
          <t>Leadership</t>
        </is>
      </c>
      <c r="F7" s="7" t="inlineStr">
        <is>
          <t>Experience</t>
        </is>
      </c>
      <c r="G7" s="7" t="inlineStr">
        <is>
          <t>Business impact</t>
        </is>
      </c>
      <c r="H7" s="7" t="inlineStr">
        <is>
          <t>Note</t>
        </is>
      </c>
    </row>
    <row r="8" ht="15" customHeight="1">
      <c r="A8" s="14" t="inlineStr">
        <is>
          <t>Band A · Korn Ferry Hay</t>
        </is>
      </c>
      <c r="B8" s="8" t="inlineStr">
        <is>
          <t>71%</t>
        </is>
      </c>
      <c r="C8" s="8" t="inlineStr">
        <is>
          <t>11%</t>
        </is>
      </c>
      <c r="D8" s="8" t="inlineStr">
        <is>
          <t>4%</t>
        </is>
      </c>
      <c r="E8" s="8" t="inlineStr">
        <is>
          <t>0%</t>
        </is>
      </c>
      <c r="F8" s="8" t="inlineStr">
        <is>
          <t>10%</t>
        </is>
      </c>
      <c r="G8" s="8" t="inlineStr">
        <is>
          <t>4%</t>
        </is>
      </c>
      <c r="H8" s="9" t="inlineStr"/>
    </row>
    <row r="9" ht="15" customHeight="1">
      <c r="A9" s="14" t="inlineStr">
        <is>
          <t>Band A · Mercer IPE</t>
        </is>
      </c>
      <c r="B9" s="8" t="inlineStr">
        <is>
          <t>51%</t>
        </is>
      </c>
      <c r="C9" s="8" t="inlineStr">
        <is>
          <t>22%</t>
        </is>
      </c>
      <c r="D9" s="8" t="inlineStr">
        <is>
          <t>8%</t>
        </is>
      </c>
      <c r="E9" s="8" t="inlineStr">
        <is>
          <t>0%</t>
        </is>
      </c>
      <c r="F9" s="8" t="inlineStr">
        <is>
          <t>10%</t>
        </is>
      </c>
      <c r="G9" s="8" t="inlineStr">
        <is>
          <t>8%</t>
        </is>
      </c>
      <c r="H9" s="9" t="inlineStr"/>
    </row>
    <row r="10" ht="15" customHeight="1">
      <c r="A10" s="14" t="inlineStr">
        <is>
          <t>Band A · Public plans</t>
        </is>
      </c>
      <c r="B10" s="8" t="inlineStr">
        <is>
          <t>53%</t>
        </is>
      </c>
      <c r="C10" s="8" t="inlineStr">
        <is>
          <t>15%</t>
        </is>
      </c>
      <c r="D10" s="8" t="inlineStr">
        <is>
          <t>15%</t>
        </is>
      </c>
      <c r="E10" s="8" t="inlineStr">
        <is>
          <t>0%</t>
        </is>
      </c>
      <c r="F10" s="8" t="inlineStr">
        <is>
          <t>10%</t>
        </is>
      </c>
      <c r="G10" s="8" t="inlineStr">
        <is>
          <t>7%</t>
        </is>
      </c>
      <c r="H10" s="9" t="inlineStr"/>
    </row>
    <row r="11" ht="15" customHeight="1">
      <c r="A11" s="67" t="inlineStr">
        <is>
          <t>Band A · IRIS default</t>
        </is>
      </c>
      <c r="B11" s="43" t="inlineStr">
        <is>
          <t>59%</t>
        </is>
      </c>
      <c r="C11" s="43" t="inlineStr">
        <is>
          <t>16%</t>
        </is>
      </c>
      <c r="D11" s="43" t="inlineStr">
        <is>
          <t>9%</t>
        </is>
      </c>
      <c r="E11" s="43" t="inlineStr">
        <is>
          <t>0%</t>
        </is>
      </c>
      <c r="F11" s="43" t="inlineStr">
        <is>
          <t>10%</t>
        </is>
      </c>
      <c r="G11" s="43" t="inlineStr">
        <is>
          <t>6%</t>
        </is>
      </c>
      <c r="H11" s="22" t="inlineStr">
        <is>
          <t>Average of the three, whole numbers</t>
        </is>
      </c>
    </row>
    <row r="12" ht="28" customHeight="1">
      <c r="A12" s="14" t="inlineStr">
        <is>
          <t>Band B · IC / POD Lead · Korn Ferry Hay</t>
        </is>
      </c>
      <c r="B12" s="8" t="inlineStr">
        <is>
          <t>54%</t>
        </is>
      </c>
      <c r="C12" s="8" t="inlineStr">
        <is>
          <t>19%</t>
        </is>
      </c>
      <c r="D12" s="8" t="inlineStr">
        <is>
          <t>6%</t>
        </is>
      </c>
      <c r="E12" s="8" t="inlineStr">
        <is>
          <t>5%</t>
        </is>
      </c>
      <c r="F12" s="8" t="inlineStr">
        <is>
          <t>10%</t>
        </is>
      </c>
      <c r="G12" s="8" t="inlineStr">
        <is>
          <t>6%</t>
        </is>
      </c>
      <c r="H12" s="9" t="inlineStr"/>
    </row>
    <row r="13" ht="28" customHeight="1">
      <c r="A13" s="14" t="inlineStr">
        <is>
          <t>Band B · IC / POD Lead · Mercer IPE</t>
        </is>
      </c>
      <c r="B13" s="8" t="inlineStr">
        <is>
          <t>52%</t>
        </is>
      </c>
      <c r="C13" s="8" t="inlineStr">
        <is>
          <t>18%</t>
        </is>
      </c>
      <c r="D13" s="8" t="inlineStr">
        <is>
          <t>8%</t>
        </is>
      </c>
      <c r="E13" s="8" t="inlineStr">
        <is>
          <t>5%</t>
        </is>
      </c>
      <c r="F13" s="8" t="inlineStr">
        <is>
          <t>10%</t>
        </is>
      </c>
      <c r="G13" s="8" t="inlineStr">
        <is>
          <t>8%</t>
        </is>
      </c>
      <c r="H13" s="9" t="inlineStr"/>
    </row>
    <row r="14" ht="28" customHeight="1">
      <c r="A14" s="14" t="inlineStr">
        <is>
          <t>Band B · IC / POD Lead · Public plans</t>
        </is>
      </c>
      <c r="B14" s="8" t="inlineStr">
        <is>
          <t>48%</t>
        </is>
      </c>
      <c r="C14" s="8" t="inlineStr">
        <is>
          <t>15%</t>
        </is>
      </c>
      <c r="D14" s="8" t="inlineStr">
        <is>
          <t>15%</t>
        </is>
      </c>
      <c r="E14" s="8" t="inlineStr">
        <is>
          <t>5%</t>
        </is>
      </c>
      <c r="F14" s="8" t="inlineStr">
        <is>
          <t>10%</t>
        </is>
      </c>
      <c r="G14" s="8" t="inlineStr">
        <is>
          <t>7%</t>
        </is>
      </c>
      <c r="H14" s="9" t="inlineStr"/>
    </row>
    <row r="15" ht="28" customHeight="1">
      <c r="A15" s="67" t="inlineStr">
        <is>
          <t>Band B · IC / POD Lead · IRIS default</t>
        </is>
      </c>
      <c r="B15" s="43" t="inlineStr">
        <is>
          <t>51%</t>
        </is>
      </c>
      <c r="C15" s="43" t="inlineStr">
        <is>
          <t>17%</t>
        </is>
      </c>
      <c r="D15" s="43" t="inlineStr">
        <is>
          <t>10%</t>
        </is>
      </c>
      <c r="E15" s="43" t="inlineStr">
        <is>
          <t>5%</t>
        </is>
      </c>
      <c r="F15" s="43" t="inlineStr">
        <is>
          <t>10%</t>
        </is>
      </c>
      <c r="G15" s="43" t="inlineStr">
        <is>
          <t>7%</t>
        </is>
      </c>
      <c r="H15" s="22" t="inlineStr">
        <is>
          <t>Average of the three, whole numbers</t>
        </is>
      </c>
    </row>
    <row r="16" ht="28" customHeight="1">
      <c r="A16" s="14" t="inlineStr">
        <is>
          <t>Band B · People Manager · Korn Ferry Hay</t>
        </is>
      </c>
      <c r="B16" s="8" t="inlineStr">
        <is>
          <t>35%</t>
        </is>
      </c>
      <c r="C16" s="8" t="inlineStr">
        <is>
          <t>21%</t>
        </is>
      </c>
      <c r="D16" s="8" t="inlineStr">
        <is>
          <t>10%</t>
        </is>
      </c>
      <c r="E16" s="8" t="inlineStr">
        <is>
          <t>15%</t>
        </is>
      </c>
      <c r="F16" s="8" t="inlineStr">
        <is>
          <t>10%</t>
        </is>
      </c>
      <c r="G16" s="8" t="inlineStr">
        <is>
          <t>10%</t>
        </is>
      </c>
      <c r="H16" s="9" t="inlineStr"/>
    </row>
    <row r="17" ht="28" customHeight="1">
      <c r="A17" s="14" t="inlineStr">
        <is>
          <t>Band B · People Manager · Mercer IPE</t>
        </is>
      </c>
      <c r="B17" s="8" t="inlineStr">
        <is>
          <t>38%</t>
        </is>
      </c>
      <c r="C17" s="8" t="inlineStr">
        <is>
          <t>19%</t>
        </is>
      </c>
      <c r="D17" s="8" t="inlineStr">
        <is>
          <t>9%</t>
        </is>
      </c>
      <c r="E17" s="8" t="inlineStr">
        <is>
          <t>15%</t>
        </is>
      </c>
      <c r="F17" s="8" t="inlineStr">
        <is>
          <t>10%</t>
        </is>
      </c>
      <c r="G17" s="8" t="inlineStr">
        <is>
          <t>9%</t>
        </is>
      </c>
      <c r="H17" s="9" t="inlineStr"/>
    </row>
    <row r="18" ht="28" customHeight="1">
      <c r="A18" s="14" t="inlineStr">
        <is>
          <t>Band B · People Manager · Public plans</t>
        </is>
      </c>
      <c r="B18" s="8" t="inlineStr">
        <is>
          <t>38%</t>
        </is>
      </c>
      <c r="C18" s="8" t="inlineStr">
        <is>
          <t>15%</t>
        </is>
      </c>
      <c r="D18" s="8" t="inlineStr">
        <is>
          <t>15%</t>
        </is>
      </c>
      <c r="E18" s="8" t="inlineStr">
        <is>
          <t>15%</t>
        </is>
      </c>
      <c r="F18" s="8" t="inlineStr">
        <is>
          <t>10%</t>
        </is>
      </c>
      <c r="G18" s="8" t="inlineStr">
        <is>
          <t>7%</t>
        </is>
      </c>
      <c r="H18" s="9" t="inlineStr"/>
    </row>
    <row r="19" ht="28" customHeight="1">
      <c r="A19" s="67" t="inlineStr">
        <is>
          <t>Band B · People Manager · IRIS default</t>
        </is>
      </c>
      <c r="B19" s="43" t="inlineStr">
        <is>
          <t>37%</t>
        </is>
      </c>
      <c r="C19" s="43" t="inlineStr">
        <is>
          <t>18%</t>
        </is>
      </c>
      <c r="D19" s="43" t="inlineStr">
        <is>
          <t>11%</t>
        </is>
      </c>
      <c r="E19" s="43" t="inlineStr">
        <is>
          <t>15%</t>
        </is>
      </c>
      <c r="F19" s="43" t="inlineStr">
        <is>
          <t>10%</t>
        </is>
      </c>
      <c r="G19" s="43" t="inlineStr">
        <is>
          <t>9%</t>
        </is>
      </c>
      <c r="H19" s="22" t="inlineStr">
        <is>
          <t>Average of the three, whole numbers</t>
        </is>
      </c>
    </row>
    <row r="20" ht="28" customHeight="1">
      <c r="A20" s="14" t="inlineStr">
        <is>
          <t>Player-Coach · B+ · Korn Ferry Hay</t>
        </is>
      </c>
      <c r="B20" s="8" t="inlineStr">
        <is>
          <t>44%</t>
        </is>
      </c>
      <c r="C20" s="8" t="inlineStr">
        <is>
          <t>20%</t>
        </is>
      </c>
      <c r="D20" s="8" t="inlineStr">
        <is>
          <t>8%</t>
        </is>
      </c>
      <c r="E20" s="8" t="inlineStr">
        <is>
          <t>10%</t>
        </is>
      </c>
      <c r="F20" s="8" t="inlineStr">
        <is>
          <t>10%</t>
        </is>
      </c>
      <c r="G20" s="8" t="inlineStr">
        <is>
          <t>8%</t>
        </is>
      </c>
      <c r="H20" s="9" t="inlineStr"/>
    </row>
    <row r="21" ht="15" customHeight="1">
      <c r="A21" s="14" t="inlineStr">
        <is>
          <t>Player-Coach · B+ · Mercer IPE</t>
        </is>
      </c>
      <c r="B21" s="8" t="inlineStr">
        <is>
          <t>45%</t>
        </is>
      </c>
      <c r="C21" s="8" t="inlineStr">
        <is>
          <t>18%</t>
        </is>
      </c>
      <c r="D21" s="8" t="inlineStr">
        <is>
          <t>8%</t>
        </is>
      </c>
      <c r="E21" s="8" t="inlineStr">
        <is>
          <t>10%</t>
        </is>
      </c>
      <c r="F21" s="8" t="inlineStr">
        <is>
          <t>10%</t>
        </is>
      </c>
      <c r="G21" s="8" t="inlineStr">
        <is>
          <t>8%</t>
        </is>
      </c>
      <c r="H21" s="9" t="inlineStr"/>
    </row>
    <row r="22" ht="15" customHeight="1">
      <c r="A22" s="14" t="inlineStr">
        <is>
          <t>Player-Coach · B+ · Public plans</t>
        </is>
      </c>
      <c r="B22" s="8" t="inlineStr">
        <is>
          <t>43%</t>
        </is>
      </c>
      <c r="C22" s="8" t="inlineStr">
        <is>
          <t>15%</t>
        </is>
      </c>
      <c r="D22" s="8" t="inlineStr">
        <is>
          <t>15%</t>
        </is>
      </c>
      <c r="E22" s="8" t="inlineStr">
        <is>
          <t>10%</t>
        </is>
      </c>
      <c r="F22" s="8" t="inlineStr">
        <is>
          <t>10%</t>
        </is>
      </c>
      <c r="G22" s="8" t="inlineStr">
        <is>
          <t>7%</t>
        </is>
      </c>
      <c r="H22" s="9" t="inlineStr"/>
    </row>
    <row r="23" ht="15" customHeight="1">
      <c r="A23" s="67" t="inlineStr">
        <is>
          <t>Player-Coach · B+ · IRIS default</t>
        </is>
      </c>
      <c r="B23" s="43" t="inlineStr">
        <is>
          <t>44%</t>
        </is>
      </c>
      <c r="C23" s="43" t="inlineStr">
        <is>
          <t>18%</t>
        </is>
      </c>
      <c r="D23" s="43" t="inlineStr">
        <is>
          <t>10%</t>
        </is>
      </c>
      <c r="E23" s="43" t="inlineStr">
        <is>
          <t>10%</t>
        </is>
      </c>
      <c r="F23" s="43" t="inlineStr">
        <is>
          <t>10%</t>
        </is>
      </c>
      <c r="G23" s="43" t="inlineStr">
        <is>
          <t>8%</t>
        </is>
      </c>
      <c r="H23" s="22" t="inlineStr">
        <is>
          <t>Average of the three, whole numbers</t>
        </is>
      </c>
    </row>
    <row r="24" ht="28" customHeight="1">
      <c r="A24" s="14" t="inlineStr">
        <is>
          <t>Band C · Principal specialist · Korn Ferry Hay</t>
        </is>
      </c>
      <c r="B24" s="8" t="inlineStr">
        <is>
          <t>55%</t>
        </is>
      </c>
      <c r="C24" s="8" t="inlineStr">
        <is>
          <t>20%</t>
        </is>
      </c>
      <c r="D24" s="8" t="inlineStr">
        <is>
          <t>8%</t>
        </is>
      </c>
      <c r="E24" s="8" t="inlineStr">
        <is>
          <t>5%</t>
        </is>
      </c>
      <c r="F24" s="8" t="inlineStr">
        <is>
          <t>5%</t>
        </is>
      </c>
      <c r="G24" s="8" t="inlineStr">
        <is>
          <t>8%</t>
        </is>
      </c>
      <c r="H24" s="9" t="inlineStr"/>
    </row>
    <row r="25" ht="28" customHeight="1">
      <c r="A25" s="14" t="inlineStr">
        <is>
          <t>Band C · Principal specialist · Mercer IPE</t>
        </is>
      </c>
      <c r="B25" s="8" t="inlineStr">
        <is>
          <t>55%</t>
        </is>
      </c>
      <c r="C25" s="8" t="inlineStr">
        <is>
          <t>18%</t>
        </is>
      </c>
      <c r="D25" s="8" t="inlineStr">
        <is>
          <t>8%</t>
        </is>
      </c>
      <c r="E25" s="8" t="inlineStr">
        <is>
          <t>5%</t>
        </is>
      </c>
      <c r="F25" s="8" t="inlineStr">
        <is>
          <t>5%</t>
        </is>
      </c>
      <c r="G25" s="8" t="inlineStr">
        <is>
          <t>8%</t>
        </is>
      </c>
      <c r="H25" s="9" t="inlineStr"/>
    </row>
    <row r="26" ht="28" customHeight="1">
      <c r="A26" s="14" t="inlineStr">
        <is>
          <t>Band C · Principal specialist · Public plans</t>
        </is>
      </c>
      <c r="B26" s="8" t="inlineStr">
        <is>
          <t>53%</t>
        </is>
      </c>
      <c r="C26" s="8" t="inlineStr">
        <is>
          <t>15%</t>
        </is>
      </c>
      <c r="D26" s="8" t="inlineStr">
        <is>
          <t>15%</t>
        </is>
      </c>
      <c r="E26" s="8" t="inlineStr">
        <is>
          <t>5%</t>
        </is>
      </c>
      <c r="F26" s="8" t="inlineStr">
        <is>
          <t>5%</t>
        </is>
      </c>
      <c r="G26" s="8" t="inlineStr">
        <is>
          <t>7%</t>
        </is>
      </c>
      <c r="H26" s="9" t="inlineStr"/>
    </row>
    <row r="27" ht="28" customHeight="1">
      <c r="A27" s="67" t="inlineStr">
        <is>
          <t>Band C · Principal specialist · IRIS default</t>
        </is>
      </c>
      <c r="B27" s="43" t="inlineStr">
        <is>
          <t>54%</t>
        </is>
      </c>
      <c r="C27" s="43" t="inlineStr">
        <is>
          <t>18%</t>
        </is>
      </c>
      <c r="D27" s="43" t="inlineStr">
        <is>
          <t>10%</t>
        </is>
      </c>
      <c r="E27" s="43" t="inlineStr">
        <is>
          <t>5%</t>
        </is>
      </c>
      <c r="F27" s="43" t="inlineStr">
        <is>
          <t>5%</t>
        </is>
      </c>
      <c r="G27" s="43" t="inlineStr">
        <is>
          <t>8%</t>
        </is>
      </c>
      <c r="H27" s="22" t="inlineStr">
        <is>
          <t>Average of the three, whole numbers</t>
        </is>
      </c>
    </row>
    <row r="28" ht="28" customHeight="1">
      <c r="A28" s="14" t="inlineStr">
        <is>
          <t>Band C · Head / manager · Korn Ferry Hay</t>
        </is>
      </c>
      <c r="B28" s="8" t="inlineStr">
        <is>
          <t>44%</t>
        </is>
      </c>
      <c r="C28" s="8" t="inlineStr">
        <is>
          <t>20%</t>
        </is>
      </c>
      <c r="D28" s="8" t="inlineStr">
        <is>
          <t>8%</t>
        </is>
      </c>
      <c r="E28" s="8" t="inlineStr">
        <is>
          <t>15%</t>
        </is>
      </c>
      <c r="F28" s="8" t="inlineStr">
        <is>
          <t>5%</t>
        </is>
      </c>
      <c r="G28" s="8" t="inlineStr">
        <is>
          <t>8%</t>
        </is>
      </c>
      <c r="H28" s="9" t="inlineStr"/>
    </row>
    <row r="29" ht="28" customHeight="1">
      <c r="A29" s="14" t="inlineStr">
        <is>
          <t>Band C · Head / manager · Mercer IPE</t>
        </is>
      </c>
      <c r="B29" s="8" t="inlineStr">
        <is>
          <t>43%</t>
        </is>
      </c>
      <c r="C29" s="8" t="inlineStr">
        <is>
          <t>19%</t>
        </is>
      </c>
      <c r="D29" s="8" t="inlineStr">
        <is>
          <t>9%</t>
        </is>
      </c>
      <c r="E29" s="8" t="inlineStr">
        <is>
          <t>15%</t>
        </is>
      </c>
      <c r="F29" s="8" t="inlineStr">
        <is>
          <t>5%</t>
        </is>
      </c>
      <c r="G29" s="8" t="inlineStr">
        <is>
          <t>9%</t>
        </is>
      </c>
      <c r="H29" s="9" t="inlineStr"/>
    </row>
    <row r="30" ht="28" customHeight="1">
      <c r="A30" s="14" t="inlineStr">
        <is>
          <t>Band C · Head / manager · Public plans</t>
        </is>
      </c>
      <c r="B30" s="8" t="inlineStr">
        <is>
          <t>43%</t>
        </is>
      </c>
      <c r="C30" s="8" t="inlineStr">
        <is>
          <t>15%</t>
        </is>
      </c>
      <c r="D30" s="8" t="inlineStr">
        <is>
          <t>15%</t>
        </is>
      </c>
      <c r="E30" s="8" t="inlineStr">
        <is>
          <t>15%</t>
        </is>
      </c>
      <c r="F30" s="8" t="inlineStr">
        <is>
          <t>5%</t>
        </is>
      </c>
      <c r="G30" s="8" t="inlineStr">
        <is>
          <t>7%</t>
        </is>
      </c>
      <c r="H30" s="9" t="inlineStr"/>
    </row>
    <row r="31" ht="28" customHeight="1">
      <c r="A31" s="67" t="inlineStr">
        <is>
          <t>Band C · Head / manager · IRIS default</t>
        </is>
      </c>
      <c r="B31" s="43" t="inlineStr">
        <is>
          <t>43%</t>
        </is>
      </c>
      <c r="C31" s="43" t="inlineStr">
        <is>
          <t>18%</t>
        </is>
      </c>
      <c r="D31" s="43" t="inlineStr">
        <is>
          <t>11%</t>
        </is>
      </c>
      <c r="E31" s="43" t="inlineStr">
        <is>
          <t>15%</t>
        </is>
      </c>
      <c r="F31" s="43" t="inlineStr">
        <is>
          <t>5%</t>
        </is>
      </c>
      <c r="G31" s="43" t="inlineStr">
        <is>
          <t>8%</t>
        </is>
      </c>
      <c r="H31" s="22" t="inlineStr">
        <is>
          <t>Average of the three, whole numbers</t>
        </is>
      </c>
    </row>
    <row r="32" ht="28" customHeight="1">
      <c r="A32" s="14" t="inlineStr">
        <is>
          <t>Player-Coach · C+ · Korn Ferry Hay</t>
        </is>
      </c>
      <c r="B32" s="8" t="inlineStr">
        <is>
          <t>38%</t>
        </is>
      </c>
      <c r="C32" s="8" t="inlineStr">
        <is>
          <t>21%</t>
        </is>
      </c>
      <c r="D32" s="8" t="inlineStr">
        <is>
          <t>8%</t>
        </is>
      </c>
      <c r="E32" s="8" t="inlineStr">
        <is>
          <t>20%</t>
        </is>
      </c>
      <c r="F32" s="8" t="inlineStr">
        <is>
          <t>5%</t>
        </is>
      </c>
      <c r="G32" s="8" t="inlineStr">
        <is>
          <t>8%</t>
        </is>
      </c>
      <c r="H32" s="9" t="inlineStr"/>
    </row>
    <row r="33" ht="15" customHeight="1">
      <c r="A33" s="14" t="inlineStr">
        <is>
          <t>Player-Coach · C+ · Mercer IPE</t>
        </is>
      </c>
      <c r="B33" s="8" t="inlineStr">
        <is>
          <t>37%</t>
        </is>
      </c>
      <c r="C33" s="8" t="inlineStr">
        <is>
          <t>19%</t>
        </is>
      </c>
      <c r="D33" s="8" t="inlineStr">
        <is>
          <t>9%</t>
        </is>
      </c>
      <c r="E33" s="8" t="inlineStr">
        <is>
          <t>20%</t>
        </is>
      </c>
      <c r="F33" s="8" t="inlineStr">
        <is>
          <t>5%</t>
        </is>
      </c>
      <c r="G33" s="8" t="inlineStr">
        <is>
          <t>9%</t>
        </is>
      </c>
      <c r="H33" s="9" t="inlineStr"/>
    </row>
    <row r="34" ht="15" customHeight="1">
      <c r="A34" s="14" t="inlineStr">
        <is>
          <t>Player-Coach · C+ · Public plans</t>
        </is>
      </c>
      <c r="B34" s="8" t="inlineStr">
        <is>
          <t>38%</t>
        </is>
      </c>
      <c r="C34" s="8" t="inlineStr">
        <is>
          <t>15%</t>
        </is>
      </c>
      <c r="D34" s="8" t="inlineStr">
        <is>
          <t>15%</t>
        </is>
      </c>
      <c r="E34" s="8" t="inlineStr">
        <is>
          <t>20%</t>
        </is>
      </c>
      <c r="F34" s="8" t="inlineStr">
        <is>
          <t>5%</t>
        </is>
      </c>
      <c r="G34" s="8" t="inlineStr">
        <is>
          <t>7%</t>
        </is>
      </c>
      <c r="H34" s="9" t="inlineStr"/>
    </row>
    <row r="35" ht="15" customHeight="1">
      <c r="A35" s="67" t="inlineStr">
        <is>
          <t>Player-Coach · C+ · IRIS default</t>
        </is>
      </c>
      <c r="B35" s="43" t="inlineStr">
        <is>
          <t>38%</t>
        </is>
      </c>
      <c r="C35" s="43" t="inlineStr">
        <is>
          <t>18%</t>
        </is>
      </c>
      <c r="D35" s="43" t="inlineStr">
        <is>
          <t>11%</t>
        </is>
      </c>
      <c r="E35" s="43" t="inlineStr">
        <is>
          <t>20%</t>
        </is>
      </c>
      <c r="F35" s="43" t="inlineStr">
        <is>
          <t>5%</t>
        </is>
      </c>
      <c r="G35" s="43" t="inlineStr">
        <is>
          <t>8%</t>
        </is>
      </c>
      <c r="H35" s="22" t="inlineStr">
        <is>
          <t>Average of the three, whole numbers</t>
        </is>
      </c>
    </row>
    <row r="36" ht="15" customHeight="1">
      <c r="A36" s="14" t="inlineStr">
        <is>
          <t>Bands D–E · Korn Ferry Hay</t>
        </is>
      </c>
      <c r="B36" s="8" t="inlineStr">
        <is>
          <t>36%</t>
        </is>
      </c>
      <c r="C36" s="8" t="inlineStr">
        <is>
          <t>22%</t>
        </is>
      </c>
      <c r="D36" s="8" t="inlineStr">
        <is>
          <t>9%</t>
        </is>
      </c>
      <c r="E36" s="8" t="inlineStr">
        <is>
          <t>20%</t>
        </is>
      </c>
      <c r="F36" s="8" t="inlineStr">
        <is>
          <t>5%</t>
        </is>
      </c>
      <c r="G36" s="8" t="inlineStr">
        <is>
          <t>9%</t>
        </is>
      </c>
      <c r="H36" s="9" t="inlineStr"/>
    </row>
    <row r="37" ht="15" customHeight="1">
      <c r="A37" s="14" t="inlineStr">
        <is>
          <t>Bands D–E · Mercer IPE</t>
        </is>
      </c>
      <c r="B37" s="8" t="inlineStr">
        <is>
          <t>35%</t>
        </is>
      </c>
      <c r="C37" s="8" t="inlineStr">
        <is>
          <t>20%</t>
        </is>
      </c>
      <c r="D37" s="8" t="inlineStr">
        <is>
          <t>10%</t>
        </is>
      </c>
      <c r="E37" s="8" t="inlineStr">
        <is>
          <t>20%</t>
        </is>
      </c>
      <c r="F37" s="8" t="inlineStr">
        <is>
          <t>5%</t>
        </is>
      </c>
      <c r="G37" s="8" t="inlineStr">
        <is>
          <t>10%</t>
        </is>
      </c>
      <c r="H37" s="9" t="inlineStr"/>
    </row>
    <row r="38" ht="15" customHeight="1">
      <c r="A38" s="14" t="inlineStr">
        <is>
          <t>Bands D–E · Public plans</t>
        </is>
      </c>
      <c r="B38" s="8" t="inlineStr">
        <is>
          <t>38%</t>
        </is>
      </c>
      <c r="C38" s="8" t="inlineStr">
        <is>
          <t>15%</t>
        </is>
      </c>
      <c r="D38" s="8" t="inlineStr">
        <is>
          <t>15%</t>
        </is>
      </c>
      <c r="E38" s="8" t="inlineStr">
        <is>
          <t>20%</t>
        </is>
      </c>
      <c r="F38" s="8" t="inlineStr">
        <is>
          <t>5%</t>
        </is>
      </c>
      <c r="G38" s="8" t="inlineStr">
        <is>
          <t>7%</t>
        </is>
      </c>
      <c r="H38" s="9" t="inlineStr"/>
    </row>
    <row r="39" ht="15" customHeight="1">
      <c r="A39" s="67" t="inlineStr">
        <is>
          <t>Bands D–E · IRIS default</t>
        </is>
      </c>
      <c r="B39" s="43" t="inlineStr">
        <is>
          <t>37%</t>
        </is>
      </c>
      <c r="C39" s="43" t="inlineStr">
        <is>
          <t>19%</t>
        </is>
      </c>
      <c r="D39" s="43" t="inlineStr">
        <is>
          <t>11%</t>
        </is>
      </c>
      <c r="E39" s="43" t="inlineStr">
        <is>
          <t>20%</t>
        </is>
      </c>
      <c r="F39" s="43" t="inlineStr">
        <is>
          <t>5%</t>
        </is>
      </c>
      <c r="G39" s="43" t="inlineStr">
        <is>
          <t>8%</t>
        </is>
      </c>
      <c r="H39" s="22" t="inlineStr">
        <is>
          <t>Average of the three, whole numbers</t>
        </is>
      </c>
    </row>
    <row r="40" ht="15" customHeight="1"/>
    <row r="41" ht="28" customHeight="1">
      <c r="A41" s="12" t="inlineStr">
        <is>
          <r>
            <rPr>
              <rFont val="Calibri"/>
              <b val="1"/>
              <i val="1"/>
              <color rgb="00595959"/>
              <sz val="10"/>
            </rPr>
            <t>Sources:</t>
          </r>
          <r>
            <rPr>
              <rFont val="Calibri"/>
              <i val="1"/>
              <color rgb="00595959"/>
              <sz val="10"/>
            </rPr>
            <t xml:space="preserve"> S46–S51 Korn Ferry Hay evaluations · S04, S52 Mercer IPE · S53–S57 NHS, UK NJC/PSC, GLPC, SJC and US OPM point-factor plans. Full links: source register, HR Super Master sheet 11 and Framework Master M16.</t>
          </r>
        </is>
      </c>
    </row>
    <row r="42" ht="20" customHeight="1">
      <c r="A42" s="6" t="inlineStr">
        <is>
          <t>0b. Mapping rules — the same for every source</t>
        </is>
      </c>
    </row>
    <row r="43" ht="15" customHeight="1">
      <c r="A43" s="7" t="inlineStr">
        <is>
          <t>IRIS factor</t>
        </is>
      </c>
      <c r="B43" s="63" t="n"/>
      <c r="C43" s="7" t="inlineStr">
        <is>
          <t>Taken from</t>
        </is>
      </c>
      <c r="D43" s="64" t="n"/>
      <c r="E43" s="64" t="n"/>
      <c r="F43" s="64" t="n"/>
      <c r="G43" s="64" t="n"/>
      <c r="H43" s="63" t="n"/>
    </row>
    <row r="44" ht="28" customHeight="1">
      <c r="A44" s="14" t="inlineStr">
        <is>
          <t>Experience &amp; Qualification</t>
        </is>
      </c>
      <c r="B44" s="63" t="n"/>
      <c r="C44" s="9" t="inlineStr">
        <is>
          <t>Held at the leadership's policy weight — 10% in Bands A–B, 5% in Bands C–E — and taken out of each method's knowledge factor first</t>
        </is>
      </c>
      <c r="D44" s="64" t="n"/>
      <c r="E44" s="64" t="n"/>
      <c r="F44" s="64" t="n"/>
      <c r="G44" s="64" t="n"/>
      <c r="H44" s="63" t="n"/>
    </row>
    <row r="45" ht="41" customHeight="1">
      <c r="A45" s="14" t="inlineStr">
        <is>
          <t>Leadership &amp; Strategy</t>
        </is>
      </c>
      <c r="B45" s="63" t="n"/>
      <c r="C45" s="9" t="inlineStr">
        <is>
          <r>
            <rPr>
              <rFont val="Calibri"/>
              <b val="1"/>
              <sz val="10"/>
            </rPr>
            <t>People leadership expected at the level:</t>
          </r>
          <r>
            <rPr>
              <rFont val="Calibri"/>
              <sz val="10"/>
            </rPr>
            <t xml:space="preserve"> 0% Band A, 5% experts, 10% B+, 15% managers and heads, 20% C+ and Bands D–E — taken from Hay know-how · managerial and human-relations know-how, Mercer IPE communication, or the plans' leadership and relationships factors</t>
          </r>
        </is>
      </c>
      <c r="D45" s="64" t="n"/>
      <c r="E45" s="64" t="n"/>
      <c r="F45" s="64" t="n"/>
      <c r="G45" s="64" t="n"/>
      <c r="H45" s="63" t="n"/>
    </row>
    <row r="46" ht="15" customHeight="1">
      <c r="A46" s="14" t="inlineStr">
        <is>
          <t>Complexity &amp; Expertise</t>
        </is>
      </c>
      <c r="B46" s="63" t="n"/>
      <c r="C46" s="9" t="inlineStr">
        <is>
          <t>The rest of the knowledge factor, plus 60% of problem solving / innovation · the thinking challenge</t>
        </is>
      </c>
      <c r="D46" s="64" t="n"/>
      <c r="E46" s="64" t="n"/>
      <c r="F46" s="64" t="n"/>
      <c r="G46" s="64" t="n"/>
      <c r="H46" s="63" t="n"/>
    </row>
    <row r="47" ht="28" customHeight="1">
      <c r="A47" s="14" t="inlineStr">
        <is>
          <t>Autonomy &amp; Decision</t>
        </is>
      </c>
      <c r="B47" s="63" t="n"/>
      <c r="C47" s="9" t="inlineStr">
        <is>
          <t>40% of problem solving / innovation · the thinking environment plus 40% of accountability / impact · freedom to act, Hay's heaviest element; the plans' own autonomy factor</t>
        </is>
      </c>
      <c r="D47" s="64" t="n"/>
      <c r="E47" s="64" t="n"/>
      <c r="F47" s="64" t="n"/>
      <c r="G47" s="64" t="n"/>
      <c r="H47" s="63" t="n"/>
    </row>
    <row r="48" ht="15" customHeight="1">
      <c r="A48" s="14" t="inlineStr">
        <is>
          <t>Accountability &amp; Impact</t>
        </is>
      </c>
      <c r="B48" s="63" t="n"/>
      <c r="C48" s="9" t="inlineStr">
        <is>
          <t>30% of accountability / impact — the area or magnitude of the job's scope; the plans' responsibility factors</t>
        </is>
      </c>
      <c r="D48" s="64" t="n"/>
      <c r="E48" s="64" t="n"/>
      <c r="F48" s="64" t="n"/>
      <c r="G48" s="64" t="n"/>
      <c r="H48" s="63" t="n"/>
    </row>
    <row r="49" ht="15" customHeight="1">
      <c r="A49" s="14" t="inlineStr">
        <is>
          <t>Business Impact</t>
        </is>
      </c>
      <c r="B49" s="63" t="n"/>
      <c r="C49" s="9" t="inlineStr">
        <is>
          <t>30% of accountability / impact — the nature of the job's impact on results; the plans' financial / consequences factor</t>
        </is>
      </c>
      <c r="D49" s="64" t="n"/>
      <c r="E49" s="64" t="n"/>
      <c r="F49" s="64" t="n"/>
      <c r="G49" s="64" t="n"/>
      <c r="H49" s="63" t="n"/>
    </row>
    <row r="50" ht="15" customHeight="1"/>
    <row r="51" ht="54" customHeight="1">
      <c r="A51" s="12" t="inlineStr">
        <is>
          <r>
            <rPr>
              <rFont val="Calibri"/>
              <b val="1"/>
              <i val="1"/>
              <color rgb="00595959"/>
              <sz val="10"/>
            </rPr>
            <t>Sources:</t>
          </r>
          <r>
            <rPr>
              <rFont val="Calibri"/>
              <i val="1"/>
              <color rgb="00595959"/>
              <sz val="10"/>
            </rPr>
            <t xml:space="preserve"> S05, S46–S52 for the Hay and IPE factor definitions; the split percentages are IRIS mapping rules applied to every source alike. Experience: Sources: S05, S49 Hay know-how includes experience however acquired · S04, S52 Mercer IPE knowledge · S07 WTW GGS · S58 McKinsey · S59 Deloitte · S60 WEF · S61 EY India, 2026 — skills over tenure. The 10% / 5% level is an IRIS leadership decision. Leadership: Sources: S05, S46, S47 Hay managerial know-how by level · S04 Mercer IPE communication · S09 McKinsey spans of control. The 0 / 5 / 10 / 15 / 20% steps by role group are an IRIS design rule.</t>
          </r>
        </is>
      </c>
    </row>
    <row r="52" ht="20" customHeight="1">
      <c r="A52" s="6" t="inlineStr">
        <is>
          <t>0c. Korn Ferry Hay — verified evaluations by level</t>
        </is>
      </c>
    </row>
    <row r="53" ht="28" customHeight="1">
      <c r="A53" s="12" t="inlineStr">
        <is>
          <t>Know-How / Problem Solving / Accountability points and shares. Canada's executive plan scores public-service jobs on the Hay guide charts, which makes these the best public evidence of Hay shares by level.</t>
        </is>
      </c>
    </row>
    <row r="54" ht="28" customHeight="1">
      <c r="A54" s="7" t="inlineStr">
        <is>
          <t>Job and level</t>
        </is>
      </c>
      <c r="B54" s="7" t="inlineStr">
        <is>
          <t>Know-How</t>
        </is>
      </c>
      <c r="C54" s="7" t="inlineStr">
        <is>
          <t>Problem Solving</t>
        </is>
      </c>
      <c r="D54" s="7" t="inlineStr">
        <is>
          <t>Accountability</t>
        </is>
      </c>
      <c r="E54" s="7" t="inlineStr">
        <is>
          <t>Shares KH / PS / AC</t>
        </is>
      </c>
      <c r="F54" s="59" t="inlineStr"/>
      <c r="G54" s="59" t="inlineStr"/>
      <c r="H54" s="7" t="inlineStr">
        <is>
          <t>Source</t>
        </is>
      </c>
    </row>
    <row r="55" ht="28" customHeight="1">
      <c r="A55" s="14" t="inlineStr">
        <is>
          <t>Junior · clerical typical profile</t>
        </is>
      </c>
      <c r="B55" s="8" t="inlineStr">
        <is>
          <t>—</t>
        </is>
      </c>
      <c r="C55" s="8" t="inlineStr">
        <is>
          <t>—</t>
        </is>
      </c>
      <c r="D55" s="8" t="inlineStr">
        <is>
          <t>—</t>
        </is>
      </c>
      <c r="E55" s="8" t="inlineStr">
        <is>
          <t>72.7 / 13.6 / 13.6</t>
        </is>
      </c>
      <c r="F55" s="9" t="inlineStr"/>
      <c r="G55" s="9" t="inlineStr"/>
      <c r="H55" s="9" t="inlineStr">
        <is>
          <t>Hay summary deck, typical profile 64/12/12 + 12% working conditions</t>
        </is>
      </c>
    </row>
    <row r="56" ht="28" customHeight="1">
      <c r="A56" s="14" t="inlineStr">
        <is>
          <t>Supervisor typical profile</t>
        </is>
      </c>
      <c r="B56" s="8" t="inlineStr">
        <is>
          <t>—</t>
        </is>
      </c>
      <c r="C56" s="8" t="inlineStr">
        <is>
          <t>—</t>
        </is>
      </c>
      <c r="D56" s="8" t="inlineStr">
        <is>
          <t>—</t>
        </is>
      </c>
      <c r="E56" s="8" t="inlineStr">
        <is>
          <t>47.4 / 20.6 / 32.0</t>
        </is>
      </c>
      <c r="F56" s="9" t="inlineStr"/>
      <c r="G56" s="9" t="inlineStr"/>
      <c r="H56" s="9" t="inlineStr">
        <is>
          <t>Hay summary deck, typical profile 46/20/31 + 3% working conditions</t>
        </is>
      </c>
    </row>
    <row r="57" ht="28" customHeight="1">
      <c r="A57" s="14" t="inlineStr">
        <is>
          <t>Professional · research scientist</t>
        </is>
      </c>
      <c r="B57" s="8" t="n">
        <v>460</v>
      </c>
      <c r="C57" s="8" t="n">
        <v>230</v>
      </c>
      <c r="D57" s="8" t="n">
        <v>132</v>
      </c>
      <c r="E57" s="8" t="inlineStr">
        <is>
          <t>56.0 / 28.0 / 16.1</t>
        </is>
      </c>
      <c r="F57" s="9" t="inlineStr"/>
      <c r="G57" s="9" t="inlineStr"/>
      <c r="H57" s="9" t="inlineStr">
        <is>
          <t>Hay summary deck</t>
        </is>
      </c>
    </row>
    <row r="58" ht="28" customHeight="1">
      <c r="A58" s="14" t="inlineStr">
        <is>
          <t>Manager · Regional Manager Finance &amp; Admin</t>
        </is>
      </c>
      <c r="B58" s="8" t="n">
        <v>460</v>
      </c>
      <c r="C58" s="8" t="n">
        <v>200</v>
      </c>
      <c r="D58" s="8" t="n">
        <v>230</v>
      </c>
      <c r="E58" s="8" t="inlineStr">
        <is>
          <t>51.7 / 22.5 / 25.8</t>
        </is>
      </c>
      <c r="F58" s="9" t="inlineStr"/>
      <c r="G58" s="9" t="inlineStr"/>
      <c r="H58" s="9" t="inlineStr">
        <is>
          <t>Canada TBS EX plan, 4-O-3</t>
        </is>
      </c>
    </row>
    <row r="59" ht="28" customHeight="1">
      <c r="A59" s="14" t="inlineStr">
        <is>
          <t>Director EX-1 · Director Financial Policies</t>
        </is>
      </c>
      <c r="B59" s="8" t="n">
        <v>460</v>
      </c>
      <c r="C59" s="8" t="n">
        <v>230</v>
      </c>
      <c r="D59" s="8" t="n">
        <v>264</v>
      </c>
      <c r="E59" s="8" t="inlineStr">
        <is>
          <t>48.2 / 24.1 / 27.7</t>
        </is>
      </c>
      <c r="F59" s="9" t="inlineStr"/>
      <c r="G59" s="9" t="inlineStr"/>
      <c r="H59" s="9" t="inlineStr">
        <is>
          <t>Canada TBS EX plan</t>
        </is>
      </c>
    </row>
    <row r="60" ht="28" customHeight="1">
      <c r="A60" s="14" t="inlineStr">
        <is>
          <t>Director EX-1 · Director Financial Management</t>
        </is>
      </c>
      <c r="B60" s="8" t="n">
        <v>528</v>
      </c>
      <c r="C60" s="8" t="n">
        <v>264</v>
      </c>
      <c r="D60" s="8" t="n">
        <v>264</v>
      </c>
      <c r="E60" s="8" t="inlineStr">
        <is>
          <t>50.0 / 25.0 / 25.0</t>
        </is>
      </c>
      <c r="F60" s="9" t="inlineStr"/>
      <c r="G60" s="9" t="inlineStr"/>
      <c r="H60" s="9" t="inlineStr">
        <is>
          <t>Canada TBS EX plan, 5-M-1</t>
        </is>
      </c>
    </row>
    <row r="61" ht="28" customHeight="1">
      <c r="A61" s="14" t="inlineStr">
        <is>
          <t>Director EX-1 · Regional Director</t>
        </is>
      </c>
      <c r="B61" s="8" t="n">
        <v>528</v>
      </c>
      <c r="C61" s="8" t="n">
        <v>264</v>
      </c>
      <c r="D61" s="8" t="n">
        <v>304</v>
      </c>
      <c r="E61" s="8" t="inlineStr">
        <is>
          <t>48.2 / 24.1 / 27.7</t>
        </is>
      </c>
      <c r="F61" s="9" t="inlineStr"/>
      <c r="G61" s="9" t="inlineStr"/>
      <c r="H61" s="9" t="inlineStr">
        <is>
          <t>Canada TBS EX plan, 5-A-1</t>
        </is>
      </c>
    </row>
    <row r="62" ht="28" customHeight="1">
      <c r="A62" s="14" t="inlineStr">
        <is>
          <t>Senior executive EX-2 · ADC Operations</t>
        </is>
      </c>
      <c r="B62" s="8" t="n">
        <v>608</v>
      </c>
      <c r="C62" s="8" t="n">
        <v>304</v>
      </c>
      <c r="D62" s="8" t="n">
        <v>350</v>
      </c>
      <c r="E62" s="8" t="inlineStr">
        <is>
          <t>48.2 / 24.1 / 27.7</t>
        </is>
      </c>
      <c r="F62" s="9" t="inlineStr"/>
      <c r="G62" s="9" t="inlineStr"/>
      <c r="H62" s="9" t="inlineStr">
        <is>
          <t>Canada TBS EX plan, 6-A-2</t>
        </is>
      </c>
    </row>
    <row r="63" ht="28" customHeight="1">
      <c r="A63" s="14" t="inlineStr">
        <is>
          <t>Senior executive EX-2 · DG Resource Management</t>
        </is>
      </c>
      <c r="B63" s="8" t="n">
        <v>608</v>
      </c>
      <c r="C63" s="8" t="n">
        <v>350</v>
      </c>
      <c r="D63" s="8" t="n">
        <v>350</v>
      </c>
      <c r="E63" s="8" t="inlineStr">
        <is>
          <t>46.5 / 26.8 / 26.8</t>
        </is>
      </c>
      <c r="F63" s="9" t="inlineStr"/>
      <c r="G63" s="9" t="inlineStr"/>
      <c r="H63" s="9" t="inlineStr">
        <is>
          <t>Canada TBS EX plan, 6-O-2</t>
        </is>
      </c>
    </row>
    <row r="64" ht="28" customHeight="1">
      <c r="A64" s="14" t="inlineStr">
        <is>
          <t>Executive EX-3 · DG Regional Operations</t>
        </is>
      </c>
      <c r="B64" s="8" t="n">
        <v>700</v>
      </c>
      <c r="C64" s="8" t="n">
        <v>400</v>
      </c>
      <c r="D64" s="8" t="n">
        <v>528</v>
      </c>
      <c r="E64" s="8" t="inlineStr">
        <is>
          <t>43.0 / 24.6 / 32.4</t>
        </is>
      </c>
      <c r="F64" s="9" t="inlineStr"/>
      <c r="G64" s="9" t="inlineStr"/>
      <c r="H64" s="9" t="inlineStr">
        <is>
          <t>Canada TBS EX plan, 7-A-2</t>
        </is>
      </c>
    </row>
    <row r="65" ht="15" customHeight="1"/>
    <row r="66" ht="15" customHeight="1">
      <c r="A66" s="12" t="inlineStr">
        <is>
          <r>
            <rPr>
              <rFont val="Calibri"/>
              <b val="1"/>
              <i val="1"/>
              <color rgb="00595959"/>
              <sz val="10"/>
            </rPr>
            <t>Sources:</t>
          </r>
          <r>
            <rPr>
              <rFont val="Calibri"/>
              <i val="1"/>
              <color rgb="00595959"/>
              <sz val="10"/>
            </rPr>
            <t xml:space="preserve"> S46, S47 Canada TBS Executive Group plans 2005 and 2022 · S48 Hay summary deck · S50 Western University Hay overview.</t>
          </r>
        </is>
      </c>
    </row>
    <row r="67" ht="20" customHeight="1">
      <c r="A67" s="6" t="inlineStr">
        <is>
          <t>0d. Mercer IPE — the published point table</t>
        </is>
      </c>
    </row>
    <row r="68" ht="28" customHeight="1">
      <c r="A68" s="12" t="inlineStr">
        <is>
          <t>Maximum points per factor are verified from the IPE v3.1 manual; the level rows apply that table to typical ratings for a company of IRIS's size, so they are illustrative. Impact's share grows with seniority and with company size.</t>
        </is>
      </c>
    </row>
    <row r="69" ht="28" customHeight="1">
      <c r="A69" s="7" t="inlineStr">
        <is>
          <t>Row</t>
        </is>
      </c>
      <c r="B69" s="7" t="inlineStr">
        <is>
          <t>Impact</t>
        </is>
      </c>
      <c r="C69" s="7" t="inlineStr">
        <is>
          <t>Communication</t>
        </is>
      </c>
      <c r="D69" s="7" t="inlineStr">
        <is>
          <t>Innovation</t>
        </is>
      </c>
      <c r="E69" s="7" t="inlineStr">
        <is>
          <t>Knowledge</t>
        </is>
      </c>
      <c r="F69" s="59" t="inlineStr"/>
      <c r="G69" s="59" t="inlineStr"/>
      <c r="H69" s="7" t="inlineStr">
        <is>
          <t>Shares</t>
        </is>
      </c>
    </row>
    <row r="70" ht="28" customHeight="1">
      <c r="A70" s="14" t="inlineStr">
        <is>
          <t>Maximum points per factor · Mercer IPE v3.1</t>
        </is>
      </c>
      <c r="B70" s="8" t="inlineStr">
        <is>
          <t>705</t>
        </is>
      </c>
      <c r="C70" s="8" t="inlineStr">
        <is>
          <t>115</t>
        </is>
      </c>
      <c r="D70" s="8" t="inlineStr">
        <is>
          <t>130</t>
        </is>
      </c>
      <c r="E70" s="8" t="inlineStr">
        <is>
          <t>260</t>
        </is>
      </c>
      <c r="F70" s="9" t="inlineStr"/>
      <c r="G70" s="9" t="inlineStr"/>
      <c r="H70" s="9" t="inlineStr">
        <is>
          <t>Impact 58.3% · Communication 9.5% · Innovation 10.7% · Knowledge 21.5% at the maximum</t>
        </is>
      </c>
    </row>
    <row r="71" ht="28" customHeight="1">
      <c r="A71" s="14" t="inlineStr">
        <is>
          <t>Junior · illustrative rating, organisation size 5</t>
        </is>
      </c>
      <c r="B71" s="8" t="inlineStr">
        <is>
          <t>25</t>
        </is>
      </c>
      <c r="C71" s="8" t="inlineStr">
        <is>
          <t>10</t>
        </is>
      </c>
      <c r="D71" s="8" t="inlineStr">
        <is>
          <t>25</t>
        </is>
      </c>
      <c r="E71" s="8" t="inlineStr">
        <is>
          <t>30</t>
        </is>
      </c>
      <c r="F71" s="9" t="inlineStr"/>
      <c r="G71" s="9" t="inlineStr"/>
      <c r="H71" s="9" t="inlineStr">
        <is>
          <t>27.8 / 11.1 / 27.8 / 33.3%</t>
        </is>
      </c>
    </row>
    <row r="72" ht="15" customHeight="1">
      <c r="A72" s="14" t="inlineStr">
        <is>
          <t>Professional · illustrative</t>
        </is>
      </c>
      <c r="B72" s="8" t="inlineStr">
        <is>
          <t>60</t>
        </is>
      </c>
      <c r="C72" s="8" t="inlineStr">
        <is>
          <t>40</t>
        </is>
      </c>
      <c r="D72" s="8" t="inlineStr">
        <is>
          <t>45</t>
        </is>
      </c>
      <c r="E72" s="8" t="inlineStr">
        <is>
          <t>90</t>
        </is>
      </c>
      <c r="F72" s="9" t="inlineStr"/>
      <c r="G72" s="9" t="inlineStr"/>
      <c r="H72" s="9" t="inlineStr">
        <is>
          <t>25.5 / 17.0 / 19.1 / 38.3%</t>
        </is>
      </c>
    </row>
    <row r="73" ht="15" customHeight="1">
      <c r="A73" s="14" t="inlineStr">
        <is>
          <t>Manager · illustrative</t>
        </is>
      </c>
      <c r="B73" s="8" t="inlineStr">
        <is>
          <t>131</t>
        </is>
      </c>
      <c r="C73" s="8" t="inlineStr">
        <is>
          <t>60</t>
        </is>
      </c>
      <c r="D73" s="8" t="inlineStr">
        <is>
          <t>75</t>
        </is>
      </c>
      <c r="E73" s="8" t="inlineStr">
        <is>
          <t>173</t>
        </is>
      </c>
      <c r="F73" s="9" t="inlineStr"/>
      <c r="G73" s="9" t="inlineStr"/>
      <c r="H73" s="9" t="inlineStr">
        <is>
          <t>29.8 / 13.7 / 17.1 / 39.4%</t>
        </is>
      </c>
    </row>
    <row r="74" ht="15" customHeight="1">
      <c r="A74" s="14" t="inlineStr">
        <is>
          <t>Executive · illustrative</t>
        </is>
      </c>
      <c r="B74" s="8" t="inlineStr">
        <is>
          <t>207</t>
        </is>
      </c>
      <c r="C74" s="8" t="inlineStr">
        <is>
          <t>100</t>
        </is>
      </c>
      <c r="D74" s="8" t="inlineStr">
        <is>
          <t>105</t>
        </is>
      </c>
      <c r="E74" s="8" t="inlineStr">
        <is>
          <t>218</t>
        </is>
      </c>
      <c r="F74" s="9" t="inlineStr"/>
      <c r="G74" s="9" t="inlineStr"/>
      <c r="H74" s="9" t="inlineStr">
        <is>
          <t>32.9 / 15.9 / 16.7 / 34.6%</t>
        </is>
      </c>
    </row>
    <row r="75" ht="15" customHeight="1"/>
    <row r="76" ht="15" customHeight="1">
      <c r="A76" s="12" t="inlineStr">
        <is>
          <r>
            <rPr>
              <rFont val="Calibri"/>
              <b val="1"/>
              <i val="1"/>
              <color rgb="00595959"/>
              <sz val="10"/>
            </rPr>
            <t>Sources:</t>
          </r>
          <r>
            <rPr>
              <rFont val="Calibri"/>
              <i val="1"/>
              <color rgb="00595959"/>
              <sz val="10"/>
            </rPr>
            <t xml:space="preserve"> S52 Mercer IPE manual and factor sheet, third-party copies · S04 Mercer IPE.</t>
          </r>
        </is>
      </c>
    </row>
    <row r="77" ht="20" customHeight="1">
      <c r="A77" s="6" t="inlineStr">
        <is>
          <t>1. Published point-factor plans — share of points by factor</t>
        </is>
      </c>
    </row>
    <row r="78" ht="28" customHeight="1">
      <c r="A78" s="12" t="inlineStr">
        <is>
          <t>Effort and working-conditions factors removed and the rest scaled to 100%. Major vendors — Korn Ferry Hay, Mercer IPE, WTW, Aon Radford — do not publish their factor weights, so public schemes with published points are the hard benchmark.</t>
        </is>
      </c>
    </row>
    <row r="79" ht="41" customHeight="1">
      <c r="A79" s="7" t="inlineStr">
        <is>
          <t>Plan</t>
        </is>
      </c>
      <c r="B79" s="7" t="inlineStr">
        <is>
          <t>Complexity &amp; Expertise</t>
        </is>
      </c>
      <c r="C79" s="7" t="inlineStr">
        <is>
          <t>Autonomy &amp; Decision</t>
        </is>
      </c>
      <c r="D79" s="7" t="inlineStr">
        <is>
          <t>Accountability &amp; Impact</t>
        </is>
      </c>
      <c r="E79" s="7" t="inlineStr">
        <is>
          <t>Leadership &amp; Strategy</t>
        </is>
      </c>
      <c r="F79" s="7" t="inlineStr">
        <is>
          <t>Business Impact</t>
        </is>
      </c>
      <c r="G79" s="7" t="inlineStr">
        <is>
          <t>Effort and conditions removed</t>
        </is>
      </c>
      <c r="H79" s="7" t="inlineStr">
        <is>
          <t>Source</t>
        </is>
      </c>
    </row>
    <row r="80" ht="41" customHeight="1">
      <c r="A80" s="14" t="inlineStr">
        <is>
          <t>NHS Agenda for Change Job Evaluation Scheme · 16 factors, 1,000 points</t>
        </is>
      </c>
      <c r="B80" s="8" t="inlineStr">
        <is>
          <t>40.0%</t>
        </is>
      </c>
      <c r="C80" s="8" t="inlineStr">
        <is>
          <t>6.7%</t>
        </is>
      </c>
      <c r="D80" s="8" t="inlineStr">
        <is>
          <t>20.0%</t>
        </is>
      </c>
      <c r="E80" s="8" t="inlineStr">
        <is>
          <t>26.7%</t>
        </is>
      </c>
      <c r="F80" s="8" t="inlineStr">
        <is>
          <t>6.7%</t>
        </is>
      </c>
      <c r="G80" s="8" t="inlineStr">
        <is>
          <t>10.0%</t>
        </is>
      </c>
      <c r="H80" s="9" t="inlineStr">
        <is>
          <t>NHS Job Evaluation Handbook, ch. 6 para 1.5 — nhsemployers.org/sites/default/files/pdf/22/165.pdf</t>
        </is>
      </c>
    </row>
    <row r="81" ht="54" customHeight="1">
      <c r="A81" s="14" t="inlineStr">
        <is>
          <t>UK local government 13-factor scheme · Police Staff Council version of the NJC scheme, 1,000 points</t>
        </is>
      </c>
      <c r="B81" s="8" t="inlineStr">
        <is>
          <t>38.3%</t>
        </is>
      </c>
      <c r="C81" s="8" t="inlineStr">
        <is>
          <t>13.0%</t>
        </is>
      </c>
      <c r="D81" s="8" t="inlineStr">
        <is>
          <t>19.5%</t>
        </is>
      </c>
      <c r="E81" s="8" t="inlineStr">
        <is>
          <t>19.5%</t>
        </is>
      </c>
      <c r="F81" s="8" t="inlineStr">
        <is>
          <t>9.8%</t>
        </is>
      </c>
      <c r="G81" s="8" t="inlineStr">
        <is>
          <t>20.0%</t>
        </is>
      </c>
      <c r="H81" s="9" t="inlineStr">
        <is>
          <t>PSC Handbook pp. 47–48 — lb2.local.gov.uk/sites/default/files/documents/police-staff-council-13-f-342.pdf · NJC's own table sits behind the LGA log-in · Exact for PSC; NJC assumed equal</t>
        </is>
      </c>
    </row>
    <row r="82" ht="41" customHeight="1">
      <c r="A82" s="14" t="inlineStr">
        <is>
          <t>Greater London Provincial Council scheme · 11 factors, 948 points</t>
        </is>
      </c>
      <c r="B82" s="8" t="inlineStr">
        <is>
          <t>45.0%</t>
        </is>
      </c>
      <c r="C82" s="8" t="inlineStr">
        <is>
          <t>12.1%</t>
        </is>
      </c>
      <c r="D82" s="8" t="inlineStr">
        <is>
          <t>6.0%</t>
        </is>
      </c>
      <c r="E82" s="8" t="inlineStr">
        <is>
          <t>29.7%</t>
        </is>
      </c>
      <c r="F82" s="8" t="inlineStr">
        <is>
          <t>7.2%</t>
        </is>
      </c>
      <c r="G82" s="8" t="inlineStr">
        <is>
          <t>12.7%</t>
        </is>
      </c>
      <c r="H82" s="9" t="inlineStr">
        <is>
          <t>GLPC points weighting — sirddinbych.gov.uk/en/documents/jobs-and-employees/my-employment/reorganisation-and-change/glpc-points-weighting.pdf</t>
        </is>
      </c>
    </row>
    <row r="83" ht="28" customHeight="1">
      <c r="A83" s="14" t="inlineStr">
        <is>
          <t>Scottish Joint Council scheme · 13 factors, 1,000 points</t>
        </is>
      </c>
      <c r="B83" s="8" t="inlineStr">
        <is>
          <t>38.3%</t>
        </is>
      </c>
      <c r="C83" s="8" t="inlineStr">
        <is>
          <t>13.0%</t>
        </is>
      </c>
      <c r="D83" s="8" t="inlineStr">
        <is>
          <t>19.5%</t>
        </is>
      </c>
      <c r="E83" s="8" t="inlineStr">
        <is>
          <t>19.5%</t>
        </is>
      </c>
      <c r="F83" s="8" t="inlineStr">
        <is>
          <t>9.8%</t>
        </is>
      </c>
      <c r="G83" s="8" t="inlineStr">
        <is>
          <t>20.0%</t>
        </is>
      </c>
      <c r="H83" s="9" t="inlineStr">
        <is>
          <t>Highland Council SJC scoring matrix — highland.gov.uk/download/downloads/id/3889/scoring_matrix.pdf</t>
        </is>
      </c>
    </row>
    <row r="84" ht="28" customHeight="1">
      <c r="A84" s="14" t="inlineStr">
        <is>
          <t>US OPM Factor Evaluation System · 9 factors, 4,480 points</t>
        </is>
      </c>
      <c r="B84" s="8" t="inlineStr">
        <is>
          <t>52.5%</t>
        </is>
      </c>
      <c r="C84" s="8" t="inlineStr">
        <is>
          <t>29.7%</t>
        </is>
      </c>
      <c r="D84" s="8" t="inlineStr">
        <is>
          <t>10.3%</t>
        </is>
      </c>
      <c r="E84" s="8" t="inlineStr">
        <is>
          <t>7.5%</t>
        </is>
      </c>
      <c r="F84" s="8" t="inlineStr">
        <is>
          <t>0.0%</t>
        </is>
      </c>
      <c r="G84" s="8" t="inlineStr">
        <is>
          <t>2.2%</t>
        </is>
      </c>
      <c r="H84" s="9" t="inlineStr">
        <is>
          <t>OPM Introduction to the Position Classification Standards, Appendix 3 — opm.gov/…/positionclassificationintro.pdf</t>
        </is>
      </c>
    </row>
    <row r="85" ht="15" customHeight="1">
      <c r="A85" s="14" t="inlineStr">
        <is>
          <t>Average of the five plans</t>
        </is>
      </c>
      <c r="B85" s="8" t="inlineStr">
        <is>
          <t>42.8%</t>
        </is>
      </c>
      <c r="C85" s="8" t="inlineStr">
        <is>
          <t>14.9%</t>
        </is>
      </c>
      <c r="D85" s="8" t="inlineStr">
        <is>
          <t>15.1%</t>
        </is>
      </c>
      <c r="E85" s="8" t="inlineStr">
        <is>
          <t>20.6%</t>
        </is>
      </c>
      <c r="F85" s="8" t="inlineStr">
        <is>
          <t>6.7%</t>
        </is>
      </c>
      <c r="G85" s="8" t="inlineStr"/>
      <c r="H85" s="9" t="inlineStr">
        <is>
          <r>
            <rPr>
              <rFont val="Calibri"/>
              <b val="1"/>
              <sz val="10"/>
            </rPr>
            <t>Experience as a separate factor:</t>
          </r>
          <r>
            <rPr>
              <rFont val="Calibri"/>
              <sz val="10"/>
            </rPr>
            <t xml:space="preserve"> none of the five</t>
          </r>
        </is>
      </c>
    </row>
    <row r="86" ht="15" customHeight="1">
      <c r="A86" s="14" t="inlineStr">
        <is>
          <t>Range</t>
        </is>
      </c>
      <c r="B86" s="8" t="inlineStr">
        <is>
          <t>38–52%</t>
        </is>
      </c>
      <c r="C86" s="8" t="inlineStr">
        <is>
          <t>7–30%</t>
        </is>
      </c>
      <c r="D86" s="8" t="inlineStr">
        <is>
          <t>6–20%</t>
        </is>
      </c>
      <c r="E86" s="8" t="inlineStr">
        <is>
          <t>8–30%</t>
        </is>
      </c>
      <c r="F86" s="8" t="inlineStr">
        <is>
          <t>0–10%</t>
        </is>
      </c>
      <c r="G86" s="8" t="inlineStr"/>
      <c r="H86" s="9" t="inlineStr"/>
    </row>
    <row r="87" ht="15" customHeight="1"/>
    <row r="88" ht="15" customHeight="1">
      <c r="A88" s="7" t="inlineStr">
        <is>
          <t>Plan</t>
        </is>
      </c>
      <c r="B88" s="7" t="inlineStr">
        <is>
          <t>How its factors were mapped to the IRIS factors</t>
        </is>
      </c>
      <c r="C88" s="64" t="n"/>
      <c r="D88" s="64" t="n"/>
      <c r="E88" s="64" t="n"/>
      <c r="F88" s="64" t="n"/>
      <c r="G88" s="64" t="n"/>
      <c r="H88" s="63" t="n"/>
    </row>
    <row r="89" ht="41" customHeight="1">
      <c r="A89" s="14" t="inlineStr">
        <is>
          <t>NHS Agenda for Change Job Evaluation Scheme · 16 factors, 1,000 points</t>
        </is>
      </c>
      <c r="B89" s="9" t="inlineStr">
        <is>
          <t>Knowledge, training &amp; experience 240 + analytical and physical skills 120 → Complexity; freedom to act 60; patient care, information, R&amp;D 180; communication, planning, HR, policy 240; financial &amp; physical resources 60</t>
        </is>
      </c>
      <c r="C89" s="64" t="n"/>
      <c r="D89" s="64" t="n"/>
      <c r="E89" s="64" t="n"/>
      <c r="F89" s="64" t="n"/>
      <c r="G89" s="64" t="n"/>
      <c r="H89" s="63" t="n"/>
    </row>
    <row r="90" ht="41" customHeight="1">
      <c r="A90" s="14" t="inlineStr">
        <is>
          <t>UK local government 13-factor scheme · Police Staff Council version of the NJC scheme, 1,000 points</t>
        </is>
      </c>
      <c r="B90" s="9" t="inlineStr">
        <is>
          <t>Knowledge 163 + mental and physical skills 143; initiative &amp; independence 104; responsibility for people and physical resources 156; interpersonal and supervision 156; financial resources 78</t>
        </is>
      </c>
      <c r="C90" s="64" t="n"/>
      <c r="D90" s="64" t="n"/>
      <c r="E90" s="64" t="n"/>
      <c r="F90" s="64" t="n"/>
      <c r="G90" s="64" t="n"/>
      <c r="H90" s="63" t="n"/>
    </row>
    <row r="91" ht="28" customHeight="1">
      <c r="A91" s="14" t="inlineStr">
        <is>
          <t>Greater London Provincial Council scheme · 11 factors, 948 points</t>
        </is>
      </c>
      <c r="B91" s="9" t="inlineStr">
        <is>
          <t>Knowledge &amp; skill 272 + creativity 100; discretion 100; resources 50; contacts and supervision 246; consequences 60</t>
        </is>
      </c>
      <c r="C91" s="64" t="n"/>
      <c r="D91" s="64" t="n"/>
      <c r="E91" s="64" t="n"/>
      <c r="F91" s="64" t="n"/>
      <c r="G91" s="64" t="n"/>
      <c r="H91" s="63" t="n"/>
    </row>
    <row r="92" ht="28" customHeight="1">
      <c r="A92" s="14" t="inlineStr">
        <is>
          <t>Scottish Joint Council scheme · 13 factors, 1,000 points</t>
        </is>
      </c>
      <c r="B92" s="9" t="inlineStr">
        <is>
          <t>Knowledge 163 + mental skills and physical co-ordination 143; initiative 104; services to others and resources 156; communication and employees 156; financial 78</t>
        </is>
      </c>
      <c r="C92" s="64" t="n"/>
      <c r="D92" s="64" t="n"/>
      <c r="E92" s="64" t="n"/>
      <c r="F92" s="64" t="n"/>
      <c r="G92" s="64" t="n"/>
      <c r="H92" s="63" t="n"/>
    </row>
    <row r="93" ht="28" customHeight="1">
      <c r="A93" s="14" t="inlineStr">
        <is>
          <t>US OPM Factor Evaluation System · 9 factors, 4,480 points</t>
        </is>
      </c>
      <c r="B93" s="9" t="inlineStr">
        <is>
          <t>Knowledge required 1,850 + complexity 450; supervisory controls and guidelines 1,300; scope &amp; effect 450; personal contacts and purpose 330</t>
        </is>
      </c>
      <c r="C93" s="64" t="n"/>
      <c r="D93" s="64" t="n"/>
      <c r="E93" s="64" t="n"/>
      <c r="F93" s="64" t="n"/>
      <c r="G93" s="64" t="n"/>
      <c r="H93" s="63" t="n"/>
    </row>
    <row r="94" ht="15" customHeight="1"/>
    <row r="95" ht="15" customHeight="1">
      <c r="A95" s="12" t="inlineStr">
        <is>
          <r>
            <rPr>
              <rFont val="Calibri"/>
              <b val="1"/>
              <i val="1"/>
              <color rgb="00595959"/>
              <sz val="10"/>
            </rPr>
            <t>Sources:</t>
          </r>
          <r>
            <rPr>
              <rFont val="Calibri"/>
              <i val="1"/>
              <color rgb="00595959"/>
              <sz val="10"/>
            </rPr>
            <t xml:space="preserve"> S53 NHS · S54 Police Staff Council / NJC · S55 GLPC · S56 SJC · S57 US OPM.</t>
          </r>
        </is>
      </c>
    </row>
    <row r="96" ht="20" customHeight="1">
      <c r="A96" s="6" t="inlineStr">
        <is>
          <t>2. How weights shift with seniority — the Korn Ferry Hay profile</t>
        </is>
      </c>
    </row>
    <row r="97" ht="28" customHeight="1">
      <c r="A97" s="12" t="inlineStr">
        <is>
          <t>Share of Hay points by job type. Secondary source, used to set the slope by level only; the direction matches the official Canada TBS guidance: operations and line roles score relatively high in Accountability, thinking roles in Problem Solving.</t>
        </is>
      </c>
    </row>
    <row r="98" ht="28" customHeight="1">
      <c r="A98" s="7" t="inlineStr">
        <is>
          <t>Job type</t>
        </is>
      </c>
      <c r="B98" s="7" t="inlineStr">
        <is>
          <t>Know-How</t>
        </is>
      </c>
      <c r="C98" s="7" t="inlineStr">
        <is>
          <t>Problem Solving</t>
        </is>
      </c>
      <c r="D98" s="7" t="inlineStr">
        <is>
          <t>Accountability</t>
        </is>
      </c>
      <c r="E98" s="59" t="inlineStr"/>
      <c r="F98" s="59" t="inlineStr"/>
      <c r="G98" s="59" t="inlineStr"/>
      <c r="H98" s="7" t="inlineStr">
        <is>
          <t>Read as</t>
        </is>
      </c>
    </row>
    <row r="99" ht="15" customHeight="1">
      <c r="A99" s="14" t="inlineStr">
        <is>
          <t>Clerical</t>
        </is>
      </c>
      <c r="B99" s="8" t="inlineStr">
        <is>
          <t>73%</t>
        </is>
      </c>
      <c r="C99" s="8" t="inlineStr">
        <is>
          <t>14%</t>
        </is>
      </c>
      <c r="D99" s="8" t="inlineStr">
        <is>
          <t>14%</t>
        </is>
      </c>
      <c r="E99" s="9" t="inlineStr"/>
      <c r="F99" s="9" t="inlineStr"/>
      <c r="G99" s="9" t="inlineStr"/>
      <c r="H99" s="9" t="inlineStr">
        <is>
          <r>
            <rPr>
              <rFont val="Calibri"/>
              <b val="1"/>
              <sz val="10"/>
            </rPr>
            <t>Junior:</t>
          </r>
          <r>
            <rPr>
              <rFont val="Calibri"/>
              <sz val="10"/>
            </rPr>
            <t xml:space="preserve"> the work itself is almost everything</t>
          </r>
        </is>
      </c>
    </row>
    <row r="100" ht="15" customHeight="1">
      <c r="A100" s="14" t="inlineStr">
        <is>
          <t>Trade / technical</t>
        </is>
      </c>
      <c r="B100" s="8" t="inlineStr">
        <is>
          <t>66%</t>
        </is>
      </c>
      <c r="C100" s="8" t="inlineStr">
        <is>
          <t>15%</t>
        </is>
      </c>
      <c r="D100" s="8" t="inlineStr">
        <is>
          <t>19%</t>
        </is>
      </c>
      <c r="E100" s="9" t="inlineStr"/>
      <c r="F100" s="9" t="inlineStr"/>
      <c r="G100" s="9" t="inlineStr"/>
      <c r="H100" s="9" t="inlineStr">
        <is>
          <r>
            <rPr>
              <rFont val="Calibri"/>
              <b val="1"/>
              <sz val="10"/>
            </rPr>
            <t>Junior:</t>
          </r>
          <r>
            <rPr>
              <rFont val="Calibri"/>
              <sz val="10"/>
            </rPr>
            <t xml:space="preserve"> mostly know-how</t>
          </r>
        </is>
      </c>
    </row>
    <row r="101" ht="15" customHeight="1">
      <c r="A101" s="14" t="inlineStr">
        <is>
          <t>Specialist · research scientist</t>
        </is>
      </c>
      <c r="B101" s="8" t="inlineStr">
        <is>
          <t>56%</t>
        </is>
      </c>
      <c r="C101" s="8" t="inlineStr">
        <is>
          <t>28%</t>
        </is>
      </c>
      <c r="D101" s="8" t="inlineStr">
        <is>
          <t>16%</t>
        </is>
      </c>
      <c r="E101" s="9" t="inlineStr"/>
      <c r="F101" s="9" t="inlineStr"/>
      <c r="G101" s="9" t="inlineStr"/>
      <c r="H101" s="9" t="inlineStr">
        <is>
          <r>
            <rPr>
              <rFont val="Calibri"/>
              <b val="1"/>
              <sz val="10"/>
            </rPr>
            <t>Expert:</t>
          </r>
          <r>
            <rPr>
              <rFont val="Calibri"/>
              <sz val="10"/>
            </rPr>
            <t xml:space="preserve"> know-how and problem solving</t>
          </r>
        </is>
      </c>
    </row>
    <row r="102" ht="15" customHeight="1">
      <c r="A102" s="14" t="inlineStr">
        <is>
          <t>'Level' profile · staff functions</t>
        </is>
      </c>
      <c r="B102" s="8" t="inlineStr">
        <is>
          <t>50%</t>
        </is>
      </c>
      <c r="C102" s="8" t="inlineStr">
        <is>
          <t>25%</t>
        </is>
      </c>
      <c r="D102" s="8" t="inlineStr">
        <is>
          <t>25%</t>
        </is>
      </c>
      <c r="E102" s="9" t="inlineStr"/>
      <c r="F102" s="9" t="inlineStr"/>
      <c r="G102" s="9" t="inlineStr"/>
      <c r="H102" s="9" t="inlineStr">
        <is>
          <r>
            <rPr>
              <rFont val="Calibri"/>
              <b val="1"/>
              <sz val="10"/>
            </rPr>
            <t>Professional:</t>
          </r>
          <r>
            <rPr>
              <rFont val="Calibri"/>
              <sz val="10"/>
            </rPr>
            <t xml:space="preserve"> balanced</t>
          </r>
        </is>
      </c>
    </row>
    <row r="103" ht="15" customHeight="1">
      <c r="A103" s="14" t="inlineStr">
        <is>
          <t>Supervisory / line manager</t>
        </is>
      </c>
      <c r="B103" s="8" t="inlineStr">
        <is>
          <t>47%</t>
        </is>
      </c>
      <c r="C103" s="8" t="inlineStr">
        <is>
          <t>21%</t>
        </is>
      </c>
      <c r="D103" s="8" t="inlineStr">
        <is>
          <t>32%</t>
        </is>
      </c>
      <c r="E103" s="9" t="inlineStr"/>
      <c r="F103" s="9" t="inlineStr"/>
      <c r="G103" s="9" t="inlineStr"/>
      <c r="H103" s="9" t="inlineStr">
        <is>
          <r>
            <rPr>
              <rFont val="Calibri"/>
              <b val="1"/>
              <sz val="10"/>
            </rPr>
            <t>Manager:</t>
          </r>
          <r>
            <rPr>
              <rFont val="Calibri"/>
              <sz val="10"/>
            </rPr>
            <t xml:space="preserve"> accountability rises to a third</t>
          </r>
        </is>
      </c>
    </row>
    <row r="104" ht="15" customHeight="1"/>
    <row r="105" ht="41" customHeight="1">
      <c r="A105" s="12" t="inlineStr">
        <is>
          <r>
            <rPr>
              <rFont val="Calibri"/>
              <b val="1"/>
              <i val="1"/>
              <color rgb="00595959"/>
              <sz val="10"/>
            </rPr>
            <t>Sources:</t>
          </r>
          <r>
            <rPr>
              <rFont val="Calibri"/>
              <i val="1"/>
              <color rgb="00595959"/>
              <sz val="10"/>
            </rPr>
            <t xml:space="preserve"> S46, S47 Canada TBS Hay evaluations · S48, S50 Hay typical profiles. S06 Hay short profile · 'Level' profile. Type-of-work shift: Basis: S06 Hay short profile — A-type delivery jobs weight accountability, P-type thinking jobs weight problem solving, L-type are balanced. The ±5 size is an IRIS design rule, kept small so the market defaults stay in control.</t>
          </r>
        </is>
      </c>
    </row>
    <row r="106" ht="20" customHeight="1">
      <c r="A106" s="6" t="inlineStr">
        <is>
          <t>3. Experience &amp; Qualification — why it can be kept low</t>
        </is>
      </c>
    </row>
    <row r="107" ht="15" customHeight="1">
      <c r="A107" s="7" t="inlineStr">
        <is>
          <t>Method or study</t>
        </is>
      </c>
      <c r="B107" s="63" t="n"/>
      <c r="C107" s="7" t="inlineStr">
        <is>
          <t>What it says</t>
        </is>
      </c>
      <c r="D107" s="64" t="n"/>
      <c r="E107" s="64" t="n"/>
      <c r="F107" s="63" t="n"/>
      <c r="G107" s="7" t="inlineStr">
        <is>
          <t>Source</t>
        </is>
      </c>
      <c r="H107" s="63" t="n"/>
    </row>
    <row r="108" ht="41" customHeight="1">
      <c r="A108" s="14" t="inlineStr">
        <is>
          <t>Korn Ferry Hay</t>
        </is>
      </c>
      <c r="B108" s="63" t="n"/>
      <c r="C108" s="9" t="inlineStr">
        <is>
          <r>
            <rPr>
              <rFont val="Calibri"/>
              <b val="1"/>
              <sz val="10"/>
            </rPr>
            <t>Experience sits inside Know-How:</t>
          </r>
          <r>
            <rPr>
              <rFont val="Calibri"/>
              <sz val="10"/>
            </rPr>
            <t xml:space="preserve"> 'the sum total of every kind of knowledge and skill, however acquired' — no separate experience factor</t>
          </r>
        </is>
      </c>
      <c r="D108" s="64" t="n"/>
      <c r="E108" s="64" t="n"/>
      <c r="F108" s="63" t="n"/>
      <c r="G108" s="9" t="inlineStr">
        <is>
          <t>S05, S46, S49 · Canada TBS Executive Group plan; Lincolnshire CC Hay guide</t>
        </is>
      </c>
      <c r="H108" s="63" t="n"/>
    </row>
    <row r="109" ht="54" customHeight="1">
      <c r="A109" s="14" t="inlineStr">
        <is>
          <t>Mercer IPE</t>
        </is>
      </c>
      <c r="B109" s="63" t="n"/>
      <c r="C109" s="9" t="inlineStr">
        <is>
          <r>
            <rPr>
              <rFont val="Calibri"/>
              <b val="1"/>
              <sz val="10"/>
            </rPr>
            <t>Five factors:</t>
          </r>
          <r>
            <rPr>
              <rFont val="Calibri"/>
              <sz val="10"/>
            </rPr>
            <t xml:space="preserve"> Impact, Communication, Innovation, Knowledge, Risk. Knowledge 'may be acquired through formal education and/or work experience' — no separate experience factor</t>
          </r>
        </is>
      </c>
      <c r="D109" s="64" t="n"/>
      <c r="E109" s="64" t="n"/>
      <c r="F109" s="63" t="n"/>
      <c r="G109" s="9" t="inlineStr">
        <is>
          <t>S04, S52 · mercer.com/en-in · IPE factor sheet · third-party copy</t>
        </is>
      </c>
      <c r="H109" s="63" t="n"/>
    </row>
    <row r="110" ht="54" customHeight="1">
      <c r="A110" s="14" t="inlineStr">
        <is>
          <t>WTW Global Grading System</t>
        </is>
      </c>
      <c r="B110" s="63" t="n"/>
      <c r="C110" s="9" t="inlineStr">
        <is>
          <r>
            <rPr>
              <rFont val="Calibri"/>
              <b val="1"/>
              <sz val="10"/>
            </rPr>
            <t>Seven factors:</t>
          </r>
          <r>
            <rPr>
              <rFont val="Calibri"/>
              <sz val="10"/>
            </rPr>
            <t xml:space="preserve"> functional knowledge, business expertise, leadership, problem solving, nature of impact, area of impact, interpersonal skills — experience appears only in grade descriptors</t>
          </r>
        </is>
      </c>
      <c r="D110" s="64" t="n"/>
      <c r="E110" s="64" t="n"/>
      <c r="F110" s="63" t="n"/>
      <c r="G110" s="9" t="inlineStr">
        <is>
          <t>S07 · WTW report to the School Teachers' Review Body, p. 19 · assets.publishing.service.gov.uk</t>
        </is>
      </c>
      <c r="H110" s="63" t="n"/>
    </row>
    <row r="111" ht="28" customHeight="1">
      <c r="A111" s="14" t="inlineStr">
        <is>
          <t>Public point-factor plans above</t>
        </is>
      </c>
      <c r="B111" s="63" t="n"/>
      <c r="C111" s="9" t="inlineStr">
        <is>
          <t>Knowledge factors rate what the job requires, not the person's years; none scores tenure</t>
        </is>
      </c>
      <c r="D111" s="64" t="n"/>
      <c r="E111" s="64" t="n"/>
      <c r="F111" s="63" t="n"/>
      <c r="G111" s="9" t="inlineStr">
        <is>
          <t>S53–S57 · NHS, PSC/NJC, GLPC, SJC, OPM</t>
        </is>
      </c>
      <c r="H111" s="63" t="n"/>
    </row>
    <row r="112" ht="28" customHeight="1">
      <c r="A112" s="14" t="inlineStr">
        <is>
          <t>McKinsey, 2022</t>
        </is>
      </c>
      <c r="B112" s="63" t="n"/>
      <c r="C112" s="9" t="inlineStr">
        <is>
          <t>Hiring for skills is 'more than two times more predictive than hiring for work experience'</t>
        </is>
      </c>
      <c r="D112" s="64" t="n"/>
      <c r="E112" s="64" t="n"/>
      <c r="F112" s="63" t="n"/>
      <c r="G112" s="9" t="inlineStr">
        <is>
          <t>S58 · mckinsey.com — Taking a skills-based approach</t>
        </is>
      </c>
      <c r="H112" s="63" t="n"/>
    </row>
    <row r="113" ht="28" customHeight="1">
      <c r="A113" s="14" t="inlineStr">
        <is>
          <t>Deloitte Human Capital Trends, 2023</t>
        </is>
      </c>
      <c r="B113" s="63" t="n"/>
      <c r="C113" s="9" t="inlineStr">
        <is>
          <t>Promote and deploy on skills 'versus tenure, job history, or network'</t>
        </is>
      </c>
      <c r="D113" s="64" t="n"/>
      <c r="E113" s="64" t="n"/>
      <c r="F113" s="63" t="n"/>
      <c r="G113" s="9" t="inlineStr">
        <is>
          <t>S59 · deloitte.com/us/en/insights</t>
        </is>
      </c>
      <c r="H113" s="63" t="n"/>
    </row>
    <row r="114" ht="28" customHeight="1">
      <c r="A114" s="14" t="inlineStr">
        <is>
          <t>World Economic Forum, 2024</t>
        </is>
      </c>
      <c r="B114" s="63" t="n"/>
      <c r="C114" s="9" t="inlineStr">
        <is>
          <t>Rethink 'educational achievement and previous experience as proxies'</t>
        </is>
      </c>
      <c r="D114" s="64" t="n"/>
      <c r="E114" s="64" t="n"/>
      <c r="F114" s="63" t="n"/>
      <c r="G114" s="9" t="inlineStr">
        <is>
          <t>S60 · weforum.org — skills-first</t>
        </is>
      </c>
      <c r="H114" s="63" t="n"/>
    </row>
    <row r="115" ht="41" customHeight="1">
      <c r="A115" s="14" t="inlineStr">
        <is>
          <t>EY Future of Pay, India 2026</t>
        </is>
      </c>
      <c r="B115" s="63" t="n"/>
      <c r="C115" s="9" t="inlineStr">
        <is>
          <t>India pay moving 'away from tenure-based increases towards skills-led and performance-driven frameworks'</t>
        </is>
      </c>
      <c r="D115" s="64" t="n"/>
      <c r="E115" s="64" t="n"/>
      <c r="F115" s="63" t="n"/>
      <c r="G115" s="9" t="inlineStr">
        <is>
          <t>S61 · peoplematters.in, Feb 2026</t>
        </is>
      </c>
      <c r="H115" s="63" t="n"/>
    </row>
    <row r="116" ht="15" customHeight="1"/>
    <row r="117" ht="20" customHeight="1">
      <c r="A117" s="6" t="inlineStr">
        <is>
          <t>4. Business Impact — how the methods measure it</t>
        </is>
      </c>
    </row>
    <row r="118" ht="15" customHeight="1">
      <c r="A118" s="7" t="inlineStr">
        <is>
          <t>Method</t>
        </is>
      </c>
      <c r="B118" s="63" t="n"/>
      <c r="C118" s="7" t="inlineStr">
        <is>
          <t>How impact is measured</t>
        </is>
      </c>
      <c r="D118" s="64" t="n"/>
      <c r="E118" s="64" t="n"/>
      <c r="F118" s="64" t="n"/>
      <c r="G118" s="63" t="n"/>
      <c r="H118" s="7" t="inlineStr">
        <is>
          <t>Source</t>
        </is>
      </c>
    </row>
    <row r="119" ht="41" customHeight="1">
      <c r="A119" s="14" t="inlineStr">
        <is>
          <t>Korn Ferry Hay</t>
        </is>
      </c>
      <c r="B119" s="63" t="n"/>
      <c r="C119" s="9" t="inlineStr">
        <is>
          <t>Accountability = freedom to act + area / magnitude + nature of impact · remote → contributory → shared → prime; its share rises with seniority</t>
        </is>
      </c>
      <c r="D119" s="64" t="n"/>
      <c r="E119" s="64" t="n"/>
      <c r="F119" s="64" t="n"/>
      <c r="G119" s="63" t="n"/>
      <c r="H119" s="9" t="inlineStr">
        <is>
          <t>S05, S46</t>
        </is>
      </c>
    </row>
    <row r="120" ht="41" customHeight="1">
      <c r="A120" s="14" t="inlineStr">
        <is>
          <t>Mercer IPE</t>
        </is>
      </c>
      <c r="B120" s="63" t="n"/>
      <c r="C120" s="9" t="inlineStr">
        <is>
          <t>Impact = depth and breadth of influence on the organisation, scaled by organisation size; contribution rated limited → some → direct → significant → major</t>
        </is>
      </c>
      <c r="D120" s="64" t="n"/>
      <c r="E120" s="64" t="n"/>
      <c r="F120" s="64" t="n"/>
      <c r="G120" s="63" t="n"/>
      <c r="H120" s="9" t="inlineStr">
        <is>
          <t>S04, S52</t>
        </is>
      </c>
    </row>
    <row r="121" ht="28" customHeight="1">
      <c r="A121" s="14" t="inlineStr">
        <is>
          <t>WTW GGS</t>
        </is>
      </c>
      <c r="B121" s="63" t="n"/>
      <c r="C121" s="9" t="inlineStr">
        <is>
          <r>
            <rPr>
              <rFont val="Calibri"/>
              <b val="1"/>
              <sz val="10"/>
            </rPr>
            <t>Two impact factors:</t>
          </r>
          <r>
            <rPr>
              <rFont val="Calibri"/>
              <sz val="10"/>
            </rPr>
            <t xml:space="preserve"> nature of impact · how the job affects the business and area of impact · which part of the organisation</t>
          </r>
        </is>
      </c>
      <c r="D121" s="64" t="n"/>
      <c r="E121" s="64" t="n"/>
      <c r="F121" s="64" t="n"/>
      <c r="G121" s="63" t="n"/>
      <c r="H121" s="9" t="inlineStr">
        <is>
          <t>S07</t>
        </is>
      </c>
    </row>
    <row r="122" ht="28" customHeight="1">
      <c r="A122" s="14" t="inlineStr">
        <is>
          <t>Public point-factor plans</t>
        </is>
      </c>
      <c r="B122" s="63" t="n"/>
      <c r="C122" s="9" t="inlineStr">
        <is>
          <t>A separate financial / consequences factor carries 7–10% of points · mean 6.7%, OPM none</t>
        </is>
      </c>
      <c r="D122" s="64" t="n"/>
      <c r="E122" s="64" t="n"/>
      <c r="F122" s="64" t="n"/>
      <c r="G122" s="63" t="n"/>
      <c r="H122" s="9" t="inlineStr">
        <is>
          <t>S53–S57</t>
        </is>
      </c>
    </row>
    <row r="123" ht="15" customHeight="1"/>
    <row r="124" ht="20" customHeight="1">
      <c r="A124" s="6" t="inlineStr">
        <is>
          <t>5. IRIS defaults against the benchmark</t>
        </is>
      </c>
    </row>
    <row r="125" ht="67" customHeight="1">
      <c r="A125" s="12" t="inlineStr">
        <is>
          <r>
            <rPr>
              <rFont val="Calibri"/>
              <b val="1"/>
              <i val="1"/>
              <color rgb="00595959"/>
              <sz val="10"/>
            </rPr>
            <t>How IRIS sets its defaults:</t>
          </r>
          <r>
            <rPr>
              <rFont val="Calibri"/>
              <i val="1"/>
              <color rgb="00595959"/>
              <sz val="10"/>
            </rPr>
            <t xml:space="preserve"> each role group is the average of Hay, Mercer IPE and the public plans. Checks: the share of each factor across all IRIS roles is set against the plans' range; the slope by level follows the Hay progression — know-how falls and accountability rises as roles become more senior; Experience &amp; Qualification is a leadership decision held at 10% in Bands A–B and 5% in Bands C–E, which the methods support because none of them scores experience on its own; Business Impact is the nature-of-impact part of Hay's accountability and Mercer's impact, 6–9%, in line with the plans' financial factor; the type of work then moves a weight by ±5 in each department.</t>
          </r>
        </is>
      </c>
    </row>
    <row r="126" ht="41" customHeight="1">
      <c r="A126" s="7" t="inlineStr">
        <is>
          <t>Factor</t>
        </is>
      </c>
      <c r="B126" s="7" t="inlineStr">
        <is>
          <t>IRIS, average of 540 scored roles</t>
        </is>
      </c>
      <c r="C126" s="7" t="inlineStr">
        <is>
          <t>Plans' average</t>
        </is>
      </c>
      <c r="D126" s="7" t="inlineStr">
        <is>
          <t>Plans' range</t>
        </is>
      </c>
      <c r="E126" s="7" t="inlineStr">
        <is>
          <t>Result</t>
        </is>
      </c>
      <c r="F126" s="59" t="inlineStr"/>
      <c r="G126" s="59" t="inlineStr"/>
      <c r="H126" s="7" t="inlineStr">
        <is>
          <t>Why</t>
        </is>
      </c>
    </row>
    <row r="127" ht="28" customHeight="1">
      <c r="A127" s="14" t="inlineStr">
        <is>
          <t>Complexity &amp; Expertise</t>
        </is>
      </c>
      <c r="B127" s="8" t="inlineStr">
        <is>
          <t>54.6%</t>
        </is>
      </c>
      <c r="C127" s="8" t="inlineStr">
        <is>
          <t>42.8%</t>
        </is>
      </c>
      <c r="D127" s="8" t="inlineStr">
        <is>
          <t>38–52%</t>
        </is>
      </c>
      <c r="E127" s="8" t="inlineStr">
        <is>
          <t>Above</t>
        </is>
      </c>
      <c r="F127" s="9" t="inlineStr"/>
      <c r="G127" s="9" t="inlineStr"/>
      <c r="H127" s="9" t="inlineStr">
        <is>
          <t>The job's knowledge and problem solving — the largest share, as in every plan</t>
        </is>
      </c>
    </row>
    <row r="128" ht="15" customHeight="1">
      <c r="A128" s="14" t="inlineStr">
        <is>
          <t>Autonomy &amp; Decision</t>
        </is>
      </c>
      <c r="B128" s="8" t="inlineStr">
        <is>
          <t>17.2%</t>
        </is>
      </c>
      <c r="C128" s="8" t="inlineStr">
        <is>
          <t>14.9%</t>
        </is>
      </c>
      <c r="D128" s="8" t="inlineStr">
        <is>
          <t>7–30%</t>
        </is>
      </c>
      <c r="E128" s="8" t="inlineStr">
        <is>
          <t>Inside</t>
        </is>
      </c>
      <c r="F128" s="9" t="inlineStr"/>
      <c r="G128" s="9" t="inlineStr"/>
      <c r="H128" s="9" t="inlineStr">
        <is>
          <t>Close to the plans' average</t>
        </is>
      </c>
    </row>
    <row r="129" ht="15" customHeight="1">
      <c r="A129" s="14" t="inlineStr">
        <is>
          <t>Accountability &amp; Impact</t>
        </is>
      </c>
      <c r="B129" s="8" t="inlineStr">
        <is>
          <t>7.5%</t>
        </is>
      </c>
      <c r="C129" s="8" t="inlineStr">
        <is>
          <t>15.1%</t>
        </is>
      </c>
      <c r="D129" s="8" t="inlineStr">
        <is>
          <t>6–20%</t>
        </is>
      </c>
      <c r="E129" s="8" t="inlineStr">
        <is>
          <t>Inside</t>
        </is>
      </c>
      <c r="F129" s="9" t="inlineStr"/>
      <c r="G129" s="9" t="inlineStr"/>
      <c r="H129" s="9" t="inlineStr">
        <is>
          <t>Close to the plans' average; rises with level</t>
        </is>
      </c>
    </row>
    <row r="130" ht="41" customHeight="1">
      <c r="A130" s="14" t="inlineStr">
        <is>
          <t>Leadership &amp; Strategy</t>
        </is>
      </c>
      <c r="B130" s="8" t="inlineStr">
        <is>
          <t>3.3%</t>
        </is>
      </c>
      <c r="C130" s="8" t="inlineStr">
        <is>
          <t>20.6%</t>
        </is>
      </c>
      <c r="D130" s="8" t="inlineStr">
        <is>
          <t>8–30%</t>
        </is>
      </c>
      <c r="E130" s="8" t="inlineStr">
        <is>
          <t>Below</t>
        </is>
      </c>
      <c r="F130" s="9" t="inlineStr"/>
      <c r="G130" s="9" t="inlineStr"/>
      <c r="H130" s="9" t="inlineStr">
        <is>
          <t>IRIS counts people leadership only, so individual contributors score 0–10%; managers and leaders 20–25%, inside the range</t>
        </is>
      </c>
    </row>
    <row r="131" ht="28" customHeight="1">
      <c r="A131" s="14" t="inlineStr">
        <is>
          <t>Business Impact</t>
        </is>
      </c>
      <c r="B131" s="8" t="inlineStr">
        <is>
          <t>7.5%</t>
        </is>
      </c>
      <c r="C131" s="8" t="inlineStr">
        <is>
          <t>6.7%</t>
        </is>
      </c>
      <c r="D131" s="8" t="inlineStr">
        <is>
          <t>0–10%</t>
        </is>
      </c>
      <c r="E131" s="8" t="inlineStr">
        <is>
          <t>Inside</t>
        </is>
      </c>
      <c r="F131" s="9" t="inlineStr"/>
      <c r="G131" s="9" t="inlineStr"/>
      <c r="H131" s="9" t="inlineStr">
        <is>
          <t>The nature-of-impact part of accountability, as in Hay and Mercer IPE; in line with the plans' financial factor</t>
        </is>
      </c>
    </row>
    <row r="132" ht="41" customHeight="1">
      <c r="A132" s="14" t="inlineStr">
        <is>
          <t>Experience &amp; Qualification</t>
        </is>
      </c>
      <c r="B132" s="8" t="inlineStr">
        <is>
          <t>10.0%</t>
        </is>
      </c>
      <c r="C132" s="8" t="inlineStr">
        <is>
          <t>—</t>
        </is>
      </c>
      <c r="D132" s="8" t="inlineStr">
        <is>
          <t>not a separate factor</t>
        </is>
      </c>
      <c r="E132" s="8" t="inlineStr">
        <is>
          <t>Policy</t>
        </is>
      </c>
      <c r="F132" s="9" t="inlineStr"/>
      <c r="G132" s="9" t="inlineStr"/>
      <c r="H132" s="9" t="inlineStr">
        <is>
          <r>
            <rPr>
              <rFont val="Calibri"/>
              <b val="1"/>
              <sz val="10"/>
            </rPr>
            <t>Leadership decision:</t>
          </r>
          <r>
            <rPr>
              <rFont val="Calibri"/>
              <sz val="10"/>
            </rPr>
            <t xml:space="preserve"> 10% in Bands A–B, 5% in Bands C–E — the lowest that still separates a fresher from an experienced hire</t>
          </r>
        </is>
      </c>
    </row>
    <row r="133" ht="15" customHeight="1"/>
    <row r="134" ht="15" customHeight="1">
      <c r="A134" s="12" t="inlineStr">
        <is>
          <t>The default weights by role group are on sheet 1c and the Weightage Matrix; each department's row there can be changed by its leaders.</t>
        </is>
      </c>
    </row>
    <row r="135" ht="28" customHeight="1">
      <c r="A135" s="7" t="inlineStr">
        <is>
          <t>Role group</t>
        </is>
      </c>
      <c r="B135" s="7" t="inlineStr">
        <is>
          <t>Complexity</t>
        </is>
      </c>
      <c r="C135" s="7" t="inlineStr">
        <is>
          <t>Autonomy</t>
        </is>
      </c>
      <c r="D135" s="7" t="inlineStr">
        <is>
          <t>Accountability</t>
        </is>
      </c>
      <c r="E135" s="7" t="inlineStr">
        <is>
          <t>Leadership</t>
        </is>
      </c>
      <c r="F135" s="7" t="inlineStr">
        <is>
          <t>Experience</t>
        </is>
      </c>
      <c r="G135" s="7" t="inlineStr">
        <is>
          <t>Business impact</t>
        </is>
      </c>
      <c r="H135" s="7" t="inlineStr">
        <is>
          <t>Why</t>
        </is>
      </c>
    </row>
    <row r="136" ht="80" customHeight="1">
      <c r="A136" s="14" t="inlineStr">
        <is>
          <t>Band A</t>
        </is>
      </c>
      <c r="B136" s="8" t="inlineStr">
        <is>
          <t>59%</t>
        </is>
      </c>
      <c r="C136" s="8" t="inlineStr">
        <is>
          <t>16%</t>
        </is>
      </c>
      <c r="D136" s="8" t="inlineStr">
        <is>
          <t>9%</t>
        </is>
      </c>
      <c r="E136" s="8" t="inlineStr">
        <is>
          <t>0%</t>
        </is>
      </c>
      <c r="F136" s="8" t="inlineStr">
        <is>
          <t>10%</t>
        </is>
      </c>
      <c r="G136" s="8" t="inlineStr">
        <is>
          <t>6%</t>
        </is>
      </c>
      <c r="H136" s="9" t="inlineStr">
        <is>
          <r>
            <rPr>
              <rFont val="Calibri"/>
              <b val="1"/>
              <sz val="10"/>
            </rPr>
            <t>Junior work is judged on the work itself:</t>
          </r>
          <r>
            <rPr>
              <rFont val="Calibri"/>
              <sz val="10"/>
            </rPr>
            <t xml:space="preserve"> Hay puts know-how at 73% for clerical jobs and Mercer IPE knowledge plus innovation at 61%; leadership is not expected. Sources: S46–S51 Korn Ferry Hay evaluations · S04, S52 Mercer IPE · S53–S57 NHS, UK NJC/PSC, GLPC, SJC and US OPM point-factor plans.</t>
          </r>
        </is>
      </c>
    </row>
    <row r="137" ht="67" customHeight="1">
      <c r="A137" s="14" t="inlineStr">
        <is>
          <t>Band B · IC / POD Lead</t>
        </is>
      </c>
      <c r="B137" s="8" t="inlineStr">
        <is>
          <t>51%</t>
        </is>
      </c>
      <c r="C137" s="8" t="inlineStr">
        <is>
          <t>17%</t>
        </is>
      </c>
      <c r="D137" s="8" t="inlineStr">
        <is>
          <t>10%</t>
        </is>
      </c>
      <c r="E137" s="8" t="inlineStr">
        <is>
          <t>5%</t>
        </is>
      </c>
      <c r="F137" s="8" t="inlineStr">
        <is>
          <t>10%</t>
        </is>
      </c>
      <c r="G137" s="8" t="inlineStr">
        <is>
          <t>7%</t>
        </is>
      </c>
      <c r="H137" s="9" t="inlineStr">
        <is>
          <r>
            <rPr>
              <rFont val="Calibri"/>
              <b val="1"/>
              <sz val="10"/>
            </rPr>
            <t>Professional and expert work:</t>
          </r>
          <r>
            <rPr>
              <rFont val="Calibri"/>
              <sz val="10"/>
            </rPr>
            <t xml:space="preserve"> the knowledge and problem solving the job needs lead, as in Hay's professional profile and Mercer IPE. Sources: S46–S51 Korn Ferry Hay evaluations · S04, S52 Mercer IPE · S53–S57 NHS, UK NJC/PSC, GLPC, SJC and US OPM point-factor plans.</t>
          </r>
        </is>
      </c>
    </row>
    <row r="138" ht="67" customHeight="1">
      <c r="A138" s="14" t="inlineStr">
        <is>
          <t>Band B · People Manager</t>
        </is>
      </c>
      <c r="B138" s="8" t="inlineStr">
        <is>
          <t>37%</t>
        </is>
      </c>
      <c r="C138" s="8" t="inlineStr">
        <is>
          <t>18%</t>
        </is>
      </c>
      <c r="D138" s="8" t="inlineStr">
        <is>
          <t>11%</t>
        </is>
      </c>
      <c r="E138" s="8" t="inlineStr">
        <is>
          <t>15%</t>
        </is>
      </c>
      <c r="F138" s="8" t="inlineStr">
        <is>
          <t>10%</t>
        </is>
      </c>
      <c r="G138" s="8" t="inlineStr">
        <is>
          <t>9%</t>
        </is>
      </c>
      <c r="H138" s="9" t="inlineStr">
        <is>
          <r>
            <rPr>
              <rFont val="Calibri"/>
              <b val="1"/>
              <sz val="10"/>
            </rPr>
            <t>Results come through a team:</t>
          </r>
          <r>
            <rPr>
              <rFont val="Calibri"/>
              <sz val="10"/>
            </rPr>
            <t xml:space="preserve"> leadership 15%, autonomy and accountability rise, as in Hay's supervisory profile, accountability 32%. Sources: S46–S51 Korn Ferry Hay evaluations · S04, S52 Mercer IPE · S53–S57 NHS, UK NJC/PSC, GLPC, SJC and US OPM point-factor plans.</t>
          </r>
        </is>
      </c>
    </row>
    <row r="139" ht="54" customHeight="1">
      <c r="A139" s="14" t="inlineStr">
        <is>
          <t>Band C · Principal specialist</t>
        </is>
      </c>
      <c r="B139" s="8" t="inlineStr">
        <is>
          <t>54%</t>
        </is>
      </c>
      <c r="C139" s="8" t="inlineStr">
        <is>
          <t>18%</t>
        </is>
      </c>
      <c r="D139" s="8" t="inlineStr">
        <is>
          <t>10%</t>
        </is>
      </c>
      <c r="E139" s="8" t="inlineStr">
        <is>
          <t>5%</t>
        </is>
      </c>
      <c r="F139" s="8" t="inlineStr">
        <is>
          <t>5%</t>
        </is>
      </c>
      <c r="G139" s="8" t="inlineStr">
        <is>
          <t>8%</t>
        </is>
      </c>
      <c r="H139" s="9" t="inlineStr">
        <is>
          <r>
            <rPr>
              <rFont val="Calibri"/>
              <b val="1"/>
              <sz val="10"/>
            </rPr>
            <t>Principal authority:</t>
          </r>
          <r>
            <rPr>
              <rFont val="Calibri"/>
              <sz val="10"/>
            </rPr>
            <t xml:space="preserve"> expertise still leads, as in Hay's 'level' profile 50 / 25 / 25; experience 5%. Sources: S46–S51 Korn Ferry Hay evaluations · S04, S52 Mercer IPE · S53–S57 NHS, UK NJC/PSC, GLPC, SJC and US OPM point-factor plans.</t>
          </r>
        </is>
      </c>
    </row>
    <row r="140" ht="67" customHeight="1">
      <c r="A140" s="14" t="inlineStr">
        <is>
          <t>Band C · Head / manager</t>
        </is>
      </c>
      <c r="B140" s="8" t="inlineStr">
        <is>
          <t>43%</t>
        </is>
      </c>
      <c r="C140" s="8" t="inlineStr">
        <is>
          <t>18%</t>
        </is>
      </c>
      <c r="D140" s="8" t="inlineStr">
        <is>
          <t>11%</t>
        </is>
      </c>
      <c r="E140" s="8" t="inlineStr">
        <is>
          <t>15%</t>
        </is>
      </c>
      <c r="F140" s="8" t="inlineStr">
        <is>
          <t>5%</t>
        </is>
      </c>
      <c r="G140" s="8" t="inlineStr">
        <is>
          <t>8%</t>
        </is>
      </c>
      <c r="H140" s="9" t="inlineStr">
        <is>
          <t>Heads answer for a function through managers, as in Hay's manager and EX-1 evaluations: leadership 15%, accountability and impact rise. Sources: S46–S51 Korn Ferry Hay evaluations · S04, S52 Mercer IPE · S53–S57 NHS, UK NJC/PSC, GLPC, SJC and US OPM point-factor plans.</t>
        </is>
      </c>
    </row>
    <row r="141" ht="67" customHeight="1">
      <c r="A141" s="14" t="inlineStr">
        <is>
          <t>Bands D–E</t>
        </is>
      </c>
      <c r="B141" s="8" t="inlineStr">
        <is>
          <t>37%</t>
        </is>
      </c>
      <c r="C141" s="8" t="inlineStr">
        <is>
          <t>19%</t>
        </is>
      </c>
      <c r="D141" s="8" t="inlineStr">
        <is>
          <t>11%</t>
        </is>
      </c>
      <c r="E141" s="8" t="inlineStr">
        <is>
          <t>20%</t>
        </is>
      </c>
      <c r="F141" s="8" t="inlineStr">
        <is>
          <t>5%</t>
        </is>
      </c>
      <c r="G141" s="8" t="inlineStr">
        <is>
          <t>8%</t>
        </is>
      </c>
      <c r="H141" s="9" t="inlineStr">
        <is>
          <t>Business and enterprise leaders, as in Hay's EX-2 and EX-3 evaluations: leadership 20%, autonomy, accountability and impact 38%. Sources: S46–S51 Korn Ferry Hay evaluations · S04, S52 Mercer IPE · S53–S57 NHS, UK NJC/PSC, GLPC, SJC and US OPM point-factor plans.</t>
        </is>
      </c>
    </row>
    <row r="142" ht="54" customHeight="1">
      <c r="A142" s="14" t="inlineStr">
        <is>
          <t>Player-Coach · B+</t>
        </is>
      </c>
      <c r="B142" s="8" t="inlineStr">
        <is>
          <t>44%</t>
        </is>
      </c>
      <c r="C142" s="8" t="inlineStr">
        <is>
          <t>18%</t>
        </is>
      </c>
      <c r="D142" s="8" t="inlineStr">
        <is>
          <t>10%</t>
        </is>
      </c>
      <c r="E142" s="8" t="inlineStr">
        <is>
          <t>10%</t>
        </is>
      </c>
      <c r="F142" s="8" t="inlineStr">
        <is>
          <t>10%</t>
        </is>
      </c>
      <c r="G142" s="8" t="inlineStr">
        <is>
          <t>8%</t>
        </is>
      </c>
      <c r="H142" s="9" t="inlineStr">
        <is>
          <r>
            <rPr>
              <rFont val="Calibri"/>
              <b val="1"/>
              <sz val="10"/>
            </rPr>
            <t>Half expert, half leader:</t>
          </r>
          <r>
            <rPr>
              <rFont val="Calibri"/>
              <sz val="10"/>
            </rPr>
            <t xml:space="preserve"> between the Band B expert and manager rows. Sources: S46–S51 Korn Ferry Hay evaluations · S04, S52 Mercer IPE · S53–S57 NHS, UK NJC/PSC, GLPC, SJC and US OPM point-factor plans.</t>
          </r>
        </is>
      </c>
    </row>
    <row r="143" ht="54" customHeight="1">
      <c r="A143" s="14" t="inlineStr">
        <is>
          <t>Player-Coach · C+</t>
        </is>
      </c>
      <c r="B143" s="8" t="inlineStr">
        <is>
          <t>38%</t>
        </is>
      </c>
      <c r="C143" s="8" t="inlineStr">
        <is>
          <t>18%</t>
        </is>
      </c>
      <c r="D143" s="8" t="inlineStr">
        <is>
          <t>11%</t>
        </is>
      </c>
      <c r="E143" s="8" t="inlineStr">
        <is>
          <t>20%</t>
        </is>
      </c>
      <c r="F143" s="8" t="inlineStr">
        <is>
          <t>5%</t>
        </is>
      </c>
      <c r="G143" s="8" t="inlineStr">
        <is>
          <t>8%</t>
        </is>
      </c>
      <c r="H143" s="9" t="inlineStr">
        <is>
          <r>
            <rPr>
              <rFont val="Calibri"/>
              <b val="1"/>
              <sz val="10"/>
            </rPr>
            <t>Leads a function and still delivers personally:</t>
          </r>
          <r>
            <rPr>
              <rFont val="Calibri"/>
              <sz val="10"/>
            </rPr>
            <t xml:space="preserve"> between the Band C head and Bands D–E rows. Sources: S46–S51 Korn Ferry Hay evaluations · S04, S52 Mercer IPE · S53–S57 NHS, UK NJC/PSC, GLPC, SJC and US OPM point-factor plans.</t>
          </r>
        </is>
      </c>
    </row>
    <row r="144" ht="15" customHeight="1"/>
    <row r="145" ht="20" customHeight="1">
      <c r="A145" s="6" t="inlineStr">
        <is>
          <t>6. Titles — no Director, no Fellow</t>
        </is>
      </c>
    </row>
    <row r="146" ht="15" customHeight="1">
      <c r="A146" s="7" t="inlineStr">
        <is>
          <t>Decision</t>
        </is>
      </c>
      <c r="B146" s="63" t="n"/>
      <c r="C146" s="7" t="inlineStr">
        <is>
          <t>Why</t>
        </is>
      </c>
      <c r="D146" s="64" t="n"/>
      <c r="E146" s="64" t="n"/>
      <c r="F146" s="63" t="n"/>
      <c r="G146" s="7" t="inlineStr">
        <is>
          <t>Source</t>
        </is>
      </c>
      <c r="H146" s="63" t="n"/>
    </row>
    <row r="147" ht="119" customHeight="1">
      <c r="A147" s="14" t="inlineStr">
        <is>
          <t>No 'Director' title</t>
        </is>
      </c>
      <c r="B147" s="63" t="n"/>
      <c r="C147" s="9" t="inlineStr">
        <is>
          <t>IRIS is a listed company. Under the Companies Act 2013, section 2, clause 34, 'director' means a director appointed to the Board; Indian listed IT companies use Associate Vice President and Vice President for senior employees to avoid confusion with the Board and with KMP disclosures. D1 is therefore 'Associate Vice President / Business Head'; market titles show 'Head of Function / AGM' and 'Senior Head / General Manager' where surveys say Director.</t>
        </is>
      </c>
      <c r="D147" s="64" t="n"/>
      <c r="E147" s="64" t="n"/>
      <c r="F147" s="63" t="n"/>
      <c r="G147" s="9" t="inlineStr">
        <is>
          <t>S63 iPleaders, Companies Act 2013 section 2, clause 34 · S64 Kaanoon practitioner Q&amp;A.</t>
        </is>
      </c>
      <c r="H147" s="63" t="n"/>
    </row>
    <row r="148" ht="145" customHeight="1">
      <c r="A148" s="14" t="inlineStr">
        <is>
          <t>No 'Fellow' title — two options for the heads</t>
        </is>
      </c>
      <c r="B148" s="63" t="n"/>
      <c r="C148" s="9" t="inlineStr">
        <is>
          <t>The top individual-contributor step at D1 has two market options. Option A, Chief Specialist, with discipline forms such as Chief Architect and Chief Consultant, is a recognised senior title in India and marks the step above Principal, where Indian IT ladders such as Infosys stop before AVP. Option B, Distinguished Principal, with forms such as Distinguished Architect and Distinguished Engineer, is the global big-tech standard. Until the heads decide, both are shown. The step is rare and set by leadership decision.</t>
        </is>
      </c>
      <c r="D148" s="64" t="n"/>
      <c r="E148" s="64" t="n"/>
      <c r="F148" s="63" t="n"/>
      <c r="G148" s="9" t="inlineStr">
        <is>
          <r>
            <rPr>
              <rFont val="Calibri"/>
              <b val="1"/>
              <sz val="10"/>
            </rPr>
            <t>Option A:</t>
          </r>
          <r>
            <rPr>
              <rFont val="Calibri"/>
              <sz val="10"/>
            </rPr>
            <t xml:space="preserve"> S72 PayScale India tracks 'Chief Architect, IT' as a late-career role · S33 Infosys tops its architect track at Principal Technology Architect before AVP. Option B: S65 Wipro Distinguished Member of Technical Staff · S66 Salesforce Distinguished Engineer · S67 LeadDev · S32 Google, Microsoft, Amazon levels.</t>
          </r>
        </is>
      </c>
      <c r="H148" s="63" t="n"/>
    </row>
    <row r="149" ht="15" customHeight="1"/>
    <row r="150" ht="20" customHeight="1">
      <c r="A150" s="6" t="inlineStr">
        <is>
          <t>7. Limits of the benchmark</t>
        </is>
      </c>
    </row>
    <row r="151" ht="15" customHeight="1">
      <c r="A151" s="11" t="inlineStr">
        <is>
          <t>• Vendor methods — Hay, Mercer IPE, WTW, Radford — keep their weights proprietary; their structure is public, their points are not.</t>
        </is>
      </c>
    </row>
    <row r="152" ht="15" customHeight="1">
      <c r="A152" s="11" t="inlineStr">
        <is>
          <t>• The plans are public-sector schemes with one weight set for every job; IRIS varies weights by level, following Hay's published direction.</t>
        </is>
      </c>
    </row>
    <row r="153" ht="41" customHeight="1">
      <c r="A153" s="11" t="inlineStr">
        <is>
          <t>• Mapping each plan's factors to the six IRIS factors is a judgement, shown above for every plan. The UK local-government figures are the Police Staff Council version; the NJC's own table is not public. The Hay typical profiles come from a secondary source; the Canada evaluations are primary. The Mercer IPE manual is a third-party copy and its level rows are illustrative ratings.</t>
        </is>
      </c>
    </row>
    <row r="154" ht="15" customHeight="1">
      <c r="A154" s="11" t="inlineStr">
        <is>
          <r>
            <rPr>
              <rFont val="Calibri"/>
              <sz val="10"/>
            </rPr>
            <t xml:space="preserve">• </t>
          </r>
          <r>
            <rPr>
              <rFont val="Calibri"/>
              <b val="1"/>
              <sz val="10"/>
            </rPr>
            <t>The calibration panel tests the weights on its anchor roles:</t>
          </r>
          <r>
            <rPr>
              <rFont val="Calibri"/>
              <sz val="10"/>
            </rPr>
            <t xml:space="preserve"> if two raters and the model agree within one level for 80% of anchors, the weights are confirmed.</t>
          </r>
        </is>
      </c>
    </row>
    <row r="155" ht="15" customHeight="1">
      <c r="A155" s="12" t="inlineStr">
        <is>
          <r>
            <rPr>
              <rFont val="Calibri"/>
              <b val="1"/>
              <i val="1"/>
              <color rgb="00595959"/>
              <sz val="10"/>
            </rPr>
            <t>Full links:</t>
          </r>
          <r>
            <rPr>
              <rFont val="Calibri"/>
              <i val="1"/>
              <color rgb="00595959"/>
              <sz val="10"/>
            </rPr>
            <t xml:space="preserve"> source register, HR Super Master sheet 11 and Framework Master M16.</t>
          </r>
        </is>
      </c>
    </row>
  </sheetData>
  <mergeCells count="98">
    <mergeCell ref="A77:H77"/>
    <mergeCell ref="A107:B107"/>
    <mergeCell ref="A6:H6"/>
    <mergeCell ref="C46:H46"/>
    <mergeCell ref="G147:H147"/>
    <mergeCell ref="A66:H66"/>
    <mergeCell ref="C48:H48"/>
    <mergeCell ref="B90:H90"/>
    <mergeCell ref="C107:F107"/>
    <mergeCell ref="A3:H3"/>
    <mergeCell ref="G148:H148"/>
    <mergeCell ref="A95:H95"/>
    <mergeCell ref="G108:H108"/>
    <mergeCell ref="G114:H114"/>
    <mergeCell ref="A5:H5"/>
    <mergeCell ref="A150:H150"/>
    <mergeCell ref="G110:H110"/>
    <mergeCell ref="A97:H97"/>
    <mergeCell ref="A109:B109"/>
    <mergeCell ref="A106:H106"/>
    <mergeCell ref="G113:H113"/>
    <mergeCell ref="A134:H134"/>
    <mergeCell ref="A96:H96"/>
    <mergeCell ref="A152:H152"/>
    <mergeCell ref="A111:B111"/>
    <mergeCell ref="A48:B48"/>
    <mergeCell ref="A67:H67"/>
    <mergeCell ref="A51:H51"/>
    <mergeCell ref="A45:B45"/>
    <mergeCell ref="C43:H43"/>
    <mergeCell ref="B89:H89"/>
    <mergeCell ref="C111:F111"/>
    <mergeCell ref="A124:H124"/>
    <mergeCell ref="G112:H112"/>
    <mergeCell ref="A46:B46"/>
    <mergeCell ref="C118:G118"/>
    <mergeCell ref="A2:H2"/>
    <mergeCell ref="C147:F147"/>
    <mergeCell ref="A42:H42"/>
    <mergeCell ref="A151:H151"/>
    <mergeCell ref="C146:F146"/>
    <mergeCell ref="B88:H88"/>
    <mergeCell ref="A125:H125"/>
    <mergeCell ref="A115:B115"/>
    <mergeCell ref="C148:F148"/>
    <mergeCell ref="C110:F110"/>
    <mergeCell ref="G115:H115"/>
    <mergeCell ref="A49:B49"/>
    <mergeCell ref="B92:H92"/>
    <mergeCell ref="A119:B119"/>
    <mergeCell ref="A153:H153"/>
    <mergeCell ref="C121:G121"/>
    <mergeCell ref="A41:H41"/>
    <mergeCell ref="C108:F108"/>
    <mergeCell ref="A120:B120"/>
    <mergeCell ref="A145:H145"/>
    <mergeCell ref="A154:H154"/>
    <mergeCell ref="A113:B113"/>
    <mergeCell ref="C113:F113"/>
    <mergeCell ref="A76:H76"/>
    <mergeCell ref="C112:F112"/>
    <mergeCell ref="C109:F109"/>
    <mergeCell ref="C122:G122"/>
    <mergeCell ref="A53:H53"/>
    <mergeCell ref="A147:B147"/>
    <mergeCell ref="C114:F114"/>
    <mergeCell ref="A43:B43"/>
    <mergeCell ref="C45:H45"/>
    <mergeCell ref="A68:H68"/>
    <mergeCell ref="A117:H117"/>
    <mergeCell ref="C47:H47"/>
    <mergeCell ref="A148:B148"/>
    <mergeCell ref="C44:H44"/>
    <mergeCell ref="G107:H107"/>
    <mergeCell ref="A1:H1"/>
    <mergeCell ref="A110:B110"/>
    <mergeCell ref="A146:B146"/>
    <mergeCell ref="A78:H78"/>
    <mergeCell ref="A108:B108"/>
    <mergeCell ref="B91:H91"/>
    <mergeCell ref="G146:H146"/>
    <mergeCell ref="A118:B118"/>
    <mergeCell ref="B93:H93"/>
    <mergeCell ref="A105:H105"/>
    <mergeCell ref="A47:B47"/>
    <mergeCell ref="C120:G120"/>
    <mergeCell ref="C49:H49"/>
    <mergeCell ref="C119:G119"/>
    <mergeCell ref="A122:B122"/>
    <mergeCell ref="G109:H109"/>
    <mergeCell ref="A112:B112"/>
    <mergeCell ref="A121:B121"/>
    <mergeCell ref="A52:H52"/>
    <mergeCell ref="C115:F115"/>
    <mergeCell ref="A44:B44"/>
    <mergeCell ref="A155:H155"/>
    <mergeCell ref="G111:H111"/>
    <mergeCell ref="A114:B114"/>
  </mergeCells>
  <hyperlinks>
    <hyperlink xmlns:r="http://schemas.openxmlformats.org/officeDocument/2006/relationships" ref="I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itle xmlns:dc="http://purl.org/dc/elements/1.1/">IRIS Job Architecture — Framework &amp; Model Master</dc:title>
  <dcterms:created xmlns:dcterms="http://purl.org/dc/terms/" xmlns:xsi="http://www.w3.org/2001/XMLSchema-instance" xsi:type="dcterms:W3CDTF">2026-10-12T06:08:32Z</dcterms:created>
  <dcterms:modified xmlns:dcterms="http://purl.org/dc/terms/" xmlns:xsi="http://www.w3.org/2001/XMLSchema-instance" xsi:type="dcterms:W3CDTF">2026-10-12T06:13:00Z</dcterms:modified>
</cp:coreProperties>
</file>